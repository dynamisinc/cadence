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0" windowWidth="12120" windowHeight="8205"/>
  </bookViews>
  <sheets>
    <sheet name="MAIN LOG" sheetId="1" r:id="rId1"/>
    <sheet name="ROLL UPs" sheetId="2" r:id="rId2"/>
  </sheets>
  <externalReferences>
    <externalReference r:id="rId3"/>
    <externalReference r:id="rId4"/>
  </externalReferences>
  <definedNames>
    <definedName name="_xlnm._FilterDatabase" localSheetId="0" hidden="1">'MAIN LOG'!$E$1:$K$4</definedName>
    <definedName name="_xlnm._FilterDatabase">MAIN [1]LOG!$A$2:$K$209</definedName>
    <definedName name="_xlnm.Print_Area" localSheetId="0">'MAIN LOG'!$A$1:$N$97</definedName>
    <definedName name="_xlnm.Print_Area">ROLL [2]UPs!$A$1:$F$12</definedName>
    <definedName name="_xlnm.Print_Titles" localSheetId="0">'MAIN LOG'!$1:$3</definedName>
    <definedName name="_xlnm.Print_Titles">MAIN [1]LOG!$A$1:$IV$2</definedName>
    <definedName name="Table1">#REF!</definedName>
  </definedNames>
  <calcPr calcId="125725"/>
</workbook>
</file>

<file path=xl/calcChain.xml><?xml version="1.0" encoding="utf-8"?>
<calcChain xmlns="http://schemas.openxmlformats.org/spreadsheetml/2006/main">
  <c r="B3" i="2"/>
  <c r="B4"/>
  <c r="B2"/>
  <c r="E9"/>
  <c r="E7"/>
  <c r="E3"/>
  <c r="E2"/>
  <c r="B5"/>
  <c r="B1"/>
  <c r="B6" l="1"/>
  <c r="C1" i="1" s="1"/>
  <c r="E4" i="2"/>
  <c r="E8"/>
</calcChain>
</file>

<file path=xl/sharedStrings.xml><?xml version="1.0" encoding="utf-8"?>
<sst xmlns="http://schemas.openxmlformats.org/spreadsheetml/2006/main" count="668" uniqueCount="330">
  <si>
    <t>ID #</t>
  </si>
  <si>
    <t>Equipment</t>
  </si>
  <si>
    <t>Received</t>
  </si>
  <si>
    <t>Personnel Requested</t>
  </si>
  <si>
    <t>Mission Type                           (LNO, Veh., Info)</t>
  </si>
  <si>
    <t>Unit Tasked</t>
  </si>
  <si>
    <t>Open</t>
  </si>
  <si>
    <t>Cancelled</t>
  </si>
  <si>
    <t>CANCELLED</t>
  </si>
  <si>
    <t>DOMS #</t>
  </si>
  <si>
    <t>Personnel in Mission</t>
  </si>
  <si>
    <t>Request</t>
  </si>
  <si>
    <t>OPEN</t>
  </si>
  <si>
    <t>CLOSED</t>
  </si>
  <si>
    <t>Never Tasked</t>
  </si>
  <si>
    <t>Total Missions</t>
  </si>
  <si>
    <t>Tasked</t>
  </si>
  <si>
    <t>County</t>
  </si>
  <si>
    <t>Closed</t>
  </si>
  <si>
    <t>Hold</t>
  </si>
  <si>
    <t xml:space="preserve"> </t>
  </si>
  <si>
    <t>EMITS #</t>
  </si>
  <si>
    <t>Additional Info</t>
  </si>
  <si>
    <t>Mission Type</t>
  </si>
  <si>
    <t>Equipment List</t>
  </si>
  <si>
    <t>ATH PAX</t>
  </si>
  <si>
    <t>BOG</t>
  </si>
  <si>
    <t>SITREP</t>
  </si>
  <si>
    <t>Assigned</t>
  </si>
  <si>
    <t>ALNG SITREP</t>
  </si>
  <si>
    <t>Authorization</t>
  </si>
  <si>
    <t>Authorized PAX</t>
  </si>
  <si>
    <t>Personnel</t>
  </si>
  <si>
    <t xml:space="preserve">Differences </t>
  </si>
  <si>
    <t>AEMA CAP</t>
  </si>
  <si>
    <t>Available to Task</t>
  </si>
  <si>
    <t>REFRAD</t>
  </si>
  <si>
    <t>ALNG</t>
  </si>
  <si>
    <t>RESET</t>
  </si>
  <si>
    <t>Available for Tasking:</t>
  </si>
  <si>
    <t>Disengagement Date</t>
  </si>
  <si>
    <t>Disengage Date</t>
  </si>
  <si>
    <t>Assign To</t>
  </si>
  <si>
    <t>EMITS Stat</t>
  </si>
  <si>
    <t>CANCELED</t>
  </si>
  <si>
    <t>AEMA</t>
  </si>
  <si>
    <t>Mission assigned to ALNG authorizing personnel and assets to conduct missions</t>
  </si>
  <si>
    <t>Mission no long required - ALNG puts personnel in RESET for 24hrs prior to REFRAD</t>
  </si>
  <si>
    <t>Mission has been canceled by AEMA.</t>
  </si>
  <si>
    <t>AEMA has closed mission. ALNG puts personnel in RESET for 24hrs prior to REFRAD</t>
  </si>
  <si>
    <t>RESET Complete all ALNG Personnel assigned have been Released From Active Duty</t>
  </si>
  <si>
    <t>Mission has been canceled by AEMA or ALNG.</t>
  </si>
  <si>
    <t xml:space="preserve">AEMA authorized mission with personnel and assets assigned. </t>
  </si>
  <si>
    <t>AEMA Mission Status</t>
  </si>
  <si>
    <t>ALNG Mission Status</t>
  </si>
  <si>
    <t>BOG PAX (Includes Reset)</t>
  </si>
  <si>
    <t>INITIAL AUTHORIZATION</t>
  </si>
  <si>
    <t xml:space="preserve">DOMS # </t>
  </si>
  <si>
    <t>13-509</t>
  </si>
  <si>
    <t>Gov. Bently has approved the activation of  the ALNG.  Activate 500 PAX.</t>
  </si>
  <si>
    <t>IEF</t>
  </si>
  <si>
    <t>JTF Tarpon</t>
  </si>
  <si>
    <t>001</t>
  </si>
  <si>
    <t>13-529</t>
  </si>
  <si>
    <t>Chilton</t>
  </si>
  <si>
    <t>Provide an Aviation Support Planner to the SEOC ESF-9 in Clanton, AL</t>
  </si>
  <si>
    <t>Aviation Support Planner</t>
  </si>
  <si>
    <t>SAAO</t>
  </si>
  <si>
    <t>13-536</t>
  </si>
  <si>
    <t>002</t>
  </si>
  <si>
    <t>003</t>
  </si>
  <si>
    <t>13-537</t>
  </si>
  <si>
    <t>13-538</t>
  </si>
  <si>
    <t>Walker</t>
  </si>
  <si>
    <t>LOG Support</t>
  </si>
  <si>
    <t>13-542</t>
  </si>
  <si>
    <t>004</t>
  </si>
  <si>
    <t>Mobile</t>
  </si>
  <si>
    <t>LNO</t>
  </si>
  <si>
    <t>Provide ALNG LNOs to the Mobile Co. EMA EOC for 24H support for 5 days.</t>
  </si>
  <si>
    <t>13-540</t>
  </si>
  <si>
    <t>Montgomery</t>
  </si>
  <si>
    <t>167TSC</t>
  </si>
  <si>
    <t>Support the State Warehouse in Montgomery IAW ICS-203. One team leader and 6 forklift operators.  Team will work 12hours shift; 0700-1900 for approx. 5 days.</t>
  </si>
  <si>
    <t>13-543</t>
  </si>
  <si>
    <t>005</t>
  </si>
  <si>
    <t>006</t>
  </si>
  <si>
    <t>Provide ALNG LNOs to the Escambia Co. EMA EOC NLT 0800 7 MAY, Self suff- 72-hrs.</t>
  </si>
  <si>
    <t>Escambia</t>
  </si>
  <si>
    <t>007</t>
  </si>
  <si>
    <t>008</t>
  </si>
  <si>
    <t>Support the SEOC in Clanton with a Logitics Planning Cell IAW ICS-203. One team leader and 5 operators.  Team will work 12hours shift; 24H ops for approx. 5 days.</t>
  </si>
  <si>
    <t>Support the State Warehouse in Jasper IAW ICS-203. One team leader and 6 forklift operators.  Team will work 12hours shift; 0700-1900 for approx. 5 days.  Rpt NLT 0700/ 7 MAY.</t>
  </si>
  <si>
    <t>009</t>
  </si>
  <si>
    <t>13-539</t>
  </si>
  <si>
    <t>Support the SOSA at Maxwell AFB IAW ICS-203. One team leader and 6 forklift operators.  Team will work 12hours shift; 0700-1900 for approx. 5 days.  Rpt NLT 0700/ 7 MAY.</t>
  </si>
  <si>
    <t>010</t>
  </si>
  <si>
    <t>13-544</t>
  </si>
  <si>
    <t>Provide ALNG LNOs to the Monroe Co. EMA EOC for 24H support for 5 days.</t>
  </si>
  <si>
    <t>Monroe</t>
  </si>
  <si>
    <t>INFO</t>
  </si>
  <si>
    <t>011</t>
  </si>
  <si>
    <t>13-579</t>
  </si>
  <si>
    <t>Support Mobile County &amp; City with 200 PAX to assist with sandbagging operations in Mobile.  Staging is Hank Aaron Stadium.  Duration is 24H.</t>
  </si>
  <si>
    <t>Sandbagging Support</t>
  </si>
  <si>
    <t>13-559</t>
  </si>
  <si>
    <t>Clarke</t>
  </si>
  <si>
    <t>Aviation Support</t>
  </si>
  <si>
    <t>UH-60s &amp; Bambi buckets</t>
  </si>
  <si>
    <t>13-611</t>
  </si>
  <si>
    <t>Baldwin</t>
  </si>
  <si>
    <t>Generator Support</t>
  </si>
  <si>
    <t>300KW gen</t>
  </si>
  <si>
    <t>Activated</t>
  </si>
  <si>
    <t>LNOs at MCEOC supporting MCEMA</t>
  </si>
  <si>
    <t>LNOs at ECEOC supporting ECEMA</t>
  </si>
  <si>
    <t>Planner at SEOC Supporting AEMA</t>
  </si>
  <si>
    <t>Team at State Warehouse-Montgomery supporting AEMA</t>
  </si>
  <si>
    <t xml:space="preserve">Team at State Warehouse-Jasper supporting AEMA </t>
  </si>
  <si>
    <t>Cell at SEOC supporting AEMA LSC; POC only needed 8 PAX.</t>
  </si>
  <si>
    <t>Team at SOSA support AEMA &amp; AFC; POC needed 22 PAX instead of 17.</t>
  </si>
  <si>
    <t>13-633</t>
  </si>
  <si>
    <t>Support Baldwin Co. Sheriff's Office with 250 PAX to assist with post landfall site security and traffic control.  Soldiers will "right seat" w/ Local LE personnel.  Duration is 72-96 hrs.  Start mission H+6.  Soliders need to be armed.</t>
  </si>
  <si>
    <t>LE Support</t>
  </si>
  <si>
    <t>013</t>
  </si>
  <si>
    <t>13-632</t>
  </si>
  <si>
    <t>Support shelter at Garrett Coliseum w/Chaplain (1 PAX)</t>
  </si>
  <si>
    <t>Mongomery</t>
  </si>
  <si>
    <t>Chaplain Support</t>
  </si>
  <si>
    <t>Chaplain</t>
  </si>
  <si>
    <t>014</t>
  </si>
  <si>
    <t>13-635</t>
  </si>
  <si>
    <t>POD Support</t>
  </si>
  <si>
    <t>015</t>
  </si>
  <si>
    <t>13-636</t>
  </si>
  <si>
    <t xml:space="preserve">Support PODs in Baldwin County. Starting at 0800 8MAY13.  4 Locations: 1st Bapt. Ch. Of Bay Minette; Ferguson's Grocery (Little River); Prodisee Pantry (Sp. Fort); Lillian FD. </t>
  </si>
  <si>
    <t>016</t>
  </si>
  <si>
    <t>13-638</t>
  </si>
  <si>
    <t>Washington</t>
  </si>
  <si>
    <t>017</t>
  </si>
  <si>
    <t>13-639</t>
  </si>
  <si>
    <t>018</t>
  </si>
  <si>
    <t>13-642</t>
  </si>
  <si>
    <t>Support POD in Washington County.  Starting at 0800 8MAY13.  1 Location: Chatom Armory, 1020 St. Stephens Ave., Chatom, AL 35611.  Duration 6-10 days.  20 PAX with forklift and 3-5KW generator.</t>
  </si>
  <si>
    <t>SAR - Air Evac</t>
  </si>
  <si>
    <t>Request for back-up 300KW generator for Baldwin Co. EOC.  CANX Reason: County contracted out to Sunbelt Rental.</t>
  </si>
  <si>
    <t>Request support with 1 SAR Team to extract citizens from Dauphin Island Pkwy due to rising water.  Meet LE officials at DI Pkwy and I-10.  CANX Reason: By AEMA due to hazardous WX conditions.</t>
  </si>
  <si>
    <t>Request for assistance to extinguish rail car fires with Bambi bucket capabilities - air assets.  CANX Reason: Fire extinguished.</t>
  </si>
  <si>
    <t>019</t>
  </si>
  <si>
    <t>020</t>
  </si>
  <si>
    <t>13-645</t>
  </si>
  <si>
    <t>13-644</t>
  </si>
  <si>
    <t>Conecuh</t>
  </si>
  <si>
    <t xml:space="preserve">Support POD in Conecuh County.  Starting at 0800 8MAY13.  1 Location: Evergreen Airport.  Duration 8 days.   No forklifts or gens. </t>
  </si>
  <si>
    <t>13-643</t>
  </si>
  <si>
    <t>LSA and POD Support</t>
  </si>
  <si>
    <t>021</t>
  </si>
  <si>
    <t>13-646</t>
  </si>
  <si>
    <t>022</t>
  </si>
  <si>
    <t>Support POD in Clarke County.  Starting at 0800 8MAY13.  3 Locations: Grove Hill NG Armory; Jackson NG Armory; Thomasville NG Armory.  Duration 6-10 days.   1 Pallet jack.  1 PAX at Grove Hill POD needs to be licensed to operate a forklift.</t>
  </si>
  <si>
    <t xml:space="preserve">Support LSA and PODs in Mobile County.  Starting at 0800 8MAY13.  1 LSA Location: Mobile Bay Bear Stadium (Mobile).  10 POD Locations: Mobile Bay Bear Stadium (Mobile); Saraland K-Mart (Saraland); Alma Bryant School (Bayou la Batre); Prichard Stadium (Prichard); Mt. Vernon Park (Mt. Vernon); Citronelle Industrial Park (Citronelle); Mobile Greyhound Park (Mobile); Dauphin Island City Hall (DI); Langdon park (Mobile); Ladd-Peebles Stadium (Mobile).  Duration 8 days.   3x 5K trucks; 2x fuel trucks; multiple general vehicles; 4x 6K forklifts; 8-14 forklifts.  CANX Forklifts.  </t>
  </si>
  <si>
    <t>Aerial PDA Support</t>
  </si>
  <si>
    <t>JTF White Horse</t>
  </si>
  <si>
    <t>JTF Tarpon / JTF White Horse</t>
  </si>
  <si>
    <t>13-656</t>
  </si>
  <si>
    <t xml:space="preserve">Support PODs in Baldwin County. Starting at 0800 9MAY13.  4 New Locations: Daphne Civic Center (Daphne) (40PAX); Volanta Ball Park (Fairhope) (12 PAX); Elberta FD (Elberta) (40 PAX); Tanger Outlets (Foley) (40 PAX, 1x Tent, 1x Light set).  </t>
  </si>
  <si>
    <t>Request for support to conduct aerial Preliminary Damage Assessment (PDA) in Baldwin Co.  2 PAX to fly the entire county.</t>
  </si>
  <si>
    <t>13-663</t>
  </si>
  <si>
    <t>Request for rotary wing support (2 helos) for Governor and State Officials to observe storm damages in Southern parts of State.  Positioned NLT1400 8MAY13.  Expect 12-15 PAX per sortie.</t>
  </si>
  <si>
    <t>Executive Aerial Support</t>
  </si>
  <si>
    <t>13-669</t>
  </si>
  <si>
    <t>13-651</t>
  </si>
  <si>
    <t>13-673</t>
  </si>
  <si>
    <t>13-675</t>
  </si>
  <si>
    <t>Request for POD support at Bay Minette First Baptist Church.  CANX Reason: Duplicate of EMITS # 13-635 &amp; 13-656.</t>
  </si>
  <si>
    <t>Request for POD support at Daphne CC and Elberta FD.  CANX Reason: Duplicate of EMITS #13-356.</t>
  </si>
  <si>
    <t>13-676</t>
  </si>
  <si>
    <t>Request for POD support for Volanta Park (Fairhope).  CANX Reason: Duplicate of EMITS #13-656.</t>
  </si>
  <si>
    <t>13-681</t>
  </si>
  <si>
    <t>Support POD in Escambia County.  Starting at 0800 8MAY13.  1 Location: Old North Brewton Elem. Sch. Duration 8 days.</t>
  </si>
  <si>
    <t xml:space="preserve">Support POD in Monroe County.  Starting at 0800 8MAY13.  4 Locations: Beatrice VFD; Excel HS; Frisco City 200 School St.; Monroeville Primary CSA and Warehouse.  Duration 8 days.    </t>
  </si>
  <si>
    <t xml:space="preserve">Support POD in Baldwin County. Starting at 0800 9MAY13.  1 Location: Gulf Shores Sports Complex (40 PAX, which includes 1 forklift operator).  Duration 5-10 days. </t>
  </si>
  <si>
    <t>024</t>
  </si>
  <si>
    <t>026</t>
  </si>
  <si>
    <t>025</t>
  </si>
  <si>
    <t>13-696</t>
  </si>
  <si>
    <t>SAR</t>
  </si>
  <si>
    <t>13-706</t>
  </si>
  <si>
    <t>Traffic Control/Security</t>
  </si>
  <si>
    <t>Request for security assistance personnel to support DPS (Troopers) for traffic mission along I65 north of MM179 (north of MGM) to MM282 (north of BHM).  Duration 3 days.</t>
  </si>
  <si>
    <t>SAR-Ground</t>
  </si>
  <si>
    <t>13-724</t>
  </si>
  <si>
    <t>Shelby</t>
  </si>
  <si>
    <t>13-727</t>
  </si>
  <si>
    <t>Request for SAR team at Dauphin Island.  CANX: Duplicate with 13-712.</t>
  </si>
  <si>
    <t>13-712</t>
  </si>
  <si>
    <t xml:space="preserve">Request Ground SAR forces for Dauphin Island.  To assist local LE departments, fire departments, and other agencies in locating potential survivors trapped in debris/wreckage.  25 PAX.  Duration 72 hours.  </t>
  </si>
  <si>
    <t>Chilton*</t>
  </si>
  <si>
    <t>.</t>
  </si>
  <si>
    <t>RCT; POD Support; Security</t>
  </si>
  <si>
    <t>Request 1x RCT, 2x Type II POD support teams, and Security Personnel to assist in Columbiana, AL.  2 PODs: Shelby Co. HS; Columbiana Middle Sch.  Debris team to stage at: Shelby Co. Highway Dept.  70 PAX.  Duration 3 days.</t>
  </si>
  <si>
    <t>Support Escambia County (Atmore) w/ personnel (50 PAX) to assist local officials with door-to-door welfare checks.  Once completed, PAX will be then be utilized for: 1x Transportation support (movement of critcal supplies and PAX from LSA to PODs); 1x RCT (major lines of communications for first responders to access damaged areas); POD support (1x Type 1 POD team to be located at Atmore County Club); and Security personnel (TCPs assigned upon arrival and link up w/ Atmore PD Chief Don Henley, 205-280-7114). Starting at 0800 9MAY13.  Staging Location: Escambia HS, 1215 S. Presely St., Atmore, AL. Duration 5-10 days.</t>
  </si>
  <si>
    <t>Welfare Checks; POD Support; RCT; Transportation Support; Security Assistance</t>
  </si>
  <si>
    <t>029</t>
  </si>
  <si>
    <t>030</t>
  </si>
  <si>
    <t>Working via VOAD.  END by 1200 9May13</t>
  </si>
  <si>
    <t>032</t>
  </si>
  <si>
    <t>031</t>
  </si>
  <si>
    <t>033</t>
  </si>
  <si>
    <t>036</t>
  </si>
  <si>
    <t>13-758</t>
  </si>
  <si>
    <t>GIS Support</t>
  </si>
  <si>
    <t>JFHQ-AL</t>
  </si>
  <si>
    <t>13-756</t>
  </si>
  <si>
    <t>13-757</t>
  </si>
  <si>
    <t>Request Generator support at 3 locations in Mobile Co. (Mobile): Mobile Infirmary; USA Children/Women's Hosp.; Springhill Dialysis Center.  (See 13-756 (Prichard mission) for details on generator convoy.</t>
  </si>
  <si>
    <t>Request GIS map support to include footprint of power outages and approx. number of people without power and duration.  CANX: Reassigned to APCo. Per LTC Hancock at SEOC.</t>
  </si>
  <si>
    <t>13-760</t>
  </si>
  <si>
    <t>SAR - Boat</t>
  </si>
  <si>
    <t>037</t>
  </si>
  <si>
    <t>13-771</t>
  </si>
  <si>
    <t>13-767</t>
  </si>
  <si>
    <t>Transportation Support</t>
  </si>
  <si>
    <t>Request 4x SAR Boat teams to vicinity of Point Clear, AL to support BCEMA SAR operations.  Duration 2 days.</t>
  </si>
  <si>
    <t>Request 1x SAR Boat team to the vicinity of Perdido Beach, AL.  Duration 1 day.</t>
  </si>
  <si>
    <t>038</t>
  </si>
  <si>
    <t>039</t>
  </si>
  <si>
    <t>13-743</t>
  </si>
  <si>
    <t>13-785</t>
  </si>
  <si>
    <t>RCT</t>
  </si>
  <si>
    <t>13-783</t>
  </si>
  <si>
    <t>13-789</t>
  </si>
  <si>
    <t xml:space="preserve">Request for Security Forces to assist Gulf Shores PD.  20 PAX.  Duration is 5 days.  </t>
  </si>
  <si>
    <t>Request 4x RCTs (Route Clearing Teams) for missions ISO first responders and power restoration teams in Mobile Co.  Duration 2-3 days.  Stage at: Dixon Elementary Sch. (Irvington) by 2000L 8MAY13.  Locations: SW boundary is Hwy. 188; N boundary is I-10; East boundary is Hwy 193.  Duration is 2-3 days.</t>
  </si>
  <si>
    <t>13-659</t>
  </si>
  <si>
    <t>Request RCT for Mobile Co. Hospital.    CANX: Canceled - due to local vendor contract.</t>
  </si>
  <si>
    <t>Request 4x RCTs (Route Clearing Teams) for missions ISO first responders and power restoration teams in Baldwin Co.  Duration 2-3 days.  Stage at: Robertsdale HS by 2200L 8MAY13.  Locations: SW boundary is Homestead Ave.; N boundary is Hwy 59; East boundary is I-10.  Duration is 2-3 days.</t>
  </si>
  <si>
    <t>041</t>
  </si>
  <si>
    <t>040</t>
  </si>
  <si>
    <t>Security</t>
  </si>
  <si>
    <t>Request support to transport following supplies from SOSA to Staging Area at Escambia HS: 9x pallets of food; 19x pallets of MREs.  Duration 2 days.</t>
  </si>
  <si>
    <t>Request Generator support at 2 locations in Mobile Co. (Prichard): Nursing Home; Medical Center. Sources: 6x 60KW from 232nd CBCS, Abston ANGS, Montgomery, AL; 2x 60KW from 187th FW, Dannelly Field/Montgomery RAP, Montgomery, AL; 2x Pax (Power Pro airmen) each (total 4 PAX0 from 187FW and 232nd CBCS, Montgomery, AL (Will follow gens and IOM down trace); 1x Pax (Power Pro airmen) from 280th CBCS, Dothan RAP ANGS, Dothan, AL (to backfill 232nd CBCS); Transportation assets from 2025th (JTF White Horse).  Will pickup assets from 232nd and 187th, both in Montgomery, AL; 1x 10K forklift w/operator from JTF Tarpon; Fuels provided by JTF Tarpon; Mobile County/local officials to provide licensed electricians to assist with installation.  Duration 5 days.</t>
  </si>
  <si>
    <t>13-796</t>
  </si>
  <si>
    <t>Request support assist loading and evacuation of 150 patients from Springhill Medical Center (Mobile) due to power and water outages.  100 patients require movement by litter; 50 are ambulatory.  Request is for 25 PAX.</t>
  </si>
  <si>
    <t>Medical Transportation Support</t>
  </si>
  <si>
    <t>042</t>
  </si>
  <si>
    <t>043</t>
  </si>
  <si>
    <t>046</t>
  </si>
  <si>
    <t>045</t>
  </si>
  <si>
    <t>047</t>
  </si>
  <si>
    <t>13-794</t>
  </si>
  <si>
    <t>Request transportation support to haul 400 Pallets of MREs, 500 Pallets of Water, and 100 Pallets of Ice from LSA Brookley Field (Mobile) to LSAs in Theodore and Loxley.  Log push is DAILY.  Duration TBD.</t>
  </si>
  <si>
    <t>Mobile &amp; Baldwin</t>
  </si>
  <si>
    <t>049</t>
  </si>
  <si>
    <r>
      <t xml:space="preserve">Refer to 13-509: Increase ALNG activation from 100-500  PAX to 100-750 PAX.  </t>
    </r>
    <r>
      <rPr>
        <b/>
        <sz val="18"/>
        <color indexed="8"/>
        <rFont val="Calibri"/>
        <family val="2"/>
        <scheme val="minor"/>
      </rPr>
      <t>AMENDED</t>
    </r>
    <r>
      <rPr>
        <sz val="18"/>
        <color indexed="8"/>
        <rFont val="Calibri"/>
        <family val="2"/>
        <scheme val="minor"/>
      </rPr>
      <t xml:space="preserve"> (6 May 13, 1735): Increase ALNG activation from 100-750 PAX  to  max of 2100 PAX.  </t>
    </r>
    <r>
      <rPr>
        <b/>
        <sz val="18"/>
        <color indexed="8"/>
        <rFont val="Calibri"/>
        <family val="2"/>
        <scheme val="minor"/>
      </rPr>
      <t>AMENDED</t>
    </r>
    <r>
      <rPr>
        <sz val="18"/>
        <color indexed="8"/>
        <rFont val="Calibri"/>
        <family val="2"/>
        <scheme val="minor"/>
      </rPr>
      <t xml:space="preserve"> (7 May 2013; 0940): Increase ALNG activation from 2100 PAX to max of 3000 PAX.  </t>
    </r>
    <r>
      <rPr>
        <b/>
        <sz val="18"/>
        <color indexed="8"/>
        <rFont val="Calibri"/>
        <family val="2"/>
        <scheme val="minor"/>
      </rPr>
      <t>AMENDED</t>
    </r>
    <r>
      <rPr>
        <sz val="18"/>
        <color indexed="8"/>
        <rFont val="Calibri"/>
        <family val="2"/>
        <scheme val="minor"/>
      </rPr>
      <t xml:space="preserve"> (8 May 2013; xxxx): Increase ALNG activation from 2100 PAX to max of 5000 PAX.</t>
    </r>
  </si>
  <si>
    <t>13-800</t>
  </si>
  <si>
    <t xml:space="preserve">Support POD in Sumter County w/Security.  Starting at 1200 9MAY13.  1 Location: Sumter Co. HS (York).  Duration 4-8 days.   No forklifts or gens. </t>
  </si>
  <si>
    <t>Sumter</t>
  </si>
  <si>
    <t>13-802</t>
  </si>
  <si>
    <t xml:space="preserve">Request CST support to respond to Alabama COOP Fertilizer Plan (Dallas) for air sampling and plum modeling.  Duration 48-96 hours.  </t>
  </si>
  <si>
    <t>Dallas</t>
  </si>
  <si>
    <t>46th CST</t>
  </si>
  <si>
    <t>050</t>
  </si>
  <si>
    <t>Request SAR Teams to conduct missions in Orange Beach (20 PAX).  To assist local LE and SAR teams, and Gulf Shores.  No SAR expertise required.  Duration 5 days.  (NOTE: EMITS #711 attached to this mission.)</t>
  </si>
  <si>
    <t>13-711</t>
  </si>
  <si>
    <t>Reuquest for recovery/damage assessment forces to canvas rural areas of BC. For damages.  CANX: Merged with EMITS #13-696.</t>
  </si>
  <si>
    <t>13-671</t>
  </si>
  <si>
    <t>Request for POD support at Tanger Outlet (Foley).  CANX: Duplicate of EMITS #13-656.</t>
  </si>
  <si>
    <t>051</t>
  </si>
  <si>
    <t>13-804</t>
  </si>
  <si>
    <t>Bibb</t>
  </si>
  <si>
    <t>13-805</t>
  </si>
  <si>
    <t>13-801</t>
  </si>
  <si>
    <t>Wellness Checks</t>
  </si>
  <si>
    <t>Request Ground support to assist with Wellness Checks in Escambia Co.  Area is I-65 MM39 to MM47 north to Monroe Co. line and east to Escambia Co. line  and west to Ala. Hwy 59.  25 PAX.</t>
  </si>
  <si>
    <t>13-806</t>
  </si>
  <si>
    <t>Support POD in Bibb County w/Labor and Security.  Starting at 1600 10MAY13.  1 Location: Bibb Co. HS (Centreville).  Duration 4-8 days.   No forklifts or gens. PAX 43 (incl. 3 security).</t>
  </si>
  <si>
    <t>Support POD in Bibb County w/Labor and Security.  Starting at 1600 10MAY13.  1 Location: Randolph Elem. Sch.  Duration 4-8 days.   PAX 23 (incl. 2 security and 1 forklift operator).</t>
  </si>
  <si>
    <t>Support POD in Bibb County w/Labor and Security.  Starting at 1600 10MAY13.  1 Location: West Blocton HS.  Duration 4-8 days.   PAX 46 (incl. 6 security).</t>
  </si>
  <si>
    <t>052</t>
  </si>
  <si>
    <t>13-808</t>
  </si>
  <si>
    <t>Personnel Support</t>
  </si>
  <si>
    <t xml:space="preserve">Request 25 PAX armed to support local LE with security patrols of eletrical facility in Mobile city.  25 PAX.  Duration 5 days. </t>
  </si>
  <si>
    <t>13-803</t>
  </si>
  <si>
    <t>Support POD in Bibb County w/Labor.  Starting at 1600 10MAY13.  1 Location: Bibb Co. Engineer Shop (Co.lumbiana).  Duration 4-7 days.   PAX 20.</t>
  </si>
  <si>
    <t>053</t>
  </si>
  <si>
    <t>054</t>
  </si>
  <si>
    <t>13-810</t>
  </si>
  <si>
    <t>Support POD in Dallas County w/Labor.  Starting at 1400 10MAY13.  1 Location: Orrville Community.  Duration 4-8 days.   PAX 20.</t>
  </si>
  <si>
    <t>13-811</t>
  </si>
  <si>
    <t xml:space="preserve">Support POD in Dallas County w/Labor.  Starting at 1400 10MAY13.  1 Location: Sardis VFD.  Duration 4-8 days.   PAX 20, w/ 1x Pallet jack, and 1x GP Medium tent.  </t>
  </si>
  <si>
    <t>13-812</t>
  </si>
  <si>
    <t>Support POD in Dallas County w/Labor.  Starting at 1400 10MAY13.  1 Location: Craig Field (Selma).  Duration 4-8 days.   PAX 46 (incl 6 security).</t>
  </si>
  <si>
    <t>Request Aviation general Support in response to Atmore tornado.  Support Atmore PD; Pick-up at Westside Park, Atmore, AL.  Duration 24-48hours.  CANX: Re-assigned to DPS.</t>
  </si>
  <si>
    <t>055</t>
  </si>
  <si>
    <t>056</t>
  </si>
  <si>
    <t>057</t>
  </si>
  <si>
    <t>13-816</t>
  </si>
  <si>
    <t>058</t>
  </si>
  <si>
    <t>059</t>
  </si>
  <si>
    <t>13-817</t>
  </si>
  <si>
    <t>Request 10 PAX to support sandbagging mission at Meaher State Park (Spanish Fort).  Duration 1 day.</t>
  </si>
  <si>
    <t>060</t>
  </si>
  <si>
    <t>JTF contacted POC - can perform mission w/12PAX.</t>
  </si>
  <si>
    <t>Mission completed</t>
  </si>
  <si>
    <t>13-818</t>
  </si>
  <si>
    <t>Request Transportation support to haul 65 pallets of water from Walmart Distribution Center Cullman to Monroe Co. Staging Area (Monroeville).</t>
  </si>
  <si>
    <t>13-819</t>
  </si>
  <si>
    <t>Request for rotary wing support (2 helos) for Governor and State Officials to observe storm damages in Northern parts of State (BHM to Cullman/Hartselle/Decatur/Athens).  Positioned ASAP 9MAY13.  Expect 12-15 PAX per sortie.  Duration 1 day.</t>
  </si>
  <si>
    <t>061</t>
  </si>
  <si>
    <t>062</t>
  </si>
  <si>
    <t>See EMITS #13-536</t>
  </si>
  <si>
    <t>13-820</t>
  </si>
  <si>
    <t>Baldwin &amp; Mobile</t>
  </si>
  <si>
    <t>Request for Security Forces to assist Dauphin Island PD (50 PAX) &amp; Gulf Shores PD (30 PAX for Gulf Shores; 30 PAX for Ft. Morgan; 40 PAX for Orange Beach).  150 PAX total.  Duration is 96hrs.  Report NLT 1400 10May13.</t>
  </si>
  <si>
    <t>063</t>
  </si>
  <si>
    <t>Request Personnel (PAX 25) and covered vehicles to support movement of deceased to DMORT holding areas.  Duration TBD.  Report ASAP but NLT 1400 10May13.</t>
  </si>
  <si>
    <t>065</t>
  </si>
  <si>
    <t>064</t>
  </si>
  <si>
    <t>13-826</t>
  </si>
  <si>
    <t>Request security assistance (20 PAX QRF) to support Mobile Co. Sheriff's Office at shelter at BC Morgan HS.  Duration is 24-48 hrs.  Report NLT 1530L 9May13.</t>
  </si>
  <si>
    <t>13-827</t>
  </si>
  <si>
    <t xml:space="preserve">Request for HAZMAT RECON/DECON to respond to tractor trailer accident.  HAZMAT believed to be aluminum phosphide (UN1397).  Respond NLT 1545L 9May13.  </t>
  </si>
  <si>
    <t>066</t>
  </si>
  <si>
    <t>Started at 0800 8MAY13</t>
  </si>
  <si>
    <t>Started at H+6</t>
  </si>
  <si>
    <t>Started at 0800 9MAY13</t>
  </si>
  <si>
    <t>CST Support; HAZMAT RECON</t>
  </si>
  <si>
    <t>CST Support; HAZMAT RECON/DECON</t>
  </si>
  <si>
    <t>067</t>
  </si>
</sst>
</file>

<file path=xl/styles.xml><?xml version="1.0" encoding="utf-8"?>
<styleSheet xmlns="http://schemas.openxmlformats.org/spreadsheetml/2006/main">
  <numFmts count="2">
    <numFmt numFmtId="164" formatCode="dd\-mmm\-yy"/>
    <numFmt numFmtId="165" formatCode="[$-409]d\-mmm\-yy;@"/>
  </numFmts>
  <fonts count="20">
    <font>
      <sz val="11"/>
      <color theme="1"/>
      <name val="Calibri"/>
      <family val="2"/>
      <scheme val="minor"/>
    </font>
    <font>
      <b/>
      <sz val="11"/>
      <color theme="1"/>
      <name val="Calibri"/>
      <family val="2"/>
      <scheme val="minor"/>
    </font>
    <font>
      <b/>
      <sz val="11"/>
      <color theme="0"/>
      <name val="Calibri"/>
      <family val="2"/>
      <scheme val="minor"/>
    </font>
    <font>
      <u/>
      <sz val="11"/>
      <color theme="10"/>
      <name val="Calibri"/>
      <family val="2"/>
    </font>
    <font>
      <sz val="11"/>
      <name val="Calibri"/>
      <family val="2"/>
      <scheme val="minor"/>
    </font>
    <font>
      <b/>
      <u/>
      <sz val="11"/>
      <color rgb="FF0000FF"/>
      <name val="Calibri"/>
      <family val="2"/>
      <scheme val="minor"/>
    </font>
    <font>
      <u/>
      <sz val="11"/>
      <color rgb="FF0000FF"/>
      <name val="Calibri"/>
      <family val="2"/>
      <scheme val="minor"/>
    </font>
    <font>
      <b/>
      <sz val="11"/>
      <name val="Calibri"/>
      <family val="2"/>
      <scheme val="minor"/>
    </font>
    <font>
      <b/>
      <u/>
      <sz val="11"/>
      <color rgb="FFFF0000"/>
      <name val="Calibri"/>
      <family val="2"/>
    </font>
    <font>
      <sz val="11"/>
      <color indexed="8"/>
      <name val="Calibri"/>
      <family val="2"/>
    </font>
    <font>
      <sz val="10"/>
      <color indexed="8"/>
      <name val="Arial"/>
      <family val="2"/>
    </font>
    <font>
      <sz val="11"/>
      <color indexed="8"/>
      <name val="Calibri"/>
      <family val="2"/>
      <scheme val="minor"/>
    </font>
    <font>
      <b/>
      <sz val="11"/>
      <color theme="0"/>
      <name val="Calibri"/>
      <family val="2"/>
    </font>
    <font>
      <sz val="18"/>
      <color indexed="8"/>
      <name val="Calibri"/>
      <family val="2"/>
      <scheme val="minor"/>
    </font>
    <font>
      <sz val="11"/>
      <color indexed="8"/>
      <name val="Arial"/>
      <family val="2"/>
    </font>
    <font>
      <b/>
      <sz val="11"/>
      <color rgb="FFFF0000"/>
      <name val="Calibri"/>
      <family val="2"/>
    </font>
    <font>
      <b/>
      <sz val="18"/>
      <color indexed="8"/>
      <name val="Calibri"/>
      <family val="2"/>
      <scheme val="minor"/>
    </font>
    <font>
      <b/>
      <sz val="11"/>
      <color rgb="FFFF0000"/>
      <name val="Calibri"/>
      <family val="2"/>
      <scheme val="minor"/>
    </font>
    <font>
      <sz val="11"/>
      <color rgb="FFFF0000"/>
      <name val="Calibri"/>
      <family val="2"/>
      <scheme val="minor"/>
    </font>
    <font>
      <sz val="18"/>
      <name val="Calibri"/>
      <family val="2"/>
      <scheme val="minor"/>
    </font>
  </fonts>
  <fills count="1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0B0F0"/>
        <bgColor indexed="64"/>
      </patternFill>
    </fill>
    <fill>
      <patternFill patternType="solid">
        <fgColor rgb="FF7030A0"/>
        <bgColor indexed="64"/>
      </patternFill>
    </fill>
    <fill>
      <patternFill patternType="solid">
        <fgColor theme="0" tint="-0.499984740745262"/>
        <bgColor indexed="64"/>
      </patternFill>
    </fill>
    <fill>
      <patternFill patternType="solid">
        <fgColor indexed="22"/>
        <bgColor indexed="0"/>
      </patternFill>
    </fill>
    <fill>
      <patternFill patternType="solid">
        <fgColor rgb="FF00B050"/>
        <bgColor indexed="64"/>
      </patternFill>
    </fill>
    <fill>
      <patternFill patternType="solid">
        <fgColor rgb="FF0000FF"/>
        <bgColor indexed="64"/>
      </patternFill>
    </fill>
    <fill>
      <patternFill patternType="solid">
        <fgColor theme="9" tint="0.39997558519241921"/>
        <bgColor indexed="64"/>
      </patternFill>
    </fill>
    <fill>
      <patternFill patternType="solid">
        <fgColor rgb="FF33CCFF"/>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right/>
      <top style="medium">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ck">
        <color indexed="64"/>
      </left>
      <right style="thin">
        <color indexed="64"/>
      </right>
      <top style="medium">
        <color indexed="64"/>
      </top>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medium">
        <color indexed="64"/>
      </bottom>
      <diagonal/>
    </border>
    <border>
      <left style="thin">
        <color indexed="64"/>
      </left>
      <right/>
      <top style="thin">
        <color indexed="64"/>
      </top>
      <bottom/>
      <diagonal/>
    </border>
    <border>
      <left style="thick">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s>
  <cellStyleXfs count="3">
    <xf numFmtId="165" fontId="0" fillId="0" borderId="0"/>
    <xf numFmtId="165" fontId="3" fillId="0" borderId="0" applyNumberFormat="0" applyFill="0" applyBorder="0" applyAlignment="0" applyProtection="0">
      <alignment vertical="top"/>
      <protection locked="0"/>
    </xf>
    <xf numFmtId="165" fontId="10" fillId="0" borderId="0"/>
  </cellStyleXfs>
  <cellXfs count="213">
    <xf numFmtId="165" fontId="0" fillId="0" borderId="0" xfId="0"/>
    <xf numFmtId="165" fontId="0" fillId="0" borderId="0" xfId="0" applyFont="1"/>
    <xf numFmtId="165" fontId="0" fillId="3" borderId="0" xfId="0" applyFont="1" applyFill="1"/>
    <xf numFmtId="165" fontId="0" fillId="0" borderId="0" xfId="0" applyFont="1" applyAlignment="1">
      <alignment horizontal="center" vertical="center"/>
    </xf>
    <xf numFmtId="165" fontId="0" fillId="3" borderId="0" xfId="0" applyFont="1" applyFill="1" applyBorder="1"/>
    <xf numFmtId="165" fontId="0" fillId="0" borderId="0" xfId="0" applyFont="1" applyBorder="1" applyAlignment="1">
      <alignment horizontal="center"/>
    </xf>
    <xf numFmtId="165" fontId="0" fillId="0" borderId="0" xfId="0" applyFont="1" applyBorder="1"/>
    <xf numFmtId="165" fontId="0" fillId="3" borderId="0" xfId="0" applyFont="1" applyFill="1" applyBorder="1" applyAlignment="1">
      <alignment horizontal="center" vertical="center"/>
    </xf>
    <xf numFmtId="165" fontId="0" fillId="0" borderId="0" xfId="0" applyFont="1" applyBorder="1" applyAlignment="1">
      <alignment horizontal="center" vertical="center"/>
    </xf>
    <xf numFmtId="165" fontId="0" fillId="6" borderId="1" xfId="0" applyFill="1" applyBorder="1" applyAlignment="1">
      <alignment horizontal="center" vertical="center"/>
    </xf>
    <xf numFmtId="165" fontId="0" fillId="0" borderId="0" xfId="0" applyNumberFormat="1" applyFont="1" applyBorder="1"/>
    <xf numFmtId="165" fontId="0" fillId="8" borderId="1" xfId="0" applyFill="1" applyBorder="1"/>
    <xf numFmtId="165" fontId="5" fillId="2" borderId="1" xfId="0" applyFont="1" applyFill="1" applyBorder="1" applyAlignment="1">
      <alignment horizontal="center" vertical="center" wrapText="1"/>
    </xf>
    <xf numFmtId="1" fontId="0" fillId="0" borderId="0" xfId="0" applyNumberFormat="1" applyFont="1" applyBorder="1" applyAlignment="1">
      <alignment horizontal="center" vertical="center"/>
    </xf>
    <xf numFmtId="49" fontId="4" fillId="0" borderId="1" xfId="0" applyNumberFormat="1" applyFont="1" applyFill="1" applyBorder="1" applyAlignment="1">
      <alignment horizontal="left" vertical="top" wrapText="1"/>
    </xf>
    <xf numFmtId="49" fontId="4" fillId="0" borderId="1" xfId="0" applyNumberFormat="1" applyFont="1" applyFill="1" applyBorder="1" applyAlignment="1">
      <alignment horizontal="center" vertical="center"/>
    </xf>
    <xf numFmtId="49" fontId="4" fillId="0" borderId="1" xfId="0" applyNumberFormat="1" applyFont="1" applyFill="1" applyBorder="1" applyAlignment="1">
      <alignment horizontal="left" vertical="center"/>
    </xf>
    <xf numFmtId="49" fontId="4" fillId="0" borderId="1" xfId="0" applyNumberFormat="1" applyFont="1" applyFill="1" applyBorder="1" applyAlignment="1">
      <alignment wrapText="1"/>
    </xf>
    <xf numFmtId="1" fontId="4" fillId="0" borderId="1" xfId="0" applyNumberFormat="1" applyFont="1" applyFill="1" applyBorder="1" applyAlignment="1">
      <alignment horizontal="center" vertical="center"/>
    </xf>
    <xf numFmtId="49" fontId="4" fillId="0" borderId="1" xfId="0" applyNumberFormat="1" applyFont="1" applyFill="1" applyBorder="1" applyAlignment="1">
      <alignment horizontal="center" vertical="center" wrapText="1"/>
    </xf>
    <xf numFmtId="165" fontId="0" fillId="0" borderId="0" xfId="0" applyBorder="1"/>
    <xf numFmtId="165" fontId="0" fillId="9" borderId="3" xfId="0" applyFill="1" applyBorder="1"/>
    <xf numFmtId="165" fontId="0" fillId="3" borderId="2" xfId="0" applyFill="1" applyBorder="1"/>
    <xf numFmtId="165" fontId="0" fillId="0" borderId="0" xfId="0" applyFont="1" applyAlignment="1"/>
    <xf numFmtId="165" fontId="0" fillId="0" borderId="0" xfId="0" applyFont="1" applyBorder="1" applyAlignment="1">
      <alignment horizontal="left"/>
    </xf>
    <xf numFmtId="165" fontId="0" fillId="0" borderId="0" xfId="0" applyFont="1" applyAlignment="1">
      <alignment horizontal="left"/>
    </xf>
    <xf numFmtId="165" fontId="0" fillId="0" borderId="0" xfId="0" applyFont="1" applyBorder="1" applyAlignment="1"/>
    <xf numFmtId="165" fontId="0" fillId="3" borderId="0" xfId="0" applyFont="1" applyFill="1" applyAlignment="1">
      <alignment vertical="center"/>
    </xf>
    <xf numFmtId="165" fontId="0" fillId="3" borderId="0" xfId="0" applyFont="1" applyFill="1" applyAlignment="1">
      <alignment horizontal="center" vertical="center"/>
    </xf>
    <xf numFmtId="49" fontId="8" fillId="0" borderId="1" xfId="1" applyNumberFormat="1" applyFont="1" applyFill="1" applyBorder="1" applyAlignment="1" applyProtection="1">
      <alignment vertical="center"/>
    </xf>
    <xf numFmtId="165" fontId="6" fillId="0" borderId="0" xfId="0" applyFont="1" applyBorder="1" applyAlignment="1">
      <alignment vertical="center"/>
    </xf>
    <xf numFmtId="165" fontId="6" fillId="0" borderId="0" xfId="0" applyFont="1" applyAlignment="1"/>
    <xf numFmtId="165" fontId="9" fillId="0" borderId="1" xfId="2" applyFont="1" applyFill="1" applyBorder="1" applyAlignment="1">
      <alignment horizontal="center" wrapText="1"/>
    </xf>
    <xf numFmtId="164" fontId="9" fillId="0" borderId="1" xfId="2" applyNumberFormat="1" applyFont="1" applyFill="1" applyBorder="1" applyAlignment="1">
      <alignment horizontal="center" wrapText="1"/>
    </xf>
    <xf numFmtId="165" fontId="9" fillId="2" borderId="1" xfId="2" applyFont="1" applyFill="1" applyBorder="1" applyAlignment="1">
      <alignment horizontal="center" wrapText="1"/>
    </xf>
    <xf numFmtId="164" fontId="9" fillId="2" borderId="1" xfId="2" applyNumberFormat="1" applyFont="1" applyFill="1" applyBorder="1" applyAlignment="1">
      <alignment horizontal="center" wrapText="1"/>
    </xf>
    <xf numFmtId="165" fontId="9" fillId="2" borderId="1" xfId="2" applyFont="1" applyFill="1" applyBorder="1" applyAlignment="1">
      <alignment horizontal="left" wrapText="1"/>
    </xf>
    <xf numFmtId="165" fontId="9" fillId="7" borderId="1" xfId="2" applyFont="1" applyFill="1" applyBorder="1" applyAlignment="1">
      <alignment horizontal="center" vertical="center" wrapText="1"/>
    </xf>
    <xf numFmtId="165" fontId="9" fillId="5" borderId="1" xfId="2" applyFont="1" applyFill="1" applyBorder="1" applyAlignment="1">
      <alignment horizontal="center" vertical="center" wrapText="1"/>
    </xf>
    <xf numFmtId="165" fontId="2" fillId="11" borderId="6" xfId="0" applyFont="1" applyFill="1" applyBorder="1" applyAlignment="1">
      <alignment horizontal="center" vertical="center"/>
    </xf>
    <xf numFmtId="165" fontId="9" fillId="4" borderId="9" xfId="2" applyFont="1" applyFill="1" applyBorder="1" applyAlignment="1">
      <alignment horizontal="center" wrapText="1"/>
    </xf>
    <xf numFmtId="165" fontId="0" fillId="4" borderId="9" xfId="0" applyFont="1" applyFill="1" applyBorder="1"/>
    <xf numFmtId="1" fontId="4" fillId="0" borderId="11" xfId="0" applyNumberFormat="1" applyFont="1" applyFill="1" applyBorder="1" applyAlignment="1">
      <alignment horizontal="center" vertical="center"/>
    </xf>
    <xf numFmtId="165" fontId="9" fillId="13" borderId="11" xfId="2" applyFont="1" applyFill="1" applyBorder="1" applyAlignment="1">
      <alignment horizontal="center"/>
    </xf>
    <xf numFmtId="165" fontId="9" fillId="13" borderId="12" xfId="2" applyFont="1" applyFill="1" applyBorder="1" applyAlignment="1">
      <alignment horizontal="center"/>
    </xf>
    <xf numFmtId="165" fontId="4" fillId="3" borderId="0" xfId="0" applyFont="1" applyFill="1"/>
    <xf numFmtId="165" fontId="4" fillId="0" borderId="0" xfId="0" applyFont="1"/>
    <xf numFmtId="165" fontId="11" fillId="0" borderId="14" xfId="2" applyFont="1" applyFill="1" applyBorder="1" applyAlignment="1">
      <alignment horizontal="center" vertical="center" wrapText="1"/>
    </xf>
    <xf numFmtId="165" fontId="11" fillId="0" borderId="1" xfId="2" applyFont="1" applyFill="1" applyBorder="1" applyAlignment="1">
      <alignment horizontal="center" wrapText="1"/>
    </xf>
    <xf numFmtId="164" fontId="11" fillId="0" borderId="1" xfId="2" applyNumberFormat="1" applyFont="1" applyFill="1" applyBorder="1" applyAlignment="1">
      <alignment horizontal="center" wrapText="1"/>
    </xf>
    <xf numFmtId="1" fontId="11" fillId="0" borderId="1" xfId="2" applyNumberFormat="1" applyFont="1" applyFill="1" applyBorder="1" applyAlignment="1">
      <alignment horizontal="center" wrapText="1"/>
    </xf>
    <xf numFmtId="165" fontId="11" fillId="0" borderId="9" xfId="2" applyFont="1" applyFill="1" applyBorder="1" applyAlignment="1">
      <alignment horizontal="center" vertical="center" wrapText="1"/>
    </xf>
    <xf numFmtId="165" fontId="11" fillId="0" borderId="1" xfId="2" applyFont="1" applyBorder="1"/>
    <xf numFmtId="49" fontId="8" fillId="4" borderId="11" xfId="1" applyNumberFormat="1" applyFont="1" applyFill="1" applyBorder="1" applyAlignment="1" applyProtection="1">
      <alignment vertical="center"/>
    </xf>
    <xf numFmtId="49" fontId="4" fillId="4" borderId="11" xfId="0" applyNumberFormat="1" applyFont="1" applyFill="1" applyBorder="1" applyAlignment="1"/>
    <xf numFmtId="49" fontId="4" fillId="4" borderId="11" xfId="0" applyNumberFormat="1" applyFont="1" applyFill="1" applyBorder="1" applyAlignment="1">
      <alignment horizontal="left"/>
    </xf>
    <xf numFmtId="49" fontId="4" fillId="4" borderId="11" xfId="0" applyNumberFormat="1" applyFont="1" applyFill="1" applyBorder="1" applyAlignment="1">
      <alignment horizontal="center" vertical="center"/>
    </xf>
    <xf numFmtId="49" fontId="4" fillId="4" borderId="11" xfId="0" applyNumberFormat="1" applyFont="1" applyFill="1" applyBorder="1" applyAlignment="1">
      <alignment horizontal="left" vertical="center"/>
    </xf>
    <xf numFmtId="165" fontId="4" fillId="4" borderId="11" xfId="0" applyFont="1" applyFill="1" applyBorder="1" applyAlignment="1">
      <alignment horizontal="center" vertical="center" wrapText="1"/>
    </xf>
    <xf numFmtId="165" fontId="0" fillId="4" borderId="12" xfId="0" applyFont="1" applyFill="1" applyBorder="1"/>
    <xf numFmtId="165" fontId="11" fillId="17" borderId="1" xfId="2" applyFont="1" applyFill="1" applyBorder="1" applyAlignment="1">
      <alignment horizontal="center" vertical="center" wrapText="1"/>
    </xf>
    <xf numFmtId="165" fontId="0" fillId="3" borderId="20" xfId="0" applyFill="1" applyBorder="1"/>
    <xf numFmtId="165" fontId="0" fillId="8" borderId="5" xfId="0" applyFill="1" applyBorder="1"/>
    <xf numFmtId="165" fontId="0" fillId="0" borderId="21" xfId="0" applyBorder="1"/>
    <xf numFmtId="165" fontId="0" fillId="8" borderId="8" xfId="0" applyFill="1" applyBorder="1"/>
    <xf numFmtId="165" fontId="0" fillId="9" borderId="8" xfId="0" applyFill="1" applyBorder="1"/>
    <xf numFmtId="165" fontId="0" fillId="0" borderId="27" xfId="0" applyBorder="1"/>
    <xf numFmtId="165" fontId="0" fillId="8" borderId="11" xfId="0" applyFill="1" applyBorder="1"/>
    <xf numFmtId="165" fontId="11" fillId="14" borderId="4" xfId="2" applyFont="1" applyFill="1" applyBorder="1" applyAlignment="1">
      <alignment horizontal="center" vertical="center" wrapText="1"/>
    </xf>
    <xf numFmtId="165" fontId="6" fillId="0" borderId="0" xfId="0" applyFont="1" applyBorder="1" applyAlignment="1"/>
    <xf numFmtId="49" fontId="4" fillId="0" borderId="3" xfId="1" applyNumberFormat="1" applyFont="1" applyFill="1" applyBorder="1" applyAlignment="1" applyProtection="1">
      <alignment horizontal="center" vertical="center"/>
    </xf>
    <xf numFmtId="165" fontId="4" fillId="0" borderId="3" xfId="0" applyNumberFormat="1" applyFont="1" applyFill="1" applyBorder="1" applyAlignment="1">
      <alignment horizontal="center" vertical="center"/>
    </xf>
    <xf numFmtId="49" fontId="4" fillId="0" borderId="3" xfId="0" applyNumberFormat="1" applyFont="1" applyFill="1" applyBorder="1" applyAlignment="1">
      <alignment horizontal="left" vertical="top" wrapText="1"/>
    </xf>
    <xf numFmtId="49" fontId="4" fillId="0" borderId="3" xfId="0" applyNumberFormat="1" applyFont="1" applyFill="1" applyBorder="1" applyAlignment="1">
      <alignment horizontal="center" vertical="center"/>
    </xf>
    <xf numFmtId="49" fontId="4" fillId="0" borderId="3" xfId="0" applyNumberFormat="1" applyFont="1" applyFill="1" applyBorder="1" applyAlignment="1">
      <alignment horizontal="left" vertical="center"/>
    </xf>
    <xf numFmtId="49" fontId="4" fillId="0" borderId="3" xfId="0" applyNumberFormat="1" applyFont="1" applyFill="1" applyBorder="1" applyAlignment="1">
      <alignment wrapText="1"/>
    </xf>
    <xf numFmtId="1" fontId="4" fillId="0" borderId="3" xfId="0" applyNumberFormat="1" applyFont="1" applyFill="1" applyBorder="1" applyAlignment="1">
      <alignment horizontal="center" vertical="center"/>
    </xf>
    <xf numFmtId="165" fontId="11" fillId="17" borderId="3" xfId="2" applyFont="1" applyFill="1" applyBorder="1" applyAlignment="1">
      <alignment horizontal="center" vertical="center" wrapText="1"/>
    </xf>
    <xf numFmtId="165" fontId="4" fillId="3" borderId="24" xfId="0" applyFont="1" applyFill="1" applyBorder="1" applyAlignment="1">
      <alignment horizontal="center" vertical="center"/>
    </xf>
    <xf numFmtId="165" fontId="11" fillId="0" borderId="1" xfId="2" applyFont="1" applyFill="1" applyBorder="1" applyAlignment="1">
      <alignment horizontal="left" vertical="top" wrapText="1"/>
    </xf>
    <xf numFmtId="165" fontId="9" fillId="0" borderId="1" xfId="2" applyFont="1" applyFill="1" applyBorder="1" applyAlignment="1">
      <alignment horizontal="left" vertical="top" wrapText="1"/>
    </xf>
    <xf numFmtId="165" fontId="9" fillId="13" borderId="15" xfId="2" applyFont="1" applyFill="1" applyBorder="1" applyAlignment="1">
      <alignment horizontal="center"/>
    </xf>
    <xf numFmtId="165" fontId="11" fillId="0" borderId="35" xfId="2" applyFont="1" applyFill="1" applyBorder="1" applyAlignment="1">
      <alignment horizontal="center" wrapText="1"/>
    </xf>
    <xf numFmtId="165" fontId="9" fillId="13" borderId="39" xfId="2" applyFont="1" applyFill="1" applyBorder="1" applyAlignment="1">
      <alignment horizontal="center"/>
    </xf>
    <xf numFmtId="165" fontId="11" fillId="0" borderId="38" xfId="2" applyFont="1" applyFill="1" applyBorder="1" applyAlignment="1">
      <alignment horizontal="center" vertical="center" wrapText="1"/>
    </xf>
    <xf numFmtId="49" fontId="4" fillId="3" borderId="40" xfId="0" applyNumberFormat="1" applyFont="1" applyFill="1" applyBorder="1" applyAlignment="1">
      <alignment horizontal="left"/>
    </xf>
    <xf numFmtId="165" fontId="11" fillId="0" borderId="41" xfId="2" applyFont="1" applyFill="1" applyBorder="1" applyAlignment="1">
      <alignment horizontal="center" vertical="center" wrapText="1"/>
    </xf>
    <xf numFmtId="165" fontId="11" fillId="0" borderId="39" xfId="2" applyFont="1" applyFill="1" applyBorder="1" applyAlignment="1">
      <alignment horizontal="center" vertical="center" wrapText="1"/>
    </xf>
    <xf numFmtId="165" fontId="9" fillId="0" borderId="35" xfId="2" applyFont="1" applyFill="1" applyBorder="1" applyAlignment="1">
      <alignment horizontal="center" wrapText="1"/>
    </xf>
    <xf numFmtId="165" fontId="9" fillId="2" borderId="41" xfId="2" applyFont="1" applyFill="1" applyBorder="1" applyAlignment="1">
      <alignment horizontal="center" wrapText="1"/>
    </xf>
    <xf numFmtId="165" fontId="1" fillId="2" borderId="1" xfId="0" applyFont="1" applyFill="1" applyBorder="1" applyAlignment="1">
      <alignment horizontal="center" vertical="center" wrapText="1"/>
    </xf>
    <xf numFmtId="165" fontId="13" fillId="0" borderId="4" xfId="2" applyFont="1" applyFill="1" applyBorder="1" applyAlignment="1">
      <alignment horizontal="center" wrapText="1"/>
    </xf>
    <xf numFmtId="164" fontId="13" fillId="0" borderId="4" xfId="2" applyNumberFormat="1" applyFont="1" applyFill="1" applyBorder="1" applyAlignment="1">
      <alignment horizontal="center" wrapText="1"/>
    </xf>
    <xf numFmtId="1" fontId="13" fillId="0" borderId="4" xfId="2" applyNumberFormat="1" applyFont="1" applyFill="1" applyBorder="1" applyAlignment="1">
      <alignment horizontal="center" wrapText="1"/>
    </xf>
    <xf numFmtId="165" fontId="13" fillId="0" borderId="4" xfId="2" applyFont="1" applyBorder="1"/>
    <xf numFmtId="165" fontId="13" fillId="0" borderId="36" xfId="2" applyFont="1" applyFill="1" applyBorder="1" applyAlignment="1">
      <alignment horizontal="center" wrapText="1"/>
    </xf>
    <xf numFmtId="165" fontId="0" fillId="3" borderId="41" xfId="0" applyFont="1" applyFill="1" applyBorder="1" applyAlignment="1">
      <alignment horizontal="center" vertical="center"/>
    </xf>
    <xf numFmtId="165" fontId="0" fillId="6" borderId="1" xfId="0" applyFont="1" applyFill="1" applyBorder="1" applyAlignment="1">
      <alignment horizontal="center" vertical="center"/>
    </xf>
    <xf numFmtId="165" fontId="0" fillId="3" borderId="35" xfId="0" applyFont="1" applyFill="1" applyBorder="1" applyAlignment="1">
      <alignment horizontal="left" vertical="center"/>
    </xf>
    <xf numFmtId="165" fontId="14" fillId="2" borderId="1" xfId="2" applyFont="1" applyFill="1" applyBorder="1"/>
    <xf numFmtId="165" fontId="0" fillId="4" borderId="11" xfId="0" applyFont="1" applyFill="1" applyBorder="1" applyAlignment="1">
      <alignment horizontal="left" vertical="center"/>
    </xf>
    <xf numFmtId="165" fontId="0" fillId="8" borderId="28" xfId="0" applyFont="1" applyFill="1" applyBorder="1" applyAlignment="1">
      <alignment horizontal="center" vertical="center"/>
    </xf>
    <xf numFmtId="165" fontId="0" fillId="0" borderId="23" xfId="0" applyFont="1" applyBorder="1"/>
    <xf numFmtId="165" fontId="0" fillId="8" borderId="29" xfId="0" applyFont="1" applyFill="1" applyBorder="1" applyAlignment="1">
      <alignment horizontal="center" vertical="center"/>
    </xf>
    <xf numFmtId="165" fontId="0" fillId="0" borderId="19" xfId="0" applyFont="1" applyBorder="1"/>
    <xf numFmtId="165" fontId="0" fillId="8" borderId="30" xfId="0" applyFont="1" applyFill="1" applyBorder="1" applyAlignment="1">
      <alignment horizontal="center" vertical="center"/>
    </xf>
    <xf numFmtId="165" fontId="0" fillId="0" borderId="31" xfId="0" applyFont="1" applyFill="1" applyBorder="1"/>
    <xf numFmtId="165" fontId="0" fillId="0" borderId="31" xfId="0" applyFont="1" applyBorder="1"/>
    <xf numFmtId="165" fontId="13" fillId="0" borderId="4" xfId="2" applyFont="1" applyFill="1" applyBorder="1" applyAlignment="1">
      <alignment horizontal="center" vertical="top" wrapText="1"/>
    </xf>
    <xf numFmtId="165" fontId="9" fillId="4" borderId="1" xfId="2" applyFont="1" applyFill="1" applyBorder="1" applyAlignment="1">
      <alignment horizontal="center" wrapText="1"/>
    </xf>
    <xf numFmtId="165" fontId="9" fillId="4" borderId="35" xfId="2" applyFont="1" applyFill="1" applyBorder="1" applyAlignment="1">
      <alignment horizontal="center" wrapText="1"/>
    </xf>
    <xf numFmtId="165" fontId="0" fillId="3" borderId="41" xfId="0" applyFill="1" applyBorder="1" applyAlignment="1">
      <alignment horizontal="center" vertical="center"/>
    </xf>
    <xf numFmtId="49" fontId="1" fillId="2" borderId="8" xfId="0" applyNumberFormat="1" applyFont="1" applyFill="1" applyBorder="1" applyAlignment="1">
      <alignment horizontal="center" vertical="center" wrapText="1"/>
    </xf>
    <xf numFmtId="49" fontId="9" fillId="13" borderId="10" xfId="2" applyNumberFormat="1" applyFont="1" applyFill="1" applyBorder="1" applyAlignment="1">
      <alignment horizontal="center"/>
    </xf>
    <xf numFmtId="49" fontId="13" fillId="0" borderId="13" xfId="2" applyNumberFormat="1" applyFont="1" applyFill="1" applyBorder="1" applyAlignment="1">
      <alignment horizontal="center" wrapText="1"/>
    </xf>
    <xf numFmtId="49" fontId="11" fillId="0" borderId="8" xfId="2" applyNumberFormat="1" applyFont="1" applyFill="1" applyBorder="1" applyAlignment="1">
      <alignment horizontal="center" wrapText="1"/>
    </xf>
    <xf numFmtId="49" fontId="4" fillId="0" borderId="32" xfId="0" applyNumberFormat="1" applyFont="1" applyFill="1" applyBorder="1" applyAlignment="1">
      <alignment horizontal="center" vertical="center"/>
    </xf>
    <xf numFmtId="49" fontId="9" fillId="0" borderId="8" xfId="2" applyNumberFormat="1" applyFont="1" applyFill="1" applyBorder="1" applyAlignment="1">
      <alignment horizontal="center" wrapText="1"/>
    </xf>
    <xf numFmtId="49" fontId="4" fillId="0" borderId="8" xfId="0" applyNumberFormat="1" applyFont="1" applyFill="1" applyBorder="1" applyAlignment="1">
      <alignment horizontal="center" vertical="center"/>
    </xf>
    <xf numFmtId="49" fontId="9" fillId="2" borderId="8" xfId="2" applyNumberFormat="1" applyFont="1" applyFill="1" applyBorder="1" applyAlignment="1">
      <alignment horizontal="center" wrapText="1"/>
    </xf>
    <xf numFmtId="49" fontId="4" fillId="4" borderId="10" xfId="0" applyNumberFormat="1" applyFont="1" applyFill="1" applyBorder="1" applyAlignment="1">
      <alignment horizontal="center" vertical="center"/>
    </xf>
    <xf numFmtId="49" fontId="0" fillId="0" borderId="0" xfId="0" applyNumberFormat="1" applyFont="1" applyBorder="1" applyAlignment="1">
      <alignment horizontal="center" vertical="center"/>
    </xf>
    <xf numFmtId="49" fontId="0" fillId="0" borderId="0" xfId="0" applyNumberFormat="1" applyFont="1"/>
    <xf numFmtId="165" fontId="16" fillId="0" borderId="4" xfId="2" applyFont="1" applyBorder="1"/>
    <xf numFmtId="49" fontId="4" fillId="0" borderId="1" xfId="0" applyNumberFormat="1" applyFont="1" applyFill="1" applyBorder="1" applyAlignment="1">
      <alignment horizontal="center"/>
    </xf>
    <xf numFmtId="165" fontId="11" fillId="0" borderId="4" xfId="2" applyFont="1" applyFill="1" applyBorder="1" applyAlignment="1">
      <alignment horizontal="center" wrapText="1"/>
    </xf>
    <xf numFmtId="164" fontId="11" fillId="0" borderId="4" xfId="2" applyNumberFormat="1" applyFont="1" applyFill="1" applyBorder="1" applyAlignment="1">
      <alignment horizontal="center" wrapText="1"/>
    </xf>
    <xf numFmtId="165" fontId="11" fillId="0" borderId="4" xfId="2" applyFont="1" applyFill="1" applyBorder="1" applyAlignment="1">
      <alignment horizontal="center" vertical="top" wrapText="1"/>
    </xf>
    <xf numFmtId="1" fontId="11" fillId="0" borderId="4" xfId="2" applyNumberFormat="1" applyFont="1" applyFill="1" applyBorder="1" applyAlignment="1">
      <alignment horizontal="center" wrapText="1"/>
    </xf>
    <xf numFmtId="165" fontId="11" fillId="0" borderId="4" xfId="2" applyFont="1" applyBorder="1"/>
    <xf numFmtId="165" fontId="11" fillId="0" borderId="36" xfId="2" applyFont="1" applyFill="1" applyBorder="1" applyAlignment="1">
      <alignment horizontal="center" wrapText="1"/>
    </xf>
    <xf numFmtId="165" fontId="17" fillId="0" borderId="4" xfId="2" applyFont="1" applyFill="1" applyBorder="1" applyAlignment="1">
      <alignment horizontal="center" wrapText="1"/>
    </xf>
    <xf numFmtId="49" fontId="15" fillId="0" borderId="1" xfId="1" applyNumberFormat="1" applyFont="1" applyFill="1" applyBorder="1" applyAlignment="1" applyProtection="1">
      <alignment horizontal="center" vertical="center"/>
    </xf>
    <xf numFmtId="49" fontId="17" fillId="0" borderId="13" xfId="2" applyNumberFormat="1" applyFont="1" applyFill="1" applyBorder="1" applyAlignment="1">
      <alignment horizontal="center" wrapText="1"/>
    </xf>
    <xf numFmtId="165" fontId="0" fillId="3" borderId="35" xfId="0" applyFill="1" applyBorder="1" applyAlignment="1">
      <alignment horizontal="center"/>
    </xf>
    <xf numFmtId="49" fontId="4" fillId="0" borderId="1" xfId="0" applyNumberFormat="1" applyFont="1" applyFill="1" applyBorder="1" applyAlignment="1">
      <alignment horizontal="center" vertical="top" wrapText="1"/>
    </xf>
    <xf numFmtId="49" fontId="0" fillId="0" borderId="1" xfId="0" applyNumberFormat="1" applyFill="1" applyBorder="1" applyAlignment="1">
      <alignment horizontal="center"/>
    </xf>
    <xf numFmtId="165" fontId="18" fillId="3" borderId="0" xfId="0" applyFont="1" applyFill="1" applyAlignment="1">
      <alignment wrapText="1"/>
    </xf>
    <xf numFmtId="165" fontId="18" fillId="3" borderId="0" xfId="0" applyFont="1" applyFill="1" applyAlignment="1">
      <alignment horizontal="center" vertical="center" wrapText="1"/>
    </xf>
    <xf numFmtId="165" fontId="18" fillId="0" borderId="0" xfId="0" applyFont="1" applyAlignment="1">
      <alignment wrapText="1"/>
    </xf>
    <xf numFmtId="0" fontId="13" fillId="0" borderId="4" xfId="2" applyNumberFormat="1" applyFont="1" applyFill="1" applyBorder="1" applyAlignment="1">
      <alignment horizontal="center" vertical="top" wrapText="1"/>
    </xf>
    <xf numFmtId="1" fontId="9" fillId="13" borderId="11" xfId="2" applyNumberFormat="1" applyFont="1" applyFill="1" applyBorder="1" applyAlignment="1">
      <alignment horizontal="center"/>
    </xf>
    <xf numFmtId="1" fontId="9" fillId="0" borderId="1" xfId="2" applyNumberFormat="1" applyFont="1" applyFill="1" applyBorder="1" applyAlignment="1">
      <alignment horizontal="center" wrapText="1"/>
    </xf>
    <xf numFmtId="1" fontId="4" fillId="14" borderId="11" xfId="0" applyNumberFormat="1" applyFont="1" applyFill="1" applyBorder="1" applyAlignment="1">
      <alignment horizontal="center" vertical="center"/>
    </xf>
    <xf numFmtId="1" fontId="1" fillId="2" borderId="9" xfId="0" applyNumberFormat="1" applyFont="1" applyFill="1" applyBorder="1" applyAlignment="1">
      <alignment horizontal="center" vertical="center"/>
    </xf>
    <xf numFmtId="1" fontId="1" fillId="16" borderId="9" xfId="0" applyNumberFormat="1" applyFont="1" applyFill="1" applyBorder="1" applyAlignment="1">
      <alignment horizontal="center" vertical="center"/>
    </xf>
    <xf numFmtId="1" fontId="2" fillId="15" borderId="24" xfId="0" applyNumberFormat="1" applyFont="1" applyFill="1" applyBorder="1" applyAlignment="1">
      <alignment horizontal="center" vertical="center"/>
    </xf>
    <xf numFmtId="1" fontId="2" fillId="3" borderId="25" xfId="0" applyNumberFormat="1" applyFont="1" applyFill="1" applyBorder="1" applyAlignment="1">
      <alignment horizontal="center" vertical="center"/>
    </xf>
    <xf numFmtId="1" fontId="2" fillId="3" borderId="26" xfId="0" applyNumberFormat="1" applyFont="1" applyFill="1" applyBorder="1" applyAlignment="1">
      <alignment horizontal="center" vertical="center"/>
    </xf>
    <xf numFmtId="1" fontId="2" fillId="5" borderId="9" xfId="0" applyNumberFormat="1" applyFont="1" applyFill="1" applyBorder="1" applyAlignment="1">
      <alignment horizontal="center" vertical="center"/>
    </xf>
    <xf numFmtId="1" fontId="0" fillId="14" borderId="9" xfId="0" applyNumberFormat="1" applyFill="1" applyBorder="1" applyAlignment="1">
      <alignment horizontal="center" vertical="center"/>
    </xf>
    <xf numFmtId="1" fontId="0" fillId="17" borderId="12" xfId="0" applyNumberFormat="1" applyFill="1" applyBorder="1" applyAlignment="1">
      <alignment horizontal="center" vertical="center"/>
    </xf>
    <xf numFmtId="1" fontId="0" fillId="0" borderId="0" xfId="0" applyNumberFormat="1"/>
    <xf numFmtId="0" fontId="19" fillId="0" borderId="4" xfId="2" applyNumberFormat="1" applyFont="1" applyFill="1" applyBorder="1" applyAlignment="1">
      <alignment horizontal="center" vertical="top" wrapText="1"/>
    </xf>
    <xf numFmtId="0" fontId="4" fillId="0" borderId="1" xfId="0" applyNumberFormat="1" applyFont="1" applyFill="1" applyBorder="1" applyAlignment="1">
      <alignment horizontal="center" vertical="center"/>
    </xf>
    <xf numFmtId="0" fontId="11" fillId="0" borderId="4" xfId="2" applyNumberFormat="1" applyFont="1" applyFill="1" applyBorder="1" applyAlignment="1">
      <alignment horizontal="center" wrapText="1"/>
    </xf>
    <xf numFmtId="49" fontId="4" fillId="0" borderId="1" xfId="0" applyNumberFormat="1" applyFont="1" applyFill="1" applyBorder="1" applyAlignment="1">
      <alignment horizontal="center" wrapText="1"/>
    </xf>
    <xf numFmtId="0" fontId="4" fillId="0" borderId="1" xfId="0" applyNumberFormat="1" applyFont="1" applyFill="1" applyBorder="1" applyAlignment="1">
      <alignment horizontal="center"/>
    </xf>
    <xf numFmtId="1" fontId="4" fillId="0" borderId="1" xfId="0" applyNumberFormat="1" applyFont="1" applyFill="1" applyBorder="1" applyAlignment="1">
      <alignment horizontal="center"/>
    </xf>
    <xf numFmtId="0" fontId="13" fillId="0" borderId="4" xfId="2" applyNumberFormat="1" applyFont="1" applyFill="1" applyBorder="1" applyAlignment="1">
      <alignment horizontal="center" wrapText="1"/>
    </xf>
    <xf numFmtId="165" fontId="19" fillId="0" borderId="4" xfId="2" applyFont="1" applyFill="1" applyBorder="1" applyAlignment="1">
      <alignment horizontal="center" wrapText="1"/>
    </xf>
    <xf numFmtId="0" fontId="4" fillId="0" borderId="4" xfId="2" applyNumberFormat="1" applyFont="1" applyFill="1" applyBorder="1" applyAlignment="1">
      <alignment horizontal="center" vertical="top" wrapText="1"/>
    </xf>
    <xf numFmtId="165" fontId="4" fillId="0" borderId="4" xfId="2" applyFont="1" applyFill="1" applyBorder="1" applyAlignment="1">
      <alignment horizontal="center" wrapText="1"/>
    </xf>
    <xf numFmtId="49" fontId="18" fillId="0" borderId="13" xfId="2" applyNumberFormat="1" applyFont="1" applyFill="1" applyBorder="1" applyAlignment="1">
      <alignment horizontal="center" wrapText="1"/>
    </xf>
    <xf numFmtId="0" fontId="17" fillId="0" borderId="4" xfId="2" applyNumberFormat="1" applyFont="1" applyFill="1" applyBorder="1" applyAlignment="1">
      <alignment horizontal="center" wrapText="1"/>
    </xf>
    <xf numFmtId="165" fontId="11" fillId="5" borderId="4" xfId="2" applyFont="1" applyFill="1" applyBorder="1" applyAlignment="1">
      <alignment horizontal="center" vertical="center" wrapText="1"/>
    </xf>
    <xf numFmtId="165" fontId="13" fillId="2" borderId="36" xfId="2" applyFont="1" applyFill="1" applyBorder="1" applyAlignment="1">
      <alignment horizontal="center" wrapText="1"/>
    </xf>
    <xf numFmtId="165" fontId="11" fillId="0" borderId="4" xfId="2" applyFont="1" applyFill="1" applyBorder="1"/>
    <xf numFmtId="0" fontId="0" fillId="7" borderId="6" xfId="0" applyNumberFormat="1" applyFill="1" applyBorder="1" applyAlignment="1">
      <alignment horizontal="center" vertical="center"/>
    </xf>
    <xf numFmtId="0" fontId="0" fillId="5" borderId="1" xfId="0" applyNumberFormat="1" applyFill="1" applyBorder="1" applyAlignment="1">
      <alignment horizontal="center" vertical="center"/>
    </xf>
    <xf numFmtId="0" fontId="0" fillId="6" borderId="1" xfId="0" applyNumberFormat="1" applyFill="1" applyBorder="1" applyAlignment="1">
      <alignment horizontal="center" vertical="center"/>
    </xf>
    <xf numFmtId="0" fontId="0" fillId="10" borderId="1" xfId="0" applyNumberFormat="1" applyFill="1" applyBorder="1" applyAlignment="1">
      <alignment horizontal="center" vertical="center"/>
    </xf>
    <xf numFmtId="0" fontId="0" fillId="3" borderId="1" xfId="0" applyNumberFormat="1" applyFill="1" applyBorder="1" applyAlignment="1">
      <alignment horizontal="center" vertical="center"/>
    </xf>
    <xf numFmtId="0" fontId="2" fillId="4" borderId="1" xfId="0" applyNumberFormat="1" applyFont="1" applyFill="1" applyBorder="1" applyAlignment="1">
      <alignment horizontal="center" vertical="center"/>
    </xf>
    <xf numFmtId="165" fontId="7" fillId="14" borderId="28" xfId="0" applyFont="1" applyFill="1" applyBorder="1" applyAlignment="1">
      <alignment horizontal="center" vertical="center" textRotation="47"/>
    </xf>
    <xf numFmtId="165" fontId="7" fillId="14" borderId="29" xfId="0" applyFont="1" applyFill="1" applyBorder="1" applyAlignment="1">
      <alignment horizontal="center" vertical="center" textRotation="47"/>
    </xf>
    <xf numFmtId="165" fontId="7" fillId="14" borderId="30" xfId="0" applyFont="1" applyFill="1" applyBorder="1" applyAlignment="1">
      <alignment horizontal="center" vertical="center" textRotation="47"/>
    </xf>
    <xf numFmtId="165" fontId="1" fillId="2" borderId="7" xfId="0" applyFont="1" applyFill="1" applyBorder="1" applyAlignment="1">
      <alignment horizontal="center" vertical="center" wrapText="1"/>
    </xf>
    <xf numFmtId="165" fontId="1" fillId="2" borderId="9" xfId="0" applyFont="1" applyFill="1" applyBorder="1" applyAlignment="1">
      <alignment horizontal="center" vertical="center" wrapText="1"/>
    </xf>
    <xf numFmtId="165" fontId="2" fillId="4" borderId="43" xfId="0" applyNumberFormat="1" applyFont="1" applyFill="1" applyBorder="1" applyAlignment="1">
      <alignment horizontal="center" vertical="center"/>
    </xf>
    <xf numFmtId="165" fontId="2" fillId="4" borderId="44" xfId="0" applyNumberFormat="1" applyFont="1" applyFill="1" applyBorder="1" applyAlignment="1">
      <alignment horizontal="center" vertical="center"/>
    </xf>
    <xf numFmtId="165" fontId="2" fillId="4" borderId="33" xfId="0" applyNumberFormat="1" applyFont="1" applyFill="1" applyBorder="1" applyAlignment="1">
      <alignment horizontal="center" vertical="center"/>
    </xf>
    <xf numFmtId="165" fontId="2" fillId="4" borderId="34" xfId="0" applyNumberFormat="1" applyFont="1" applyFill="1" applyBorder="1" applyAlignment="1">
      <alignment horizontal="center" vertical="center"/>
    </xf>
    <xf numFmtId="165" fontId="2" fillId="4" borderId="8" xfId="0" applyNumberFormat="1" applyFont="1" applyFill="1" applyBorder="1" applyAlignment="1">
      <alignment horizontal="center" vertical="center"/>
    </xf>
    <xf numFmtId="165" fontId="2" fillId="4" borderId="1" xfId="0" applyNumberFormat="1" applyFont="1" applyFill="1" applyBorder="1" applyAlignment="1">
      <alignment horizontal="center" vertical="center"/>
    </xf>
    <xf numFmtId="165" fontId="2" fillId="4" borderId="9" xfId="0" applyNumberFormat="1" applyFont="1" applyFill="1" applyBorder="1" applyAlignment="1">
      <alignment horizontal="center" vertical="center"/>
    </xf>
    <xf numFmtId="49" fontId="7" fillId="9" borderId="15" xfId="0" applyNumberFormat="1" applyFont="1" applyFill="1" applyBorder="1" applyAlignment="1">
      <alignment horizontal="right" vertical="center" wrapText="1"/>
    </xf>
    <xf numFmtId="49" fontId="7" fillId="9" borderId="16" xfId="0" applyNumberFormat="1" applyFont="1" applyFill="1" applyBorder="1" applyAlignment="1">
      <alignment horizontal="right" vertical="center" wrapText="1"/>
    </xf>
    <xf numFmtId="165" fontId="1" fillId="9" borderId="5" xfId="0" applyFont="1" applyFill="1" applyBorder="1" applyAlignment="1">
      <alignment horizontal="center" vertical="center"/>
    </xf>
    <xf numFmtId="165" fontId="1" fillId="9" borderId="6" xfId="0" applyFont="1" applyFill="1" applyBorder="1" applyAlignment="1">
      <alignment horizontal="center" vertical="center"/>
    </xf>
    <xf numFmtId="165" fontId="1" fillId="2" borderId="6" xfId="0" applyFont="1" applyFill="1" applyBorder="1" applyAlignment="1">
      <alignment horizontal="center" vertical="center" wrapText="1"/>
    </xf>
    <xf numFmtId="165" fontId="1" fillId="2" borderId="1" xfId="0" applyFont="1" applyFill="1" applyBorder="1" applyAlignment="1">
      <alignment horizontal="center" vertical="center" wrapText="1"/>
    </xf>
    <xf numFmtId="165" fontId="1" fillId="2" borderId="6" xfId="0" applyNumberFormat="1"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1" fontId="1" fillId="2" borderId="6"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65" fontId="1" fillId="2" borderId="22" xfId="0" applyFont="1" applyFill="1" applyBorder="1" applyAlignment="1">
      <alignment horizontal="center" vertical="center" wrapText="1"/>
    </xf>
    <xf numFmtId="165" fontId="1" fillId="2" borderId="35" xfId="0" applyFont="1" applyFill="1" applyBorder="1" applyAlignment="1">
      <alignment horizontal="center" vertical="center" wrapText="1"/>
    </xf>
    <xf numFmtId="0" fontId="9" fillId="2" borderId="35" xfId="2" applyNumberFormat="1" applyFont="1" applyFill="1" applyBorder="1" applyAlignment="1">
      <alignment horizontal="center" wrapText="1"/>
    </xf>
    <xf numFmtId="0" fontId="9" fillId="2" borderId="42" xfId="2" applyNumberFormat="1" applyFont="1" applyFill="1" applyBorder="1" applyAlignment="1">
      <alignment horizontal="center" wrapText="1"/>
    </xf>
    <xf numFmtId="165" fontId="2" fillId="4" borderId="17" xfId="0" applyFont="1" applyFill="1" applyBorder="1" applyAlignment="1">
      <alignment horizontal="center" vertical="top" wrapText="1"/>
    </xf>
    <xf numFmtId="165" fontId="2" fillId="4" borderId="18" xfId="0" applyFont="1" applyFill="1" applyBorder="1" applyAlignment="1">
      <alignment horizontal="center" vertical="top" wrapText="1"/>
    </xf>
    <xf numFmtId="165" fontId="2" fillId="4" borderId="19" xfId="0" applyFont="1" applyFill="1" applyBorder="1" applyAlignment="1">
      <alignment horizontal="center" vertical="top" wrapText="1"/>
    </xf>
    <xf numFmtId="165" fontId="1" fillId="2" borderId="37" xfId="0" applyFont="1" applyFill="1" applyBorder="1" applyAlignment="1">
      <alignment horizontal="center" vertical="center" wrapText="1"/>
    </xf>
    <xf numFmtId="165" fontId="1" fillId="2" borderId="38" xfId="0" applyFont="1" applyFill="1" applyBorder="1" applyAlignment="1">
      <alignment horizontal="center" vertical="center" wrapText="1"/>
    </xf>
    <xf numFmtId="165" fontId="12" fillId="4" borderId="17" xfId="2" applyFont="1" applyFill="1" applyBorder="1" applyAlignment="1">
      <alignment horizontal="center" wrapText="1"/>
    </xf>
    <xf numFmtId="165" fontId="12" fillId="4" borderId="18" xfId="2" applyFont="1" applyFill="1" applyBorder="1" applyAlignment="1">
      <alignment horizontal="center" wrapText="1"/>
    </xf>
    <xf numFmtId="165" fontId="12" fillId="4" borderId="19" xfId="2" applyFont="1" applyFill="1" applyBorder="1" applyAlignment="1">
      <alignment horizontal="center" wrapText="1"/>
    </xf>
    <xf numFmtId="165" fontId="7" fillId="17" borderId="28" xfId="0" applyFont="1" applyFill="1" applyBorder="1" applyAlignment="1">
      <alignment horizontal="center" vertical="center" textRotation="47"/>
    </xf>
    <xf numFmtId="165" fontId="7" fillId="17" borderId="29" xfId="0" applyFont="1" applyFill="1" applyBorder="1" applyAlignment="1">
      <alignment horizontal="center" vertical="center" textRotation="47"/>
    </xf>
    <xf numFmtId="165" fontId="7" fillId="17" borderId="30" xfId="0" applyFont="1" applyFill="1" applyBorder="1" applyAlignment="1">
      <alignment horizontal="center" vertical="center" textRotation="47"/>
    </xf>
    <xf numFmtId="165" fontId="7" fillId="12" borderId="22" xfId="0" applyFont="1" applyFill="1" applyBorder="1" applyAlignment="1">
      <alignment horizontal="center"/>
    </xf>
    <xf numFmtId="165" fontId="7" fillId="12" borderId="23" xfId="0" applyFont="1" applyFill="1" applyBorder="1" applyAlignment="1">
      <alignment horizontal="center"/>
    </xf>
  </cellXfs>
  <cellStyles count="3">
    <cellStyle name="Hyperlink" xfId="1" builtinId="8"/>
    <cellStyle name="Normal" xfId="0" builtinId="0"/>
    <cellStyle name="Normal_MAIN LOG" xfId="2"/>
  </cellStyles>
  <dxfs count="0"/>
  <tableStyles count="0" defaultTableStyle="TableStyleMedium9" defaultPivotStyle="PivotStyleLight16"/>
  <colors>
    <mruColors>
      <color rgb="FF008000"/>
      <color rgb="FF33CCFF"/>
      <color rgb="FFFF00FF"/>
      <color rgb="FF0000FF"/>
      <color rgb="FFFFFF99"/>
      <color rgb="FFFEC6F7"/>
      <color rgb="FFFEB4F5"/>
      <color rgb="FFC4D79D"/>
      <color rgb="FFFFDA65"/>
    </mruColors>
  </colors>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LOG"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UP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LOG"/>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UP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tabColor rgb="FF00B050"/>
    <pageSetUpPr fitToPage="1"/>
  </sheetPr>
  <dimension ref="A1:BX146"/>
  <sheetViews>
    <sheetView tabSelected="1" topLeftCell="A31" zoomScale="55" zoomScaleNormal="55" zoomScaleSheetLayoutView="96" workbookViewId="0">
      <selection activeCell="AC54" sqref="AC54"/>
    </sheetView>
  </sheetViews>
  <sheetFormatPr defaultColWidth="9.140625" defaultRowHeight="15"/>
  <cols>
    <col min="1" max="1" width="9.85546875" style="121" customWidth="1"/>
    <col min="2" max="2" width="11.85546875" style="30" customWidth="1"/>
    <col min="3" max="3" width="23.42578125" style="26" customWidth="1"/>
    <col min="4" max="4" width="83.42578125" style="6" customWidth="1"/>
    <col min="5" max="5" width="22.5703125" style="8" customWidth="1"/>
    <col min="6" max="6" width="21" style="6" customWidth="1"/>
    <col min="7" max="7" width="20.85546875" style="6" customWidth="1"/>
    <col min="8" max="8" width="18" style="10" customWidth="1"/>
    <col min="9" max="9" width="18.42578125" style="13" customWidth="1"/>
    <col min="10" max="10" width="10" style="8" hidden="1" customWidth="1"/>
    <col min="11" max="11" width="21.140625" style="24" bestFit="1" customWidth="1"/>
    <col min="12" max="12" width="12" style="24" customWidth="1"/>
    <col min="13" max="13" width="11.85546875" style="5" customWidth="1"/>
    <col min="14" max="14" width="14.7109375" style="1" customWidth="1"/>
    <col min="15" max="15" width="0" style="1" hidden="1" customWidth="1"/>
    <col min="16" max="20" width="9.140625" style="1" hidden="1" customWidth="1"/>
    <col min="21" max="21" width="0" style="1" hidden="1" customWidth="1"/>
    <col min="22" max="22" width="10.85546875" style="139" bestFit="1" customWidth="1"/>
    <col min="23" max="16384" width="9.140625" style="1"/>
  </cols>
  <sheetData>
    <row r="1" spans="1:76">
      <c r="A1" s="188" t="s">
        <v>15</v>
      </c>
      <c r="B1" s="189"/>
      <c r="C1" s="39" t="str">
        <f>REPT('ROLL UPs'!B6,1)</f>
        <v>56</v>
      </c>
      <c r="D1" s="190" t="s">
        <v>11</v>
      </c>
      <c r="E1" s="190" t="s">
        <v>17</v>
      </c>
      <c r="F1" s="190" t="s">
        <v>4</v>
      </c>
      <c r="G1" s="190" t="s">
        <v>1</v>
      </c>
      <c r="H1" s="192" t="s">
        <v>3</v>
      </c>
      <c r="I1" s="194" t="s">
        <v>10</v>
      </c>
      <c r="J1" s="190" t="s">
        <v>40</v>
      </c>
      <c r="K1" s="196" t="s">
        <v>5</v>
      </c>
      <c r="L1" s="203" t="s">
        <v>53</v>
      </c>
      <c r="M1" s="190" t="s">
        <v>54</v>
      </c>
      <c r="N1" s="177" t="s">
        <v>29</v>
      </c>
      <c r="O1" s="2"/>
      <c r="P1" s="2" t="s">
        <v>6</v>
      </c>
      <c r="Q1" s="2" t="s">
        <v>18</v>
      </c>
      <c r="R1" s="2" t="s">
        <v>16</v>
      </c>
      <c r="S1" s="2" t="s">
        <v>7</v>
      </c>
      <c r="T1" s="2" t="s">
        <v>19</v>
      </c>
      <c r="U1" s="2"/>
      <c r="V1" s="137"/>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B1" s="2"/>
      <c r="BC1" s="2"/>
      <c r="BD1" s="2"/>
      <c r="BE1" s="2"/>
      <c r="BF1" s="2"/>
      <c r="BG1" s="2"/>
      <c r="BH1" s="2"/>
      <c r="BI1" s="2"/>
      <c r="BJ1" s="2"/>
      <c r="BK1" s="2"/>
      <c r="BL1" s="2"/>
      <c r="BM1" s="2"/>
      <c r="BN1" s="2"/>
      <c r="BO1" s="2"/>
      <c r="BP1" s="2"/>
      <c r="BQ1" s="2"/>
      <c r="BR1" s="2"/>
      <c r="BS1" s="2"/>
      <c r="BT1" s="2"/>
      <c r="BU1" s="2"/>
      <c r="BV1" s="2"/>
      <c r="BW1" s="2"/>
      <c r="BX1" s="2"/>
    </row>
    <row r="2" spans="1:76" s="3" customFormat="1" ht="30.75" customHeight="1">
      <c r="A2" s="112" t="s">
        <v>57</v>
      </c>
      <c r="B2" s="12" t="s">
        <v>0</v>
      </c>
      <c r="C2" s="90" t="s">
        <v>12</v>
      </c>
      <c r="D2" s="191"/>
      <c r="E2" s="191"/>
      <c r="F2" s="191"/>
      <c r="G2" s="191"/>
      <c r="H2" s="193"/>
      <c r="I2" s="195"/>
      <c r="J2" s="191"/>
      <c r="K2" s="197"/>
      <c r="L2" s="204"/>
      <c r="M2" s="191"/>
      <c r="N2" s="178"/>
      <c r="O2" s="7"/>
      <c r="P2" s="7"/>
      <c r="Q2" s="7"/>
      <c r="R2" s="28" t="s">
        <v>18</v>
      </c>
      <c r="S2" s="2" t="s">
        <v>14</v>
      </c>
      <c r="T2" s="28" t="s">
        <v>14</v>
      </c>
      <c r="U2" s="28"/>
      <c r="V2" s="13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row>
    <row r="3" spans="1:76" s="2" customFormat="1" ht="13.5" customHeight="1" thickBot="1">
      <c r="A3" s="113" t="s">
        <v>9</v>
      </c>
      <c r="B3" s="43" t="s">
        <v>21</v>
      </c>
      <c r="C3" s="43" t="s">
        <v>2</v>
      </c>
      <c r="D3" s="43" t="s">
        <v>22</v>
      </c>
      <c r="E3" s="43" t="s">
        <v>17</v>
      </c>
      <c r="F3" s="43" t="s">
        <v>23</v>
      </c>
      <c r="G3" s="43" t="s">
        <v>24</v>
      </c>
      <c r="H3" s="43" t="s">
        <v>25</v>
      </c>
      <c r="I3" s="141" t="s">
        <v>26</v>
      </c>
      <c r="J3" s="43" t="s">
        <v>41</v>
      </c>
      <c r="K3" s="81" t="s">
        <v>42</v>
      </c>
      <c r="L3" s="83"/>
      <c r="M3" s="43" t="s">
        <v>43</v>
      </c>
      <c r="N3" s="44" t="s">
        <v>27</v>
      </c>
      <c r="Q3" s="4"/>
      <c r="V3" s="137"/>
    </row>
    <row r="4" spans="1:76" s="27" customFormat="1" ht="69.75">
      <c r="A4" s="114" t="s">
        <v>62</v>
      </c>
      <c r="B4" s="91" t="s">
        <v>58</v>
      </c>
      <c r="C4" s="92" t="s">
        <v>100</v>
      </c>
      <c r="D4" s="108" t="s">
        <v>59</v>
      </c>
      <c r="E4" s="91"/>
      <c r="F4" s="91" t="s">
        <v>60</v>
      </c>
      <c r="G4" s="91"/>
      <c r="H4" s="93">
        <v>0</v>
      </c>
      <c r="I4" s="93">
        <v>0</v>
      </c>
      <c r="J4" s="94"/>
      <c r="K4" s="95" t="s">
        <v>163</v>
      </c>
      <c r="L4" s="84"/>
      <c r="M4" s="165" t="s">
        <v>13</v>
      </c>
      <c r="N4" s="47" t="s">
        <v>311</v>
      </c>
      <c r="O4" s="2"/>
      <c r="P4" s="2"/>
      <c r="Q4" s="4"/>
      <c r="R4" s="2"/>
      <c r="S4" s="2"/>
      <c r="T4" s="2"/>
      <c r="U4" s="2"/>
      <c r="V4" s="137"/>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row>
    <row r="5" spans="1:76" s="27" customFormat="1" ht="69.75">
      <c r="A5" s="114" t="s">
        <v>69</v>
      </c>
      <c r="B5" s="91" t="s">
        <v>63</v>
      </c>
      <c r="C5" s="92" t="s">
        <v>12</v>
      </c>
      <c r="D5" s="108" t="s">
        <v>65</v>
      </c>
      <c r="E5" s="91" t="s">
        <v>64</v>
      </c>
      <c r="F5" s="91" t="s">
        <v>66</v>
      </c>
      <c r="G5" s="91"/>
      <c r="H5" s="93">
        <v>2</v>
      </c>
      <c r="I5" s="93">
        <v>2</v>
      </c>
      <c r="J5" s="94"/>
      <c r="K5" s="95" t="s">
        <v>67</v>
      </c>
      <c r="L5" s="84"/>
      <c r="M5" s="68" t="s">
        <v>12</v>
      </c>
      <c r="N5" s="47" t="s">
        <v>116</v>
      </c>
      <c r="O5" s="2"/>
      <c r="P5" s="2"/>
      <c r="Q5" s="4"/>
      <c r="R5" s="2"/>
      <c r="S5" s="2"/>
      <c r="T5" s="2"/>
      <c r="U5" s="2"/>
      <c r="V5" s="137"/>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row>
    <row r="6" spans="1:76" s="27" customFormat="1" ht="162.75">
      <c r="A6" s="114" t="s">
        <v>70</v>
      </c>
      <c r="B6" s="91" t="s">
        <v>68</v>
      </c>
      <c r="C6" s="92" t="s">
        <v>100</v>
      </c>
      <c r="D6" s="140" t="s">
        <v>254</v>
      </c>
      <c r="E6" s="91"/>
      <c r="F6" s="91" t="s">
        <v>60</v>
      </c>
      <c r="G6" s="91"/>
      <c r="H6" s="93">
        <v>0</v>
      </c>
      <c r="I6" s="93">
        <v>0</v>
      </c>
      <c r="J6" s="94"/>
      <c r="K6" s="95" t="s">
        <v>163</v>
      </c>
      <c r="L6" s="84"/>
      <c r="M6" s="68" t="s">
        <v>12</v>
      </c>
      <c r="N6" s="47" t="s">
        <v>113</v>
      </c>
      <c r="O6" s="2"/>
      <c r="P6" s="2"/>
      <c r="Q6" s="4"/>
      <c r="R6" s="2"/>
      <c r="S6" s="2"/>
      <c r="T6" s="2"/>
      <c r="U6" s="2"/>
      <c r="V6" s="137"/>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row>
    <row r="7" spans="1:76" s="27" customFormat="1" ht="46.5">
      <c r="A7" s="114" t="s">
        <v>76</v>
      </c>
      <c r="B7" s="91" t="s">
        <v>75</v>
      </c>
      <c r="C7" s="92" t="s">
        <v>12</v>
      </c>
      <c r="D7" s="108" t="s">
        <v>79</v>
      </c>
      <c r="E7" s="91" t="s">
        <v>77</v>
      </c>
      <c r="F7" s="91" t="s">
        <v>78</v>
      </c>
      <c r="G7" s="91"/>
      <c r="H7" s="93">
        <v>2</v>
      </c>
      <c r="I7" s="93">
        <v>2</v>
      </c>
      <c r="J7" s="94"/>
      <c r="K7" s="95" t="s">
        <v>61</v>
      </c>
      <c r="L7" s="84"/>
      <c r="M7" s="68" t="s">
        <v>12</v>
      </c>
      <c r="N7" s="47" t="s">
        <v>114</v>
      </c>
      <c r="O7" s="2"/>
      <c r="P7" s="2"/>
      <c r="Q7" s="4"/>
      <c r="R7" s="2"/>
      <c r="S7" s="2"/>
      <c r="T7" s="2"/>
      <c r="U7" s="2"/>
      <c r="V7" s="137"/>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row>
    <row r="8" spans="1:76" s="27" customFormat="1" ht="75">
      <c r="A8" s="114" t="s">
        <v>85</v>
      </c>
      <c r="B8" s="91" t="s">
        <v>80</v>
      </c>
      <c r="C8" s="92" t="s">
        <v>12</v>
      </c>
      <c r="D8" s="108" t="s">
        <v>83</v>
      </c>
      <c r="E8" s="91" t="s">
        <v>81</v>
      </c>
      <c r="F8" s="91" t="s">
        <v>74</v>
      </c>
      <c r="G8" s="91"/>
      <c r="H8" s="93">
        <v>4</v>
      </c>
      <c r="I8" s="93">
        <v>4</v>
      </c>
      <c r="J8" s="94"/>
      <c r="K8" s="95" t="s">
        <v>82</v>
      </c>
      <c r="L8" s="84"/>
      <c r="M8" s="68" t="s">
        <v>12</v>
      </c>
      <c r="N8" s="47" t="s">
        <v>117</v>
      </c>
      <c r="O8" s="2"/>
      <c r="P8" s="2"/>
      <c r="Q8" s="4"/>
      <c r="R8" s="2"/>
      <c r="S8" s="2"/>
      <c r="T8" s="2"/>
      <c r="U8" s="2"/>
      <c r="V8" s="137"/>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row>
    <row r="9" spans="1:76" s="27" customFormat="1" ht="46.5">
      <c r="A9" s="114" t="s">
        <v>86</v>
      </c>
      <c r="B9" s="91" t="s">
        <v>84</v>
      </c>
      <c r="C9" s="92" t="s">
        <v>12</v>
      </c>
      <c r="D9" s="108" t="s">
        <v>87</v>
      </c>
      <c r="E9" s="91" t="s">
        <v>88</v>
      </c>
      <c r="F9" s="91" t="s">
        <v>78</v>
      </c>
      <c r="G9" s="91"/>
      <c r="H9" s="93">
        <v>2</v>
      </c>
      <c r="I9" s="93">
        <v>2</v>
      </c>
      <c r="J9" s="123"/>
      <c r="K9" s="95" t="s">
        <v>162</v>
      </c>
      <c r="L9" s="84"/>
      <c r="M9" s="68" t="s">
        <v>12</v>
      </c>
      <c r="N9" s="47" t="s">
        <v>115</v>
      </c>
      <c r="O9" s="2"/>
      <c r="P9" s="2"/>
      <c r="Q9" s="4"/>
      <c r="R9" s="2"/>
      <c r="S9" s="2"/>
      <c r="T9" s="2"/>
      <c r="U9" s="2"/>
      <c r="V9" s="137"/>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row>
    <row r="10" spans="1:76" s="27" customFormat="1" ht="75">
      <c r="A10" s="114" t="s">
        <v>89</v>
      </c>
      <c r="B10" s="91" t="s">
        <v>72</v>
      </c>
      <c r="C10" s="92" t="s">
        <v>12</v>
      </c>
      <c r="D10" s="108" t="s">
        <v>91</v>
      </c>
      <c r="E10" s="91" t="s">
        <v>64</v>
      </c>
      <c r="F10" s="91" t="s">
        <v>74</v>
      </c>
      <c r="G10" s="91"/>
      <c r="H10" s="93">
        <v>12</v>
      </c>
      <c r="I10" s="93">
        <v>8</v>
      </c>
      <c r="J10" s="94"/>
      <c r="K10" s="95" t="s">
        <v>82</v>
      </c>
      <c r="L10" s="84"/>
      <c r="M10" s="68" t="s">
        <v>12</v>
      </c>
      <c r="N10" s="47" t="s">
        <v>119</v>
      </c>
      <c r="O10" s="2"/>
      <c r="P10" s="2"/>
      <c r="Q10" s="4"/>
      <c r="R10" s="2"/>
      <c r="S10" s="2"/>
      <c r="T10" s="2"/>
      <c r="U10" s="2"/>
      <c r="V10" s="137"/>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row>
    <row r="11" spans="1:76" s="27" customFormat="1" ht="93">
      <c r="A11" s="114" t="s">
        <v>90</v>
      </c>
      <c r="B11" s="91" t="s">
        <v>71</v>
      </c>
      <c r="C11" s="92" t="s">
        <v>12</v>
      </c>
      <c r="D11" s="108" t="s">
        <v>92</v>
      </c>
      <c r="E11" s="91" t="s">
        <v>73</v>
      </c>
      <c r="F11" s="91" t="s">
        <v>74</v>
      </c>
      <c r="G11" s="91"/>
      <c r="H11" s="93">
        <v>12</v>
      </c>
      <c r="I11" s="93">
        <v>12</v>
      </c>
      <c r="J11" s="94"/>
      <c r="K11" s="95" t="s">
        <v>162</v>
      </c>
      <c r="L11" s="84"/>
      <c r="M11" s="68" t="s">
        <v>12</v>
      </c>
      <c r="N11" s="47" t="s">
        <v>118</v>
      </c>
      <c r="O11" s="2"/>
      <c r="P11" s="2"/>
      <c r="Q11" s="4"/>
      <c r="R11" s="2"/>
      <c r="S11" s="2"/>
      <c r="T11" s="2"/>
      <c r="U11" s="2"/>
      <c r="V11" s="137"/>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row>
    <row r="12" spans="1:76" s="27" customFormat="1" ht="114" customHeight="1">
      <c r="A12" s="114" t="s">
        <v>93</v>
      </c>
      <c r="B12" s="91" t="s">
        <v>94</v>
      </c>
      <c r="C12" s="92" t="s">
        <v>12</v>
      </c>
      <c r="D12" s="108" t="s">
        <v>95</v>
      </c>
      <c r="E12" s="91" t="s">
        <v>81</v>
      </c>
      <c r="F12" s="91" t="s">
        <v>74</v>
      </c>
      <c r="G12" s="91"/>
      <c r="H12" s="93">
        <v>17</v>
      </c>
      <c r="I12" s="93">
        <v>22</v>
      </c>
      <c r="J12" s="94"/>
      <c r="K12" s="95" t="s">
        <v>82</v>
      </c>
      <c r="L12" s="84"/>
      <c r="M12" s="68" t="s">
        <v>12</v>
      </c>
      <c r="N12" s="47" t="s">
        <v>120</v>
      </c>
      <c r="O12" s="2"/>
      <c r="P12" s="2"/>
      <c r="Q12" s="4"/>
      <c r="R12" s="2"/>
      <c r="S12" s="2"/>
      <c r="T12" s="2"/>
      <c r="U12" s="2"/>
      <c r="V12" s="137"/>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row>
    <row r="13" spans="1:76" s="27" customFormat="1" ht="46.5">
      <c r="A13" s="114" t="s">
        <v>96</v>
      </c>
      <c r="B13" s="91" t="s">
        <v>97</v>
      </c>
      <c r="C13" s="92" t="s">
        <v>12</v>
      </c>
      <c r="D13" s="108" t="s">
        <v>98</v>
      </c>
      <c r="E13" s="91" t="s">
        <v>99</v>
      </c>
      <c r="F13" s="91" t="s">
        <v>78</v>
      </c>
      <c r="G13" s="91"/>
      <c r="H13" s="93">
        <v>2</v>
      </c>
      <c r="I13" s="93">
        <v>2</v>
      </c>
      <c r="J13" s="94"/>
      <c r="K13" s="95" t="s">
        <v>162</v>
      </c>
      <c r="L13" s="84"/>
      <c r="M13" s="68" t="s">
        <v>12</v>
      </c>
      <c r="N13" s="47" t="s">
        <v>114</v>
      </c>
      <c r="O13" s="2"/>
      <c r="P13" s="2"/>
      <c r="Q13" s="4"/>
      <c r="R13" s="2"/>
      <c r="S13" s="2"/>
      <c r="T13" s="2"/>
      <c r="U13" s="2"/>
      <c r="V13" s="137"/>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row>
    <row r="14" spans="1:76" s="27" customFormat="1" ht="116.25">
      <c r="A14" s="114" t="s">
        <v>124</v>
      </c>
      <c r="B14" s="91" t="s">
        <v>121</v>
      </c>
      <c r="C14" s="92" t="s">
        <v>12</v>
      </c>
      <c r="D14" s="108" t="s">
        <v>122</v>
      </c>
      <c r="E14" s="91" t="s">
        <v>110</v>
      </c>
      <c r="F14" s="91" t="s">
        <v>123</v>
      </c>
      <c r="G14" s="91"/>
      <c r="H14" s="93">
        <v>250</v>
      </c>
      <c r="I14" s="93">
        <v>250</v>
      </c>
      <c r="J14" s="94"/>
      <c r="K14" s="95" t="s">
        <v>61</v>
      </c>
      <c r="L14" s="84"/>
      <c r="M14" s="68" t="s">
        <v>12</v>
      </c>
      <c r="N14" s="47" t="s">
        <v>325</v>
      </c>
      <c r="O14" s="2"/>
      <c r="P14" s="2"/>
      <c r="Q14" s="4"/>
      <c r="R14" s="2"/>
      <c r="S14" s="2"/>
      <c r="T14" s="2"/>
      <c r="U14" s="2"/>
      <c r="V14" s="137"/>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row>
    <row r="15" spans="1:76" s="27" customFormat="1" ht="68.25" customHeight="1">
      <c r="A15" s="114" t="s">
        <v>130</v>
      </c>
      <c r="B15" s="91" t="s">
        <v>125</v>
      </c>
      <c r="C15" s="92" t="s">
        <v>12</v>
      </c>
      <c r="D15" s="108" t="s">
        <v>126</v>
      </c>
      <c r="E15" s="91" t="s">
        <v>127</v>
      </c>
      <c r="F15" s="91" t="s">
        <v>128</v>
      </c>
      <c r="G15" s="91"/>
      <c r="H15" s="93">
        <v>1</v>
      </c>
      <c r="I15" s="93"/>
      <c r="J15" s="94"/>
      <c r="K15" s="95" t="s">
        <v>129</v>
      </c>
      <c r="L15" s="84"/>
      <c r="M15" s="68" t="s">
        <v>12</v>
      </c>
      <c r="N15" s="47" t="s">
        <v>205</v>
      </c>
      <c r="O15" s="2"/>
      <c r="P15" s="2"/>
      <c r="Q15" s="4"/>
      <c r="R15" s="2"/>
      <c r="S15" s="2"/>
      <c r="T15" s="2"/>
      <c r="U15" s="2"/>
      <c r="V15" s="137"/>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row>
    <row r="16" spans="1:76" s="27" customFormat="1" ht="93">
      <c r="A16" s="114" t="s">
        <v>133</v>
      </c>
      <c r="B16" s="91" t="s">
        <v>131</v>
      </c>
      <c r="C16" s="92" t="s">
        <v>12</v>
      </c>
      <c r="D16" s="108" t="s">
        <v>135</v>
      </c>
      <c r="E16" s="91" t="s">
        <v>110</v>
      </c>
      <c r="F16" s="91" t="s">
        <v>132</v>
      </c>
      <c r="G16" s="91"/>
      <c r="H16" s="93">
        <v>56</v>
      </c>
      <c r="I16" s="93">
        <v>56</v>
      </c>
      <c r="J16" s="94"/>
      <c r="K16" s="95" t="s">
        <v>61</v>
      </c>
      <c r="L16" s="84"/>
      <c r="M16" s="68" t="s">
        <v>12</v>
      </c>
      <c r="N16" s="47" t="s">
        <v>324</v>
      </c>
      <c r="O16" s="2"/>
      <c r="P16" s="2"/>
      <c r="Q16" s="4"/>
      <c r="R16" s="2"/>
      <c r="S16" s="2"/>
      <c r="T16" s="2"/>
      <c r="U16" s="2"/>
      <c r="V16" s="137"/>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row>
    <row r="17" spans="1:76" s="27" customFormat="1" ht="69.75">
      <c r="A17" s="114" t="s">
        <v>136</v>
      </c>
      <c r="B17" s="91" t="s">
        <v>134</v>
      </c>
      <c r="C17" s="92" t="s">
        <v>12</v>
      </c>
      <c r="D17" s="108" t="s">
        <v>179</v>
      </c>
      <c r="E17" s="91" t="s">
        <v>88</v>
      </c>
      <c r="F17" s="91" t="s">
        <v>132</v>
      </c>
      <c r="G17" s="91"/>
      <c r="H17" s="93">
        <v>40</v>
      </c>
      <c r="I17" s="93">
        <v>40</v>
      </c>
      <c r="J17" s="94"/>
      <c r="K17" s="95" t="s">
        <v>162</v>
      </c>
      <c r="L17" s="84"/>
      <c r="M17" s="68" t="s">
        <v>12</v>
      </c>
      <c r="N17" s="47" t="s">
        <v>324</v>
      </c>
      <c r="O17" s="2"/>
      <c r="P17" s="2"/>
      <c r="Q17" s="4"/>
      <c r="R17" s="2"/>
      <c r="S17" s="2"/>
      <c r="T17" s="2"/>
      <c r="U17" s="2"/>
      <c r="V17" s="137"/>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row>
    <row r="18" spans="1:76" s="27" customFormat="1" ht="93">
      <c r="A18" s="114" t="s">
        <v>139</v>
      </c>
      <c r="B18" s="91" t="s">
        <v>137</v>
      </c>
      <c r="C18" s="92" t="s">
        <v>12</v>
      </c>
      <c r="D18" s="108" t="s">
        <v>143</v>
      </c>
      <c r="E18" s="91" t="s">
        <v>138</v>
      </c>
      <c r="F18" s="91" t="s">
        <v>132</v>
      </c>
      <c r="G18" s="91"/>
      <c r="H18" s="93">
        <v>20</v>
      </c>
      <c r="I18" s="93">
        <v>20</v>
      </c>
      <c r="J18" s="94"/>
      <c r="K18" s="95" t="s">
        <v>162</v>
      </c>
      <c r="L18" s="84"/>
      <c r="M18" s="68" t="s">
        <v>12</v>
      </c>
      <c r="N18" s="47" t="s">
        <v>324</v>
      </c>
      <c r="O18" s="2"/>
      <c r="P18" s="2"/>
      <c r="Q18" s="4"/>
      <c r="R18" s="2"/>
      <c r="S18" s="2"/>
      <c r="T18" s="2"/>
      <c r="U18" s="2"/>
      <c r="V18" s="137"/>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row>
    <row r="19" spans="1:76" s="27" customFormat="1" ht="93">
      <c r="A19" s="114" t="s">
        <v>141</v>
      </c>
      <c r="B19" s="91" t="s">
        <v>140</v>
      </c>
      <c r="C19" s="92" t="s">
        <v>12</v>
      </c>
      <c r="D19" s="108" t="s">
        <v>180</v>
      </c>
      <c r="E19" s="91" t="s">
        <v>99</v>
      </c>
      <c r="F19" s="91" t="s">
        <v>132</v>
      </c>
      <c r="G19" s="91"/>
      <c r="H19" s="93">
        <v>80</v>
      </c>
      <c r="I19" s="93">
        <v>80</v>
      </c>
      <c r="J19" s="94"/>
      <c r="K19" s="95" t="s">
        <v>162</v>
      </c>
      <c r="L19" s="84"/>
      <c r="M19" s="68" t="s">
        <v>12</v>
      </c>
      <c r="N19" s="47" t="s">
        <v>324</v>
      </c>
      <c r="O19" s="2"/>
      <c r="P19" s="2"/>
      <c r="Q19" s="4"/>
      <c r="R19" s="2"/>
      <c r="S19" s="2"/>
      <c r="T19" s="2"/>
      <c r="U19" s="2"/>
      <c r="V19" s="137"/>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row>
    <row r="20" spans="1:76" s="27" customFormat="1" ht="69.75">
      <c r="A20" s="114" t="s">
        <v>148</v>
      </c>
      <c r="B20" s="91" t="s">
        <v>151</v>
      </c>
      <c r="C20" s="92" t="s">
        <v>12</v>
      </c>
      <c r="D20" s="108" t="s">
        <v>153</v>
      </c>
      <c r="E20" s="91" t="s">
        <v>152</v>
      </c>
      <c r="F20" s="91" t="s">
        <v>132</v>
      </c>
      <c r="G20" s="91"/>
      <c r="H20" s="93">
        <v>20</v>
      </c>
      <c r="I20" s="93">
        <v>20</v>
      </c>
      <c r="J20" s="94"/>
      <c r="K20" s="95" t="s">
        <v>162</v>
      </c>
      <c r="L20" s="84"/>
      <c r="M20" s="68" t="s">
        <v>12</v>
      </c>
      <c r="N20" s="47" t="s">
        <v>324</v>
      </c>
      <c r="O20" s="2"/>
      <c r="P20" s="2"/>
      <c r="Q20" s="4"/>
      <c r="R20" s="2"/>
      <c r="S20" s="2"/>
      <c r="T20" s="2"/>
      <c r="U20" s="2"/>
      <c r="V20" s="137"/>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row>
    <row r="21" spans="1:76" s="27" customFormat="1" ht="116.25">
      <c r="A21" s="114" t="s">
        <v>149</v>
      </c>
      <c r="B21" s="91" t="s">
        <v>154</v>
      </c>
      <c r="C21" s="92" t="s">
        <v>12</v>
      </c>
      <c r="D21" s="108" t="s">
        <v>159</v>
      </c>
      <c r="E21" s="91" t="s">
        <v>106</v>
      </c>
      <c r="F21" s="91" t="s">
        <v>132</v>
      </c>
      <c r="G21" s="91"/>
      <c r="H21" s="93">
        <v>70</v>
      </c>
      <c r="I21" s="93">
        <v>70</v>
      </c>
      <c r="J21" s="94"/>
      <c r="K21" s="95" t="s">
        <v>162</v>
      </c>
      <c r="L21" s="84"/>
      <c r="M21" s="68" t="s">
        <v>12</v>
      </c>
      <c r="N21" s="47" t="s">
        <v>324</v>
      </c>
      <c r="O21" s="2"/>
      <c r="P21" s="2"/>
      <c r="Q21" s="4"/>
      <c r="R21" s="2"/>
      <c r="S21" s="2"/>
      <c r="T21" s="2"/>
      <c r="U21" s="2"/>
      <c r="V21" s="137"/>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row>
    <row r="22" spans="1:76" s="27" customFormat="1" ht="255.75">
      <c r="A22" s="114" t="s">
        <v>156</v>
      </c>
      <c r="B22" s="91" t="s">
        <v>150</v>
      </c>
      <c r="C22" s="92" t="s">
        <v>12</v>
      </c>
      <c r="D22" s="140" t="s">
        <v>160</v>
      </c>
      <c r="E22" s="91" t="s">
        <v>77</v>
      </c>
      <c r="F22" s="91" t="s">
        <v>155</v>
      </c>
      <c r="G22" s="91"/>
      <c r="H22" s="93">
        <v>165</v>
      </c>
      <c r="I22" s="93">
        <v>165</v>
      </c>
      <c r="J22" s="94"/>
      <c r="K22" s="95" t="s">
        <v>61</v>
      </c>
      <c r="L22" s="84"/>
      <c r="M22" s="68" t="s">
        <v>12</v>
      </c>
      <c r="N22" s="47" t="s">
        <v>324</v>
      </c>
      <c r="O22" s="2"/>
      <c r="P22" s="2"/>
      <c r="Q22" s="4"/>
      <c r="R22" s="2"/>
      <c r="S22" s="2"/>
      <c r="T22" s="2"/>
      <c r="U22" s="2"/>
      <c r="V22" s="137"/>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row>
    <row r="23" spans="1:76" s="27" customFormat="1" ht="116.25">
      <c r="A23" s="114" t="s">
        <v>182</v>
      </c>
      <c r="B23" s="91" t="s">
        <v>164</v>
      </c>
      <c r="C23" s="92" t="s">
        <v>12</v>
      </c>
      <c r="D23" s="108" t="s">
        <v>165</v>
      </c>
      <c r="E23" s="91" t="s">
        <v>110</v>
      </c>
      <c r="F23" s="91" t="s">
        <v>132</v>
      </c>
      <c r="G23" s="91"/>
      <c r="H23" s="93">
        <v>132</v>
      </c>
      <c r="I23" s="93">
        <v>132</v>
      </c>
      <c r="J23" s="94"/>
      <c r="K23" s="95" t="s">
        <v>61</v>
      </c>
      <c r="L23" s="84"/>
      <c r="M23" s="68" t="s">
        <v>12</v>
      </c>
      <c r="N23" s="47" t="s">
        <v>326</v>
      </c>
      <c r="O23" s="2"/>
      <c r="P23" s="2"/>
      <c r="Q23" s="4"/>
      <c r="R23" s="2"/>
      <c r="S23" s="2"/>
      <c r="T23" s="2"/>
      <c r="U23" s="2"/>
      <c r="V23" s="137"/>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row>
    <row r="24" spans="1:76" s="27" customFormat="1" ht="76.5" customHeight="1">
      <c r="A24" s="114" t="s">
        <v>183</v>
      </c>
      <c r="B24" s="91" t="s">
        <v>172</v>
      </c>
      <c r="C24" s="92" t="s">
        <v>12</v>
      </c>
      <c r="D24" s="153" t="s">
        <v>181</v>
      </c>
      <c r="E24" s="91" t="s">
        <v>110</v>
      </c>
      <c r="F24" s="91" t="s">
        <v>132</v>
      </c>
      <c r="G24" s="91"/>
      <c r="H24" s="93">
        <v>40</v>
      </c>
      <c r="I24" s="93">
        <v>40</v>
      </c>
      <c r="J24" s="94"/>
      <c r="K24" s="95" t="s">
        <v>61</v>
      </c>
      <c r="L24" s="84"/>
      <c r="M24" s="68" t="s">
        <v>12</v>
      </c>
      <c r="N24" s="47" t="s">
        <v>326</v>
      </c>
      <c r="O24" s="2"/>
      <c r="P24" s="2"/>
      <c r="Q24" s="4"/>
      <c r="R24" s="2"/>
      <c r="S24" s="2"/>
      <c r="T24" s="2"/>
      <c r="U24" s="2"/>
      <c r="V24" s="137"/>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row>
    <row r="25" spans="1:76" s="27" customFormat="1" ht="93">
      <c r="A25" s="114" t="s">
        <v>203</v>
      </c>
      <c r="B25" s="159" t="s">
        <v>187</v>
      </c>
      <c r="C25" s="92" t="s">
        <v>12</v>
      </c>
      <c r="D25" s="153" t="s">
        <v>189</v>
      </c>
      <c r="E25" s="160" t="s">
        <v>197</v>
      </c>
      <c r="F25" s="160" t="s">
        <v>188</v>
      </c>
      <c r="G25" s="91"/>
      <c r="H25" s="93">
        <v>50</v>
      </c>
      <c r="I25" s="93">
        <v>40</v>
      </c>
      <c r="J25" s="94"/>
      <c r="K25" s="95" t="s">
        <v>162</v>
      </c>
      <c r="L25" s="84"/>
      <c r="M25" s="68" t="s">
        <v>12</v>
      </c>
      <c r="N25" s="47"/>
      <c r="O25" s="2"/>
      <c r="P25" s="2"/>
      <c r="Q25" s="4"/>
      <c r="R25" s="2"/>
      <c r="S25" s="2"/>
      <c r="T25" s="2"/>
      <c r="U25" s="2"/>
      <c r="V25" s="137"/>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row>
    <row r="26" spans="1:76" s="27" customFormat="1" ht="93">
      <c r="A26" s="114" t="s">
        <v>204</v>
      </c>
      <c r="B26" s="159" t="s">
        <v>195</v>
      </c>
      <c r="C26" s="92" t="s">
        <v>12</v>
      </c>
      <c r="D26" s="153" t="s">
        <v>196</v>
      </c>
      <c r="E26" s="160" t="s">
        <v>77</v>
      </c>
      <c r="F26" s="160" t="s">
        <v>190</v>
      </c>
      <c r="G26" s="91" t="s">
        <v>198</v>
      </c>
      <c r="H26" s="93">
        <v>25</v>
      </c>
      <c r="I26" s="93">
        <v>24</v>
      </c>
      <c r="J26" s="94"/>
      <c r="K26" s="166" t="s">
        <v>61</v>
      </c>
      <c r="L26" s="84"/>
      <c r="M26" s="68" t="s">
        <v>12</v>
      </c>
      <c r="N26" s="47"/>
      <c r="O26" s="2"/>
      <c r="P26" s="2"/>
      <c r="Q26" s="4"/>
      <c r="R26" s="2"/>
      <c r="S26" s="2"/>
      <c r="T26" s="2"/>
      <c r="U26" s="2"/>
      <c r="V26" s="137"/>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row>
    <row r="27" spans="1:76" s="27" customFormat="1" ht="93">
      <c r="A27" s="114" t="s">
        <v>207</v>
      </c>
      <c r="B27" s="159" t="s">
        <v>185</v>
      </c>
      <c r="C27" s="92" t="s">
        <v>12</v>
      </c>
      <c r="D27" s="153" t="s">
        <v>263</v>
      </c>
      <c r="E27" s="160" t="s">
        <v>110</v>
      </c>
      <c r="F27" s="160" t="s">
        <v>281</v>
      </c>
      <c r="G27" s="91"/>
      <c r="H27" s="93">
        <v>20</v>
      </c>
      <c r="I27" s="93">
        <v>20</v>
      </c>
      <c r="J27" s="94"/>
      <c r="K27" s="95" t="s">
        <v>61</v>
      </c>
      <c r="L27" s="84"/>
      <c r="M27" s="68" t="s">
        <v>12</v>
      </c>
      <c r="N27" s="47"/>
      <c r="O27" s="2"/>
      <c r="P27" s="2"/>
      <c r="Q27" s="4"/>
      <c r="R27" s="2"/>
      <c r="S27" s="2"/>
      <c r="T27" s="2"/>
      <c r="U27" s="2"/>
      <c r="V27" s="137"/>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row>
    <row r="28" spans="1:76" s="27" customFormat="1" ht="279">
      <c r="A28" s="114" t="s">
        <v>206</v>
      </c>
      <c r="B28" s="91" t="s">
        <v>170</v>
      </c>
      <c r="C28" s="92" t="s">
        <v>12</v>
      </c>
      <c r="D28" s="153" t="s">
        <v>201</v>
      </c>
      <c r="E28" s="91" t="s">
        <v>88</v>
      </c>
      <c r="F28" s="160" t="s">
        <v>202</v>
      </c>
      <c r="G28" s="91"/>
      <c r="H28" s="93">
        <v>50</v>
      </c>
      <c r="I28" s="93"/>
      <c r="J28" s="94"/>
      <c r="K28" s="95" t="s">
        <v>162</v>
      </c>
      <c r="L28" s="84"/>
      <c r="M28" s="68" t="s">
        <v>12</v>
      </c>
      <c r="N28" s="47"/>
      <c r="O28" s="2"/>
      <c r="P28" s="2"/>
      <c r="Q28" s="4"/>
      <c r="R28" s="2"/>
      <c r="S28" s="2"/>
      <c r="T28" s="2"/>
      <c r="U28" s="2"/>
      <c r="V28" s="137"/>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row>
    <row r="29" spans="1:76" s="27" customFormat="1" ht="116.25">
      <c r="A29" s="114" t="s">
        <v>208</v>
      </c>
      <c r="B29" s="159" t="s">
        <v>191</v>
      </c>
      <c r="C29" s="92" t="s">
        <v>12</v>
      </c>
      <c r="D29" s="153" t="s">
        <v>200</v>
      </c>
      <c r="E29" s="91" t="s">
        <v>192</v>
      </c>
      <c r="F29" s="160" t="s">
        <v>199</v>
      </c>
      <c r="G29" s="91"/>
      <c r="H29" s="93">
        <v>70</v>
      </c>
      <c r="I29" s="93">
        <v>12</v>
      </c>
      <c r="J29" s="94"/>
      <c r="K29" s="95" t="s">
        <v>162</v>
      </c>
      <c r="L29" s="84"/>
      <c r="M29" s="68" t="s">
        <v>12</v>
      </c>
      <c r="N29" s="47" t="s">
        <v>303</v>
      </c>
      <c r="O29" s="2"/>
      <c r="P29" s="2"/>
      <c r="Q29" s="4"/>
      <c r="R29" s="2"/>
      <c r="S29" s="2"/>
      <c r="T29" s="2"/>
      <c r="U29" s="2"/>
      <c r="V29" s="137"/>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row>
    <row r="30" spans="1:76" s="27" customFormat="1" ht="93">
      <c r="A30" s="114" t="s">
        <v>225</v>
      </c>
      <c r="B30" s="159" t="s">
        <v>214</v>
      </c>
      <c r="C30" s="92" t="s">
        <v>12</v>
      </c>
      <c r="D30" s="153" t="s">
        <v>215</v>
      </c>
      <c r="E30" s="160" t="s">
        <v>77</v>
      </c>
      <c r="F30" s="160" t="s">
        <v>111</v>
      </c>
      <c r="G30" s="91"/>
      <c r="H30" s="93">
        <v>1</v>
      </c>
      <c r="I30" s="93">
        <v>1</v>
      </c>
      <c r="J30" s="94"/>
      <c r="K30" s="95" t="s">
        <v>61</v>
      </c>
      <c r="L30" s="84"/>
      <c r="M30" s="68" t="s">
        <v>12</v>
      </c>
      <c r="N30" s="47"/>
      <c r="O30" s="2"/>
      <c r="P30" s="2"/>
      <c r="Q30" s="4"/>
      <c r="R30" s="2"/>
      <c r="S30" s="2"/>
      <c r="T30" s="2"/>
      <c r="U30" s="2"/>
      <c r="V30" s="137"/>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row>
    <row r="31" spans="1:76" s="27" customFormat="1" ht="46.5">
      <c r="A31" s="114" t="s">
        <v>226</v>
      </c>
      <c r="B31" s="159" t="s">
        <v>217</v>
      </c>
      <c r="C31" s="92" t="s">
        <v>12</v>
      </c>
      <c r="D31" s="153" t="s">
        <v>223</v>
      </c>
      <c r="E31" s="160" t="s">
        <v>110</v>
      </c>
      <c r="F31" s="160" t="s">
        <v>218</v>
      </c>
      <c r="G31" s="91"/>
      <c r="H31" s="93">
        <v>24</v>
      </c>
      <c r="I31" s="93">
        <v>18</v>
      </c>
      <c r="J31" s="94"/>
      <c r="K31" s="95" t="s">
        <v>61</v>
      </c>
      <c r="L31" s="84"/>
      <c r="M31" s="68" t="s">
        <v>12</v>
      </c>
      <c r="N31" s="47"/>
      <c r="O31" s="2"/>
      <c r="P31" s="2"/>
      <c r="Q31" s="4"/>
      <c r="R31" s="2"/>
      <c r="S31" s="2"/>
      <c r="T31" s="2"/>
      <c r="U31" s="2"/>
      <c r="V31" s="137"/>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row>
    <row r="32" spans="1:76" s="27" customFormat="1" ht="46.5">
      <c r="A32" s="114" t="s">
        <v>238</v>
      </c>
      <c r="B32" s="159" t="s">
        <v>220</v>
      </c>
      <c r="C32" s="92" t="s">
        <v>12</v>
      </c>
      <c r="D32" s="153" t="s">
        <v>224</v>
      </c>
      <c r="E32" s="160" t="s">
        <v>110</v>
      </c>
      <c r="F32" s="160" t="s">
        <v>218</v>
      </c>
      <c r="G32" s="91"/>
      <c r="H32" s="93">
        <v>6</v>
      </c>
      <c r="I32" s="93"/>
      <c r="J32" s="94"/>
      <c r="K32" s="95" t="s">
        <v>61</v>
      </c>
      <c r="L32" s="84"/>
      <c r="M32" s="68" t="s">
        <v>12</v>
      </c>
      <c r="N32" s="47"/>
      <c r="O32" s="2"/>
      <c r="P32" s="2"/>
      <c r="Q32" s="4"/>
      <c r="R32" s="2"/>
      <c r="S32" s="2"/>
      <c r="T32" s="2"/>
      <c r="U32" s="2"/>
      <c r="V32" s="137"/>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row>
    <row r="33" spans="1:76" s="27" customFormat="1" ht="69.75">
      <c r="A33" s="114" t="s">
        <v>237</v>
      </c>
      <c r="B33" s="159" t="s">
        <v>221</v>
      </c>
      <c r="C33" s="92" t="s">
        <v>12</v>
      </c>
      <c r="D33" s="153" t="s">
        <v>240</v>
      </c>
      <c r="E33" s="160" t="s">
        <v>88</v>
      </c>
      <c r="F33" s="160" t="s">
        <v>222</v>
      </c>
      <c r="G33" s="91"/>
      <c r="H33" s="93"/>
      <c r="I33" s="93"/>
      <c r="J33" s="94"/>
      <c r="K33" s="95" t="s">
        <v>162</v>
      </c>
      <c r="L33" s="84"/>
      <c r="M33" s="68" t="s">
        <v>12</v>
      </c>
      <c r="N33" s="47"/>
      <c r="O33" s="2"/>
      <c r="P33" s="2"/>
      <c r="Q33" s="4"/>
      <c r="R33" s="2"/>
      <c r="S33" s="2"/>
      <c r="T33" s="2"/>
      <c r="U33" s="2"/>
      <c r="V33" s="137"/>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row>
    <row r="34" spans="1:76" s="27" customFormat="1" ht="139.5">
      <c r="A34" s="114" t="s">
        <v>246</v>
      </c>
      <c r="B34" s="159" t="s">
        <v>230</v>
      </c>
      <c r="C34" s="92" t="s">
        <v>12</v>
      </c>
      <c r="D34" s="153" t="s">
        <v>236</v>
      </c>
      <c r="E34" s="160" t="s">
        <v>110</v>
      </c>
      <c r="F34" s="160" t="s">
        <v>229</v>
      </c>
      <c r="G34" s="91"/>
      <c r="H34" s="93">
        <v>68</v>
      </c>
      <c r="I34" s="93">
        <v>68</v>
      </c>
      <c r="J34" s="94"/>
      <c r="K34" s="95" t="s">
        <v>61</v>
      </c>
      <c r="L34" s="84"/>
      <c r="M34" s="68" t="s">
        <v>12</v>
      </c>
      <c r="N34" s="47"/>
      <c r="O34" s="2"/>
      <c r="P34" s="2"/>
      <c r="Q34" s="4"/>
      <c r="R34" s="2"/>
      <c r="S34" s="2"/>
      <c r="T34" s="2"/>
      <c r="U34" s="2"/>
      <c r="V34" s="137"/>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row>
    <row r="35" spans="1:76" s="27" customFormat="1" ht="139.5">
      <c r="A35" s="114" t="s">
        <v>248</v>
      </c>
      <c r="B35" s="159" t="s">
        <v>228</v>
      </c>
      <c r="C35" s="92" t="s">
        <v>12</v>
      </c>
      <c r="D35" s="153" t="s">
        <v>233</v>
      </c>
      <c r="E35" s="160" t="s">
        <v>77</v>
      </c>
      <c r="F35" s="160" t="s">
        <v>229</v>
      </c>
      <c r="G35" s="91"/>
      <c r="H35" s="93">
        <v>68</v>
      </c>
      <c r="I35" s="93">
        <v>68</v>
      </c>
      <c r="J35" s="94"/>
      <c r="K35" s="95" t="s">
        <v>61</v>
      </c>
      <c r="L35" s="84"/>
      <c r="M35" s="68" t="s">
        <v>12</v>
      </c>
      <c r="N35" s="47"/>
      <c r="O35" s="2"/>
      <c r="P35" s="2"/>
      <c r="Q35" s="4"/>
      <c r="R35" s="2"/>
      <c r="S35" s="2"/>
      <c r="T35" s="2"/>
      <c r="U35" s="2"/>
      <c r="V35" s="137"/>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row>
    <row r="36" spans="1:76" s="27" customFormat="1" ht="46.5">
      <c r="A36" s="114" t="s">
        <v>247</v>
      </c>
      <c r="B36" s="159" t="s">
        <v>231</v>
      </c>
      <c r="C36" s="92" t="s">
        <v>12</v>
      </c>
      <c r="D36" s="153" t="s">
        <v>232</v>
      </c>
      <c r="E36" s="160" t="s">
        <v>110</v>
      </c>
      <c r="F36" s="160" t="s">
        <v>239</v>
      </c>
      <c r="G36" s="91"/>
      <c r="H36" s="93">
        <v>20</v>
      </c>
      <c r="I36" s="93">
        <v>20</v>
      </c>
      <c r="J36" s="94"/>
      <c r="K36" s="95" t="s">
        <v>61</v>
      </c>
      <c r="L36" s="84"/>
      <c r="M36" s="68" t="s">
        <v>12</v>
      </c>
      <c r="N36" s="47"/>
      <c r="O36" s="2"/>
      <c r="P36" s="2"/>
      <c r="Q36" s="4"/>
      <c r="R36" s="2"/>
      <c r="S36" s="2"/>
      <c r="T36" s="2"/>
      <c r="U36" s="2"/>
      <c r="V36" s="137"/>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row>
    <row r="37" spans="1:76" s="27" customFormat="1" ht="116.25">
      <c r="A37" s="114" t="s">
        <v>249</v>
      </c>
      <c r="B37" s="159" t="s">
        <v>242</v>
      </c>
      <c r="C37" s="92" t="s">
        <v>12</v>
      </c>
      <c r="D37" s="153" t="s">
        <v>243</v>
      </c>
      <c r="E37" s="160" t="s">
        <v>77</v>
      </c>
      <c r="F37" s="160" t="s">
        <v>244</v>
      </c>
      <c r="G37" s="91"/>
      <c r="H37" s="93">
        <v>25</v>
      </c>
      <c r="I37" s="93">
        <v>25</v>
      </c>
      <c r="J37" s="94"/>
      <c r="K37" s="95" t="s">
        <v>61</v>
      </c>
      <c r="L37" s="84"/>
      <c r="M37" s="68" t="s">
        <v>12</v>
      </c>
      <c r="N37" s="47"/>
      <c r="O37" s="2"/>
      <c r="P37" s="2"/>
      <c r="Q37" s="4"/>
      <c r="R37" s="2"/>
      <c r="S37" s="2"/>
      <c r="T37" s="2"/>
      <c r="U37" s="2"/>
      <c r="V37" s="137"/>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row>
    <row r="38" spans="1:76" s="27" customFormat="1" ht="93">
      <c r="A38" s="114" t="s">
        <v>253</v>
      </c>
      <c r="B38" s="159" t="s">
        <v>250</v>
      </c>
      <c r="C38" s="92" t="s">
        <v>12</v>
      </c>
      <c r="D38" s="153" t="s">
        <v>251</v>
      </c>
      <c r="E38" s="160" t="s">
        <v>252</v>
      </c>
      <c r="F38" s="160" t="s">
        <v>222</v>
      </c>
      <c r="G38" s="91"/>
      <c r="H38" s="93"/>
      <c r="I38" s="93"/>
      <c r="J38" s="94"/>
      <c r="K38" s="95" t="s">
        <v>61</v>
      </c>
      <c r="L38" s="84"/>
      <c r="M38" s="68" t="s">
        <v>12</v>
      </c>
      <c r="N38" s="47"/>
      <c r="O38" s="2"/>
      <c r="P38" s="2"/>
      <c r="Q38" s="4"/>
      <c r="R38" s="2"/>
      <c r="S38" s="2"/>
      <c r="T38" s="2"/>
      <c r="U38" s="2"/>
      <c r="V38" s="137">
        <v>41403</v>
      </c>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row>
    <row r="39" spans="1:76" s="27" customFormat="1" ht="69.75">
      <c r="A39" s="114" t="s">
        <v>262</v>
      </c>
      <c r="B39" s="159" t="s">
        <v>255</v>
      </c>
      <c r="C39" s="92" t="s">
        <v>12</v>
      </c>
      <c r="D39" s="108" t="s">
        <v>256</v>
      </c>
      <c r="E39" s="160" t="s">
        <v>257</v>
      </c>
      <c r="F39" s="160" t="s">
        <v>132</v>
      </c>
      <c r="G39" s="91"/>
      <c r="H39" s="93">
        <v>25</v>
      </c>
      <c r="I39" s="93"/>
      <c r="J39" s="94"/>
      <c r="K39" s="95" t="s">
        <v>162</v>
      </c>
      <c r="L39" s="84"/>
      <c r="M39" s="68" t="s">
        <v>12</v>
      </c>
      <c r="N39" s="47"/>
      <c r="O39" s="2"/>
      <c r="P39" s="2"/>
      <c r="Q39" s="4"/>
      <c r="R39" s="2"/>
      <c r="S39" s="2"/>
      <c r="T39" s="2"/>
      <c r="U39" s="2"/>
      <c r="V39" s="137"/>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row>
    <row r="40" spans="1:76" s="27" customFormat="1" ht="69.75">
      <c r="A40" s="114" t="s">
        <v>268</v>
      </c>
      <c r="B40" s="159" t="s">
        <v>258</v>
      </c>
      <c r="C40" s="92" t="s">
        <v>12</v>
      </c>
      <c r="D40" s="153" t="s">
        <v>259</v>
      </c>
      <c r="E40" s="160" t="s">
        <v>260</v>
      </c>
      <c r="F40" s="160" t="s">
        <v>327</v>
      </c>
      <c r="G40" s="91"/>
      <c r="H40" s="93"/>
      <c r="I40" s="93"/>
      <c r="J40" s="94"/>
      <c r="K40" s="95" t="s">
        <v>261</v>
      </c>
      <c r="L40" s="84"/>
      <c r="M40" s="68" t="s">
        <v>12</v>
      </c>
      <c r="N40" s="47"/>
      <c r="O40" s="2"/>
      <c r="P40" s="2"/>
      <c r="Q40" s="4"/>
      <c r="R40" s="2"/>
      <c r="S40" s="2"/>
      <c r="T40" s="2"/>
      <c r="U40" s="2"/>
      <c r="V40" s="137"/>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row>
    <row r="41" spans="1:76" s="27" customFormat="1" ht="93">
      <c r="A41" s="114" t="s">
        <v>279</v>
      </c>
      <c r="B41" s="159" t="s">
        <v>269</v>
      </c>
      <c r="C41" s="92" t="s">
        <v>12</v>
      </c>
      <c r="D41" s="108" t="s">
        <v>276</v>
      </c>
      <c r="E41" s="160" t="s">
        <v>270</v>
      </c>
      <c r="F41" s="160" t="s">
        <v>132</v>
      </c>
      <c r="G41" s="91"/>
      <c r="H41" s="93">
        <v>43</v>
      </c>
      <c r="I41" s="93"/>
      <c r="J41" s="94"/>
      <c r="K41" s="95" t="s">
        <v>162</v>
      </c>
      <c r="L41" s="84"/>
      <c r="M41" s="68" t="s">
        <v>12</v>
      </c>
      <c r="N41" s="47"/>
      <c r="O41" s="2"/>
      <c r="P41" s="2"/>
      <c r="Q41" s="4"/>
      <c r="R41" s="2"/>
      <c r="S41" s="2"/>
      <c r="T41" s="2"/>
      <c r="U41" s="2"/>
      <c r="V41" s="137"/>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row>
    <row r="42" spans="1:76" s="27" customFormat="1" ht="93">
      <c r="A42" s="114" t="s">
        <v>285</v>
      </c>
      <c r="B42" s="159" t="s">
        <v>271</v>
      </c>
      <c r="C42" s="92" t="s">
        <v>12</v>
      </c>
      <c r="D42" s="108" t="s">
        <v>277</v>
      </c>
      <c r="E42" s="160" t="s">
        <v>270</v>
      </c>
      <c r="F42" s="160" t="s">
        <v>132</v>
      </c>
      <c r="G42" s="91"/>
      <c r="H42" s="93">
        <v>23</v>
      </c>
      <c r="I42" s="93"/>
      <c r="J42" s="94"/>
      <c r="K42" s="95" t="s">
        <v>162</v>
      </c>
      <c r="L42" s="84"/>
      <c r="M42" s="68" t="s">
        <v>12</v>
      </c>
      <c r="N42" s="47"/>
      <c r="O42" s="2"/>
      <c r="P42" s="2"/>
      <c r="Q42" s="4"/>
      <c r="R42" s="2"/>
      <c r="S42" s="2"/>
      <c r="T42" s="2"/>
      <c r="U42" s="2"/>
      <c r="V42" s="137"/>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row>
    <row r="43" spans="1:76" s="27" customFormat="1" ht="69.75">
      <c r="A43" s="114" t="s">
        <v>286</v>
      </c>
      <c r="B43" s="159" t="s">
        <v>275</v>
      </c>
      <c r="C43" s="92" t="s">
        <v>12</v>
      </c>
      <c r="D43" s="108" t="s">
        <v>278</v>
      </c>
      <c r="E43" s="160" t="s">
        <v>270</v>
      </c>
      <c r="F43" s="160" t="s">
        <v>132</v>
      </c>
      <c r="G43" s="91"/>
      <c r="H43" s="93">
        <v>46</v>
      </c>
      <c r="I43" s="93"/>
      <c r="J43" s="94"/>
      <c r="K43" s="95" t="s">
        <v>162</v>
      </c>
      <c r="L43" s="84"/>
      <c r="M43" s="68" t="s">
        <v>12</v>
      </c>
      <c r="N43" s="47"/>
      <c r="O43" s="2"/>
      <c r="P43" s="2"/>
      <c r="Q43" s="4"/>
      <c r="R43" s="2"/>
      <c r="S43" s="2"/>
      <c r="T43" s="2"/>
      <c r="U43" s="2"/>
      <c r="V43" s="137"/>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row>
    <row r="44" spans="1:76" s="27" customFormat="1" ht="93">
      <c r="A44" s="114" t="s">
        <v>294</v>
      </c>
      <c r="B44" s="159" t="s">
        <v>272</v>
      </c>
      <c r="C44" s="92" t="s">
        <v>12</v>
      </c>
      <c r="D44" s="153" t="s">
        <v>274</v>
      </c>
      <c r="E44" s="160" t="s">
        <v>88</v>
      </c>
      <c r="F44" s="160" t="s">
        <v>273</v>
      </c>
      <c r="G44" s="91"/>
      <c r="H44" s="93">
        <v>25</v>
      </c>
      <c r="I44" s="93"/>
      <c r="J44" s="94"/>
      <c r="K44" s="95" t="s">
        <v>162</v>
      </c>
      <c r="L44" s="84"/>
      <c r="M44" s="68" t="s">
        <v>12</v>
      </c>
      <c r="N44" s="47"/>
      <c r="O44" s="2"/>
      <c r="P44" s="2"/>
      <c r="Q44" s="4"/>
      <c r="R44" s="2"/>
      <c r="S44" s="2"/>
      <c r="T44" s="2"/>
      <c r="U44" s="2"/>
      <c r="V44" s="137"/>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row>
    <row r="45" spans="1:76" s="27" customFormat="1" ht="69.75">
      <c r="A45" s="114" t="s">
        <v>295</v>
      </c>
      <c r="B45" s="159" t="s">
        <v>283</v>
      </c>
      <c r="C45" s="92" t="s">
        <v>12</v>
      </c>
      <c r="D45" s="108" t="s">
        <v>284</v>
      </c>
      <c r="E45" s="160" t="s">
        <v>270</v>
      </c>
      <c r="F45" s="160" t="s">
        <v>132</v>
      </c>
      <c r="G45" s="160"/>
      <c r="H45" s="93">
        <v>20</v>
      </c>
      <c r="I45" s="93"/>
      <c r="J45" s="94"/>
      <c r="K45" s="95" t="s">
        <v>162</v>
      </c>
      <c r="L45" s="84"/>
      <c r="M45" s="68" t="s">
        <v>12</v>
      </c>
      <c r="N45" s="47"/>
      <c r="O45" s="2"/>
      <c r="P45" s="2"/>
      <c r="Q45" s="4"/>
      <c r="R45" s="2"/>
      <c r="S45" s="2"/>
      <c r="T45" s="2"/>
      <c r="U45" s="2"/>
      <c r="V45" s="137"/>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row>
    <row r="46" spans="1:76" s="27" customFormat="1" ht="69.75">
      <c r="A46" s="114" t="s">
        <v>296</v>
      </c>
      <c r="B46" s="159" t="s">
        <v>280</v>
      </c>
      <c r="C46" s="92" t="s">
        <v>12</v>
      </c>
      <c r="D46" s="153" t="s">
        <v>282</v>
      </c>
      <c r="E46" s="160" t="s">
        <v>77</v>
      </c>
      <c r="F46" s="160" t="s">
        <v>239</v>
      </c>
      <c r="G46" s="91"/>
      <c r="H46" s="93">
        <v>25</v>
      </c>
      <c r="I46" s="93"/>
      <c r="J46" s="94"/>
      <c r="K46" s="95" t="s">
        <v>61</v>
      </c>
      <c r="L46" s="84"/>
      <c r="M46" s="68" t="s">
        <v>12</v>
      </c>
      <c r="N46" s="47"/>
      <c r="O46" s="2"/>
      <c r="P46" s="2"/>
      <c r="Q46" s="4"/>
      <c r="R46" s="2"/>
      <c r="S46" s="2"/>
      <c r="T46" s="2"/>
      <c r="U46" s="2"/>
      <c r="V46" s="137"/>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row>
    <row r="47" spans="1:76" s="27" customFormat="1" ht="69.75">
      <c r="A47" s="114" t="s">
        <v>298</v>
      </c>
      <c r="B47" s="159" t="s">
        <v>287</v>
      </c>
      <c r="C47" s="92" t="s">
        <v>12</v>
      </c>
      <c r="D47" s="108" t="s">
        <v>288</v>
      </c>
      <c r="E47" s="160" t="s">
        <v>260</v>
      </c>
      <c r="F47" s="160" t="s">
        <v>132</v>
      </c>
      <c r="G47" s="91"/>
      <c r="H47" s="93">
        <v>20</v>
      </c>
      <c r="I47" s="93"/>
      <c r="J47" s="94"/>
      <c r="K47" s="95" t="s">
        <v>162</v>
      </c>
      <c r="L47" s="84"/>
      <c r="M47" s="68" t="s">
        <v>12</v>
      </c>
      <c r="N47" s="47"/>
      <c r="O47" s="2"/>
      <c r="P47" s="2"/>
      <c r="Q47" s="4"/>
      <c r="R47" s="2"/>
      <c r="S47" s="2"/>
      <c r="T47" s="2"/>
      <c r="U47" s="2"/>
      <c r="V47" s="137"/>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row>
    <row r="48" spans="1:76" s="27" customFormat="1" ht="69.75">
      <c r="A48" s="114" t="s">
        <v>299</v>
      </c>
      <c r="B48" s="159" t="s">
        <v>289</v>
      </c>
      <c r="C48" s="92" t="s">
        <v>12</v>
      </c>
      <c r="D48" s="108" t="s">
        <v>290</v>
      </c>
      <c r="E48" s="160" t="s">
        <v>260</v>
      </c>
      <c r="F48" s="160" t="s">
        <v>132</v>
      </c>
      <c r="G48" s="91"/>
      <c r="H48" s="93">
        <v>20</v>
      </c>
      <c r="I48" s="93"/>
      <c r="J48" s="94"/>
      <c r="K48" s="95" t="s">
        <v>162</v>
      </c>
      <c r="L48" s="84"/>
      <c r="M48" s="68" t="s">
        <v>12</v>
      </c>
      <c r="N48" s="47"/>
      <c r="O48" s="2"/>
      <c r="P48" s="2"/>
      <c r="Q48" s="4"/>
      <c r="R48" s="2"/>
      <c r="S48" s="2"/>
      <c r="T48" s="2"/>
      <c r="U48" s="2"/>
      <c r="V48" s="137"/>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row>
    <row r="49" spans="1:76" s="27" customFormat="1" ht="69.75">
      <c r="A49" s="114" t="s">
        <v>302</v>
      </c>
      <c r="B49" s="159" t="s">
        <v>291</v>
      </c>
      <c r="C49" s="92" t="s">
        <v>12</v>
      </c>
      <c r="D49" s="108" t="s">
        <v>292</v>
      </c>
      <c r="E49" s="160" t="s">
        <v>260</v>
      </c>
      <c r="F49" s="160" t="s">
        <v>132</v>
      </c>
      <c r="G49" s="91"/>
      <c r="H49" s="93">
        <v>46</v>
      </c>
      <c r="I49" s="93"/>
      <c r="J49" s="94"/>
      <c r="K49" s="95" t="s">
        <v>162</v>
      </c>
      <c r="L49" s="84"/>
      <c r="M49" s="68" t="s">
        <v>12</v>
      </c>
      <c r="N49" s="47"/>
      <c r="O49" s="2"/>
      <c r="P49" s="2"/>
      <c r="Q49" s="4"/>
      <c r="R49" s="2"/>
      <c r="S49" s="2"/>
      <c r="T49" s="2"/>
      <c r="U49" s="2"/>
      <c r="V49" s="137"/>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row>
    <row r="50" spans="1:76" s="27" customFormat="1" ht="46.5">
      <c r="A50" s="114" t="s">
        <v>309</v>
      </c>
      <c r="B50" s="159" t="s">
        <v>300</v>
      </c>
      <c r="C50" s="92" t="s">
        <v>12</v>
      </c>
      <c r="D50" s="108" t="s">
        <v>301</v>
      </c>
      <c r="E50" s="160" t="s">
        <v>110</v>
      </c>
      <c r="F50" s="160" t="s">
        <v>104</v>
      </c>
      <c r="G50" s="91"/>
      <c r="H50" s="93">
        <v>10</v>
      </c>
      <c r="I50" s="93"/>
      <c r="J50" s="94"/>
      <c r="K50" s="95" t="s">
        <v>61</v>
      </c>
      <c r="L50" s="84"/>
      <c r="M50" s="68" t="s">
        <v>12</v>
      </c>
      <c r="N50" s="47"/>
      <c r="O50" s="2"/>
      <c r="P50" s="2"/>
      <c r="Q50" s="4"/>
      <c r="R50" s="2"/>
      <c r="S50" s="2"/>
      <c r="T50" s="2"/>
      <c r="U50" s="2"/>
      <c r="V50" s="137"/>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row>
    <row r="51" spans="1:76" s="27" customFormat="1" ht="69.75">
      <c r="A51" s="114" t="s">
        <v>310</v>
      </c>
      <c r="B51" s="159" t="s">
        <v>305</v>
      </c>
      <c r="C51" s="92" t="s">
        <v>12</v>
      </c>
      <c r="D51" s="108" t="s">
        <v>306</v>
      </c>
      <c r="E51" s="160" t="s">
        <v>99</v>
      </c>
      <c r="F51" s="160" t="s">
        <v>222</v>
      </c>
      <c r="G51" s="91"/>
      <c r="H51" s="93"/>
      <c r="I51" s="93"/>
      <c r="J51" s="94"/>
      <c r="K51" s="95" t="s">
        <v>162</v>
      </c>
      <c r="L51" s="84"/>
      <c r="M51" s="68" t="s">
        <v>12</v>
      </c>
      <c r="N51" s="47"/>
      <c r="O51" s="2"/>
      <c r="P51" s="2"/>
      <c r="Q51" s="4"/>
      <c r="R51" s="2"/>
      <c r="S51" s="2"/>
      <c r="T51" s="2"/>
      <c r="U51" s="2"/>
      <c r="V51" s="137"/>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row>
    <row r="52" spans="1:76" s="27" customFormat="1" ht="116.25">
      <c r="A52" s="114" t="s">
        <v>315</v>
      </c>
      <c r="B52" s="159" t="s">
        <v>307</v>
      </c>
      <c r="C52" s="92" t="s">
        <v>12</v>
      </c>
      <c r="D52" s="108" t="s">
        <v>308</v>
      </c>
      <c r="E52" s="160" t="s">
        <v>81</v>
      </c>
      <c r="F52" s="160" t="s">
        <v>169</v>
      </c>
      <c r="G52" s="91"/>
      <c r="H52" s="93"/>
      <c r="I52" s="93"/>
      <c r="J52" s="94"/>
      <c r="K52" s="95" t="s">
        <v>67</v>
      </c>
      <c r="L52" s="84"/>
      <c r="M52" s="68" t="s">
        <v>12</v>
      </c>
      <c r="N52" s="47"/>
      <c r="O52" s="2"/>
      <c r="P52" s="2"/>
      <c r="Q52" s="4"/>
      <c r="R52" s="2"/>
      <c r="S52" s="2"/>
      <c r="T52" s="2"/>
      <c r="U52" s="2"/>
      <c r="V52" s="137"/>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row>
    <row r="53" spans="1:76" s="27" customFormat="1" ht="93">
      <c r="A53" s="114" t="s">
        <v>318</v>
      </c>
      <c r="B53" s="159" t="s">
        <v>312</v>
      </c>
      <c r="C53" s="92" t="s">
        <v>12</v>
      </c>
      <c r="D53" s="153" t="s">
        <v>314</v>
      </c>
      <c r="E53" s="160" t="s">
        <v>313</v>
      </c>
      <c r="F53" s="160" t="s">
        <v>239</v>
      </c>
      <c r="G53" s="91"/>
      <c r="H53" s="93">
        <v>150</v>
      </c>
      <c r="I53" s="93"/>
      <c r="J53" s="94"/>
      <c r="K53" s="95" t="s">
        <v>61</v>
      </c>
      <c r="L53" s="84"/>
      <c r="M53" s="68" t="s">
        <v>12</v>
      </c>
      <c r="N53" s="47"/>
      <c r="O53" s="2"/>
      <c r="P53" s="2"/>
      <c r="Q53" s="4"/>
      <c r="R53" s="2"/>
      <c r="S53" s="2"/>
      <c r="T53" s="2"/>
      <c r="U53" s="2"/>
      <c r="V53" s="137"/>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row>
    <row r="54" spans="1:76" s="27" customFormat="1" ht="93">
      <c r="A54" s="114" t="s">
        <v>317</v>
      </c>
      <c r="B54" s="159" t="s">
        <v>297</v>
      </c>
      <c r="C54" s="92" t="s">
        <v>12</v>
      </c>
      <c r="D54" s="108" t="s">
        <v>316</v>
      </c>
      <c r="E54" s="160" t="s">
        <v>77</v>
      </c>
      <c r="F54" s="160" t="s">
        <v>281</v>
      </c>
      <c r="G54" s="91"/>
      <c r="H54" s="93">
        <v>25</v>
      </c>
      <c r="I54" s="93"/>
      <c r="J54" s="94"/>
      <c r="K54" s="95" t="s">
        <v>61</v>
      </c>
      <c r="L54" s="84"/>
      <c r="M54" s="68" t="s">
        <v>12</v>
      </c>
      <c r="N54" s="47"/>
      <c r="O54" s="2"/>
      <c r="P54" s="2"/>
      <c r="Q54" s="4"/>
      <c r="R54" s="2"/>
      <c r="S54" s="2"/>
      <c r="T54" s="2"/>
      <c r="U54" s="2"/>
      <c r="V54" s="137"/>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row>
    <row r="55" spans="1:76" s="27" customFormat="1" ht="69.75">
      <c r="A55" s="114" t="s">
        <v>323</v>
      </c>
      <c r="B55" s="159" t="s">
        <v>319</v>
      </c>
      <c r="C55" s="92" t="s">
        <v>12</v>
      </c>
      <c r="D55" s="108" t="s">
        <v>320</v>
      </c>
      <c r="E55" s="160" t="s">
        <v>77</v>
      </c>
      <c r="F55" s="160" t="s">
        <v>239</v>
      </c>
      <c r="G55" s="91"/>
      <c r="H55" s="93">
        <v>20</v>
      </c>
      <c r="I55" s="93"/>
      <c r="J55" s="94"/>
      <c r="K55" s="95" t="s">
        <v>61</v>
      </c>
      <c r="L55" s="84"/>
      <c r="M55" s="68" t="s">
        <v>12</v>
      </c>
      <c r="N55" s="47"/>
      <c r="O55" s="2"/>
      <c r="P55" s="2"/>
      <c r="Q55" s="4"/>
      <c r="R55" s="2"/>
      <c r="S55" s="2"/>
      <c r="T55" s="2"/>
      <c r="U55" s="2"/>
      <c r="V55" s="137"/>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row>
    <row r="56" spans="1:76" s="27" customFormat="1" ht="93">
      <c r="A56" s="114" t="s">
        <v>329</v>
      </c>
      <c r="B56" s="159" t="s">
        <v>321</v>
      </c>
      <c r="C56" s="92" t="s">
        <v>12</v>
      </c>
      <c r="D56" s="108" t="s">
        <v>322</v>
      </c>
      <c r="E56" s="160" t="s">
        <v>77</v>
      </c>
      <c r="F56" s="160" t="s">
        <v>328</v>
      </c>
      <c r="G56" s="91"/>
      <c r="H56" s="93"/>
      <c r="I56" s="93"/>
      <c r="J56" s="94"/>
      <c r="K56" s="95" t="s">
        <v>261</v>
      </c>
      <c r="L56" s="84"/>
      <c r="M56" s="68" t="s">
        <v>12</v>
      </c>
      <c r="N56" s="47"/>
      <c r="O56" s="2"/>
      <c r="P56" s="2"/>
      <c r="Q56" s="4"/>
      <c r="R56" s="2"/>
      <c r="S56" s="2"/>
      <c r="T56" s="2"/>
      <c r="U56" s="2"/>
      <c r="V56" s="137"/>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row>
    <row r="57" spans="1:76" s="27" customFormat="1" ht="23.25">
      <c r="A57" s="114"/>
      <c r="B57" s="159"/>
      <c r="C57" s="92"/>
      <c r="D57" s="153"/>
      <c r="E57" s="160"/>
      <c r="F57" s="160"/>
      <c r="G57" s="91"/>
      <c r="H57" s="93"/>
      <c r="I57" s="93"/>
      <c r="J57" s="94"/>
      <c r="K57" s="95"/>
      <c r="L57" s="84"/>
      <c r="M57" s="68"/>
      <c r="N57" s="47"/>
      <c r="O57" s="2"/>
      <c r="P57" s="2"/>
      <c r="Q57" s="4"/>
      <c r="R57" s="2"/>
      <c r="S57" s="2"/>
      <c r="T57" s="2"/>
      <c r="U57" s="2"/>
      <c r="V57" s="137"/>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row>
    <row r="58" spans="1:76" s="27" customFormat="1" ht="23.25">
      <c r="A58" s="114"/>
      <c r="B58" s="159"/>
      <c r="C58" s="92"/>
      <c r="D58" s="153"/>
      <c r="E58" s="160"/>
      <c r="F58" s="160"/>
      <c r="G58" s="91"/>
      <c r="H58" s="93"/>
      <c r="I58" s="93"/>
      <c r="J58" s="94"/>
      <c r="K58" s="95"/>
      <c r="L58" s="84"/>
      <c r="M58" s="68"/>
      <c r="N58" s="47"/>
      <c r="O58" s="2"/>
      <c r="P58" s="2"/>
      <c r="Q58" s="4"/>
      <c r="R58" s="2"/>
      <c r="S58" s="2"/>
      <c r="T58" s="2"/>
      <c r="U58" s="2"/>
      <c r="V58" s="137"/>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row>
    <row r="59" spans="1:76" s="27" customFormat="1" ht="24.75" customHeight="1">
      <c r="A59" s="114"/>
      <c r="B59" s="159"/>
      <c r="C59" s="92"/>
      <c r="D59" s="140"/>
      <c r="E59" s="91"/>
      <c r="F59" s="91"/>
      <c r="G59" s="91"/>
      <c r="H59" s="93"/>
      <c r="I59" s="93"/>
      <c r="J59" s="94"/>
      <c r="K59" s="95"/>
      <c r="L59" s="84"/>
      <c r="M59" s="68"/>
      <c r="N59" s="47"/>
      <c r="O59" s="2"/>
      <c r="P59" s="2"/>
      <c r="Q59" s="4"/>
      <c r="R59" s="2"/>
      <c r="S59" s="2"/>
      <c r="T59" s="2"/>
      <c r="U59" s="2"/>
      <c r="V59" s="137"/>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row>
    <row r="60" spans="1:76" ht="24.75" customHeight="1">
      <c r="A60" s="114"/>
      <c r="B60" s="159"/>
      <c r="C60" s="92"/>
      <c r="D60" s="140"/>
      <c r="E60" s="91"/>
      <c r="F60" s="91"/>
      <c r="G60" s="91"/>
      <c r="H60" s="93"/>
      <c r="I60" s="93"/>
      <c r="J60" s="94"/>
      <c r="K60" s="95"/>
      <c r="L60" s="84"/>
      <c r="M60" s="68"/>
      <c r="N60" s="47"/>
      <c r="O60" s="2"/>
      <c r="P60" s="2"/>
      <c r="Q60" s="2"/>
      <c r="R60" s="2"/>
    </row>
    <row r="61" spans="1:76" ht="27.75" customHeight="1">
      <c r="A61" s="200" t="s">
        <v>38</v>
      </c>
      <c r="B61" s="201"/>
      <c r="C61" s="201"/>
      <c r="D61" s="201"/>
      <c r="E61" s="201"/>
      <c r="F61" s="201"/>
      <c r="G61" s="201"/>
      <c r="H61" s="201"/>
      <c r="I61" s="201"/>
      <c r="J61" s="201"/>
      <c r="K61" s="201"/>
      <c r="L61" s="201"/>
      <c r="M61" s="201"/>
      <c r="N61" s="202"/>
      <c r="O61" s="2"/>
      <c r="P61" s="2"/>
      <c r="Q61" s="4"/>
      <c r="R61" s="2"/>
      <c r="S61" s="2"/>
      <c r="T61" s="2"/>
      <c r="U61" s="2"/>
      <c r="V61" s="137"/>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row>
    <row r="62" spans="1:76" ht="69.75">
      <c r="A62" s="114" t="s">
        <v>101</v>
      </c>
      <c r="B62" s="91" t="s">
        <v>102</v>
      </c>
      <c r="C62" s="92" t="s">
        <v>38</v>
      </c>
      <c r="D62" s="108" t="s">
        <v>103</v>
      </c>
      <c r="E62" s="91" t="s">
        <v>77</v>
      </c>
      <c r="F62" s="91" t="s">
        <v>104</v>
      </c>
      <c r="G62" s="91"/>
      <c r="H62" s="93">
        <v>200</v>
      </c>
      <c r="I62" s="93">
        <v>138</v>
      </c>
      <c r="J62" s="94"/>
      <c r="K62" s="95" t="s">
        <v>61</v>
      </c>
      <c r="L62" s="86"/>
      <c r="M62" s="60" t="s">
        <v>38</v>
      </c>
      <c r="N62" s="51" t="s">
        <v>304</v>
      </c>
      <c r="O62" s="2"/>
      <c r="P62" s="2"/>
      <c r="Q62" s="4"/>
      <c r="R62" s="2"/>
      <c r="S62" s="2"/>
      <c r="T62" s="2"/>
      <c r="U62" s="2"/>
      <c r="V62" s="137"/>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row>
    <row r="63" spans="1:76" ht="69.75">
      <c r="A63" s="114" t="s">
        <v>158</v>
      </c>
      <c r="B63" s="91" t="s">
        <v>157</v>
      </c>
      <c r="C63" s="92" t="s">
        <v>38</v>
      </c>
      <c r="D63" s="108" t="s">
        <v>166</v>
      </c>
      <c r="E63" s="91" t="s">
        <v>110</v>
      </c>
      <c r="F63" s="91" t="s">
        <v>161</v>
      </c>
      <c r="G63" s="91"/>
      <c r="H63" s="93">
        <v>2</v>
      </c>
      <c r="I63" s="93">
        <v>2</v>
      </c>
      <c r="J63" s="94"/>
      <c r="K63" s="95" t="s">
        <v>67</v>
      </c>
      <c r="L63" s="86"/>
      <c r="M63" s="60" t="s">
        <v>38</v>
      </c>
      <c r="N63" s="51" t="s">
        <v>304</v>
      </c>
      <c r="O63" s="2"/>
      <c r="P63" s="2"/>
      <c r="Q63" s="4"/>
      <c r="R63" s="2"/>
      <c r="S63" s="2"/>
      <c r="T63" s="2"/>
      <c r="U63" s="2"/>
      <c r="V63" s="137"/>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row>
    <row r="64" spans="1:76" ht="93">
      <c r="A64" s="114" t="s">
        <v>184</v>
      </c>
      <c r="B64" s="91" t="s">
        <v>167</v>
      </c>
      <c r="C64" s="92" t="s">
        <v>38</v>
      </c>
      <c r="D64" s="108" t="s">
        <v>168</v>
      </c>
      <c r="E64" s="91" t="s">
        <v>81</v>
      </c>
      <c r="F64" s="91" t="s">
        <v>169</v>
      </c>
      <c r="G64" s="91"/>
      <c r="H64" s="93">
        <v>15</v>
      </c>
      <c r="I64" s="93">
        <v>15</v>
      </c>
      <c r="J64" s="94"/>
      <c r="K64" s="95" t="s">
        <v>67</v>
      </c>
      <c r="L64" s="86"/>
      <c r="M64" s="60" t="s">
        <v>38</v>
      </c>
      <c r="N64" s="51" t="s">
        <v>304</v>
      </c>
      <c r="O64" s="2"/>
      <c r="P64" s="2"/>
      <c r="Q64" s="4"/>
      <c r="R64" s="2"/>
      <c r="S64" s="2"/>
      <c r="T64" s="2"/>
      <c r="U64" s="2"/>
      <c r="V64" s="137"/>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row>
    <row r="65" spans="1:76" ht="330.75" customHeight="1">
      <c r="A65" s="114" t="s">
        <v>219</v>
      </c>
      <c r="B65" s="159" t="s">
        <v>213</v>
      </c>
      <c r="C65" s="92" t="s">
        <v>38</v>
      </c>
      <c r="D65" s="153" t="s">
        <v>241</v>
      </c>
      <c r="E65" s="91" t="s">
        <v>77</v>
      </c>
      <c r="F65" s="160" t="s">
        <v>111</v>
      </c>
      <c r="G65" s="91"/>
      <c r="H65" s="93">
        <v>2</v>
      </c>
      <c r="I65" s="93">
        <v>2</v>
      </c>
      <c r="J65" s="94"/>
      <c r="K65" s="95" t="s">
        <v>61</v>
      </c>
      <c r="L65" s="86"/>
      <c r="M65" s="60" t="s">
        <v>38</v>
      </c>
      <c r="N65" s="51" t="s">
        <v>304</v>
      </c>
      <c r="O65" s="2"/>
      <c r="P65" s="2"/>
      <c r="Q65" s="4"/>
      <c r="R65" s="2"/>
      <c r="S65" s="2"/>
      <c r="T65" s="2"/>
      <c r="U65" s="2"/>
      <c r="V65" s="137"/>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row>
    <row r="66" spans="1:76" ht="27.75" customHeight="1">
      <c r="A66" s="114"/>
      <c r="B66" s="159"/>
      <c r="C66" s="92"/>
      <c r="D66" s="153"/>
      <c r="E66" s="91"/>
      <c r="F66" s="160"/>
      <c r="G66" s="91"/>
      <c r="H66" s="93"/>
      <c r="I66" s="93"/>
      <c r="J66" s="94"/>
      <c r="K66" s="95"/>
      <c r="L66" s="86"/>
      <c r="M66" s="60"/>
      <c r="N66" s="51"/>
      <c r="O66" s="2"/>
      <c r="P66" s="2"/>
      <c r="Q66" s="4"/>
      <c r="R66" s="2"/>
      <c r="S66" s="2"/>
      <c r="T66" s="2"/>
      <c r="U66" s="2"/>
      <c r="V66" s="137"/>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row>
    <row r="67" spans="1:76" ht="27.75" customHeight="1">
      <c r="A67" s="114"/>
      <c r="B67" s="159"/>
      <c r="C67" s="92"/>
      <c r="D67" s="153"/>
      <c r="E67" s="91"/>
      <c r="F67" s="160"/>
      <c r="G67" s="91"/>
      <c r="H67" s="93"/>
      <c r="I67" s="93"/>
      <c r="J67" s="94"/>
      <c r="K67" s="95"/>
      <c r="L67" s="86"/>
      <c r="M67" s="60"/>
      <c r="N67" s="51"/>
      <c r="O67" s="2"/>
      <c r="P67" s="2"/>
      <c r="Q67" s="4"/>
      <c r="R67" s="2"/>
      <c r="S67" s="2"/>
      <c r="T67" s="2"/>
      <c r="U67" s="2"/>
      <c r="V67" s="137"/>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row>
    <row r="68" spans="1:76" s="46" customFormat="1" ht="27.75" customHeight="1">
      <c r="A68" s="115"/>
      <c r="B68" s="48"/>
      <c r="C68" s="49"/>
      <c r="D68" s="79"/>
      <c r="E68" s="48"/>
      <c r="F68" s="48"/>
      <c r="G68" s="48"/>
      <c r="H68" s="50"/>
      <c r="I68" s="50"/>
      <c r="J68" s="52"/>
      <c r="K68" s="82"/>
      <c r="L68" s="86"/>
      <c r="M68" s="60"/>
      <c r="N68" s="51"/>
      <c r="O68" s="45"/>
      <c r="P68" s="45"/>
      <c r="Q68" s="45"/>
      <c r="R68" s="45"/>
      <c r="V68" s="139"/>
    </row>
    <row r="69" spans="1:76" ht="24.75" customHeight="1" thickBot="1">
      <c r="A69" s="116"/>
      <c r="B69" s="70"/>
      <c r="C69" s="71"/>
      <c r="D69" s="72"/>
      <c r="E69" s="73"/>
      <c r="F69" s="74"/>
      <c r="G69" s="75"/>
      <c r="H69" s="76"/>
      <c r="I69" s="76"/>
      <c r="J69" s="76"/>
      <c r="K69" s="85"/>
      <c r="L69" s="87"/>
      <c r="M69" s="77"/>
      <c r="N69" s="78"/>
      <c r="O69" s="2"/>
      <c r="P69" s="2"/>
      <c r="Q69" s="2"/>
      <c r="R69" s="2"/>
    </row>
    <row r="70" spans="1:76" ht="24.75" customHeight="1" thickBot="1">
      <c r="A70" s="179" t="s">
        <v>36</v>
      </c>
      <c r="B70" s="180"/>
      <c r="C70" s="180"/>
      <c r="D70" s="180"/>
      <c r="E70" s="180"/>
      <c r="F70" s="180"/>
      <c r="G70" s="180"/>
      <c r="H70" s="180"/>
      <c r="I70" s="180"/>
      <c r="J70" s="180"/>
      <c r="K70" s="180"/>
      <c r="L70" s="181"/>
      <c r="M70" s="181"/>
      <c r="N70" s="182"/>
      <c r="O70" s="2"/>
      <c r="P70" s="2"/>
      <c r="Q70" s="2"/>
      <c r="R70" s="2"/>
    </row>
    <row r="71" spans="1:76" ht="24.75" customHeight="1">
      <c r="A71" s="117"/>
      <c r="B71" s="32"/>
      <c r="C71" s="33"/>
      <c r="D71" s="80"/>
      <c r="E71" s="32"/>
      <c r="F71" s="32"/>
      <c r="G71" s="32"/>
      <c r="H71" s="32"/>
      <c r="I71" s="142"/>
      <c r="J71" s="33"/>
      <c r="K71" s="88"/>
      <c r="L71" s="86"/>
      <c r="M71" s="38"/>
      <c r="N71" s="40"/>
      <c r="O71" s="2"/>
      <c r="P71" s="2"/>
      <c r="Q71" s="2"/>
      <c r="R71" s="2"/>
    </row>
    <row r="72" spans="1:76" ht="24.75" customHeight="1">
      <c r="A72" s="117"/>
      <c r="B72" s="32"/>
      <c r="C72" s="33"/>
      <c r="D72" s="80"/>
      <c r="E72" s="32"/>
      <c r="F72" s="32"/>
      <c r="G72" s="32"/>
      <c r="H72" s="32"/>
      <c r="I72" s="142"/>
      <c r="J72" s="33"/>
      <c r="K72" s="88"/>
      <c r="L72" s="86"/>
      <c r="M72" s="38"/>
      <c r="N72" s="40"/>
      <c r="O72" s="2"/>
      <c r="P72" s="2"/>
      <c r="Q72" s="2"/>
      <c r="R72" s="2"/>
    </row>
    <row r="73" spans="1:76" ht="24" customHeight="1">
      <c r="A73" s="117"/>
      <c r="B73" s="32"/>
      <c r="C73" s="33"/>
      <c r="D73" s="80"/>
      <c r="E73" s="32"/>
      <c r="F73" s="32"/>
      <c r="G73" s="32"/>
      <c r="H73" s="32"/>
      <c r="I73" s="142"/>
      <c r="J73" s="33"/>
      <c r="K73" s="88"/>
      <c r="L73" s="86"/>
      <c r="M73" s="38"/>
      <c r="N73" s="40"/>
      <c r="O73" s="2"/>
      <c r="P73" s="2"/>
      <c r="Q73" s="2"/>
      <c r="R73" s="2"/>
    </row>
    <row r="74" spans="1:76" ht="24" customHeight="1">
      <c r="A74" s="205" t="s">
        <v>44</v>
      </c>
      <c r="B74" s="206"/>
      <c r="C74" s="206"/>
      <c r="D74" s="206"/>
      <c r="E74" s="206"/>
      <c r="F74" s="206"/>
      <c r="G74" s="206"/>
      <c r="H74" s="206"/>
      <c r="I74" s="206"/>
      <c r="J74" s="206"/>
      <c r="K74" s="206"/>
      <c r="L74" s="206"/>
      <c r="M74" s="206"/>
      <c r="N74" s="207"/>
      <c r="O74" s="2"/>
      <c r="P74" s="2"/>
      <c r="Q74" s="2"/>
      <c r="R74" s="2"/>
    </row>
    <row r="75" spans="1:76" ht="30">
      <c r="A75" s="118"/>
      <c r="B75" s="132" t="s">
        <v>105</v>
      </c>
      <c r="C75" s="124" t="s">
        <v>44</v>
      </c>
      <c r="D75" s="135" t="s">
        <v>147</v>
      </c>
      <c r="E75" s="15" t="s">
        <v>106</v>
      </c>
      <c r="F75" s="136" t="s">
        <v>107</v>
      </c>
      <c r="G75" s="17" t="s">
        <v>108</v>
      </c>
      <c r="H75" s="154">
        <v>0</v>
      </c>
      <c r="I75" s="18">
        <v>0</v>
      </c>
      <c r="J75" s="18"/>
      <c r="K75" s="134" t="s">
        <v>67</v>
      </c>
      <c r="L75" s="111" t="s">
        <v>44</v>
      </c>
      <c r="M75" s="97" t="s">
        <v>44</v>
      </c>
      <c r="N75" s="41"/>
      <c r="O75" s="2"/>
      <c r="P75" s="2"/>
      <c r="Q75" s="2"/>
      <c r="R75" s="2"/>
    </row>
    <row r="76" spans="1:76" ht="30">
      <c r="A76" s="118"/>
      <c r="B76" s="132" t="s">
        <v>109</v>
      </c>
      <c r="C76" s="124" t="s">
        <v>44</v>
      </c>
      <c r="D76" s="135" t="s">
        <v>145</v>
      </c>
      <c r="E76" s="15" t="s">
        <v>110</v>
      </c>
      <c r="F76" s="136" t="s">
        <v>111</v>
      </c>
      <c r="G76" s="17" t="s">
        <v>112</v>
      </c>
      <c r="H76" s="154">
        <v>0</v>
      </c>
      <c r="I76" s="18">
        <v>0</v>
      </c>
      <c r="J76" s="18"/>
      <c r="K76" s="134" t="s">
        <v>61</v>
      </c>
      <c r="L76" s="111" t="s">
        <v>44</v>
      </c>
      <c r="M76" s="9" t="s">
        <v>44</v>
      </c>
      <c r="N76" s="41"/>
      <c r="O76" s="2"/>
      <c r="P76" s="2"/>
      <c r="Q76" s="2"/>
      <c r="R76" s="2"/>
    </row>
    <row r="77" spans="1:76" ht="45">
      <c r="A77" s="133"/>
      <c r="B77" s="131" t="s">
        <v>142</v>
      </c>
      <c r="C77" s="126" t="s">
        <v>44</v>
      </c>
      <c r="D77" s="127" t="s">
        <v>146</v>
      </c>
      <c r="E77" s="125" t="s">
        <v>77</v>
      </c>
      <c r="F77" s="125" t="s">
        <v>144</v>
      </c>
      <c r="G77" s="125"/>
      <c r="H77" s="155"/>
      <c r="I77" s="128"/>
      <c r="J77" s="129"/>
      <c r="K77" s="130" t="s">
        <v>67</v>
      </c>
      <c r="L77" s="111" t="s">
        <v>44</v>
      </c>
      <c r="M77" s="9" t="s">
        <v>44</v>
      </c>
      <c r="N77" s="41"/>
      <c r="O77" s="2"/>
      <c r="P77" s="2"/>
      <c r="Q77" s="2"/>
      <c r="R77" s="2"/>
    </row>
    <row r="78" spans="1:76" ht="30">
      <c r="A78" s="118"/>
      <c r="B78" s="132" t="s">
        <v>171</v>
      </c>
      <c r="C78" s="124" t="s">
        <v>44</v>
      </c>
      <c r="D78" s="135" t="s">
        <v>174</v>
      </c>
      <c r="E78" s="15" t="s">
        <v>110</v>
      </c>
      <c r="F78" s="136" t="s">
        <v>132</v>
      </c>
      <c r="G78" s="17"/>
      <c r="H78" s="154"/>
      <c r="I78" s="18"/>
      <c r="J78" s="18"/>
      <c r="K78" s="134" t="s">
        <v>61</v>
      </c>
      <c r="L78" s="111" t="s">
        <v>44</v>
      </c>
      <c r="M78" s="9" t="s">
        <v>44</v>
      </c>
      <c r="N78" s="41"/>
      <c r="O78" s="2"/>
      <c r="P78" s="2"/>
      <c r="Q78" s="2"/>
      <c r="R78" s="2"/>
    </row>
    <row r="79" spans="1:76" ht="30">
      <c r="A79" s="118"/>
      <c r="B79" s="132" t="s">
        <v>173</v>
      </c>
      <c r="C79" s="124" t="s">
        <v>44</v>
      </c>
      <c r="D79" s="135" t="s">
        <v>175</v>
      </c>
      <c r="E79" s="15" t="s">
        <v>110</v>
      </c>
      <c r="F79" s="136" t="s">
        <v>132</v>
      </c>
      <c r="G79" s="156"/>
      <c r="H79" s="157">
        <v>52</v>
      </c>
      <c r="I79" s="158"/>
      <c r="J79" s="158"/>
      <c r="K79" s="134" t="s">
        <v>61</v>
      </c>
      <c r="L79" s="111" t="s">
        <v>44</v>
      </c>
      <c r="M79" s="9" t="s">
        <v>44</v>
      </c>
      <c r="N79" s="41"/>
      <c r="O79" s="2"/>
      <c r="P79" s="2"/>
      <c r="Q79" s="2"/>
      <c r="R79" s="2"/>
    </row>
    <row r="80" spans="1:76" ht="30">
      <c r="A80" s="118"/>
      <c r="B80" s="132" t="s">
        <v>176</v>
      </c>
      <c r="C80" s="124" t="s">
        <v>44</v>
      </c>
      <c r="D80" s="135" t="s">
        <v>177</v>
      </c>
      <c r="E80" s="15" t="s">
        <v>110</v>
      </c>
      <c r="F80" s="136" t="s">
        <v>132</v>
      </c>
      <c r="G80" s="156"/>
      <c r="H80" s="157">
        <v>40</v>
      </c>
      <c r="I80" s="158"/>
      <c r="J80" s="158"/>
      <c r="K80" s="134" t="s">
        <v>61</v>
      </c>
      <c r="L80" s="111" t="s">
        <v>44</v>
      </c>
      <c r="M80" s="9" t="s">
        <v>44</v>
      </c>
      <c r="N80" s="41"/>
      <c r="O80" s="2"/>
      <c r="P80" s="2"/>
      <c r="Q80" s="2"/>
      <c r="R80" s="2"/>
    </row>
    <row r="81" spans="1:76" ht="30">
      <c r="A81" s="118"/>
      <c r="B81" s="132" t="s">
        <v>178</v>
      </c>
      <c r="C81" s="124" t="s">
        <v>44</v>
      </c>
      <c r="D81" s="135" t="s">
        <v>174</v>
      </c>
      <c r="E81" s="15" t="s">
        <v>110</v>
      </c>
      <c r="F81" s="136" t="s">
        <v>132</v>
      </c>
      <c r="G81" s="156"/>
      <c r="H81" s="154">
        <v>12</v>
      </c>
      <c r="I81" s="18"/>
      <c r="J81" s="18"/>
      <c r="K81" s="134" t="s">
        <v>61</v>
      </c>
      <c r="L81" s="111" t="s">
        <v>44</v>
      </c>
      <c r="M81" s="9" t="s">
        <v>44</v>
      </c>
      <c r="N81" s="41"/>
      <c r="O81" s="2"/>
      <c r="P81" s="2"/>
      <c r="Q81" s="2"/>
      <c r="R81" s="2"/>
    </row>
    <row r="82" spans="1:76">
      <c r="A82" s="118"/>
      <c r="B82" s="132" t="s">
        <v>193</v>
      </c>
      <c r="C82" s="124" t="s">
        <v>44</v>
      </c>
      <c r="D82" s="14" t="s">
        <v>194</v>
      </c>
      <c r="E82" s="15" t="s">
        <v>110</v>
      </c>
      <c r="F82" s="136" t="s">
        <v>186</v>
      </c>
      <c r="G82" s="17"/>
      <c r="H82" s="154"/>
      <c r="I82" s="18"/>
      <c r="J82" s="18"/>
      <c r="K82" s="134" t="s">
        <v>61</v>
      </c>
      <c r="L82" s="111" t="s">
        <v>44</v>
      </c>
      <c r="M82" s="9" t="s">
        <v>44</v>
      </c>
      <c r="N82" s="41"/>
      <c r="O82" s="2"/>
      <c r="P82" s="2"/>
      <c r="Q82" s="2"/>
      <c r="R82" s="2"/>
    </row>
    <row r="83" spans="1:76" ht="30">
      <c r="A83" s="133" t="s">
        <v>209</v>
      </c>
      <c r="B83" s="164" t="s">
        <v>210</v>
      </c>
      <c r="C83" s="126" t="s">
        <v>44</v>
      </c>
      <c r="D83" s="161" t="s">
        <v>216</v>
      </c>
      <c r="E83" s="125" t="s">
        <v>110</v>
      </c>
      <c r="F83" s="162" t="s">
        <v>211</v>
      </c>
      <c r="G83" s="125"/>
      <c r="H83" s="128"/>
      <c r="I83" s="128"/>
      <c r="J83" s="129"/>
      <c r="K83" s="130" t="s">
        <v>212</v>
      </c>
      <c r="L83" s="111" t="s">
        <v>44</v>
      </c>
      <c r="M83" s="9" t="s">
        <v>44</v>
      </c>
      <c r="N83" s="41"/>
      <c r="O83" s="2"/>
      <c r="P83" s="2"/>
      <c r="Q83" s="2"/>
      <c r="R83" s="2"/>
    </row>
    <row r="84" spans="1:76" ht="30" customHeight="1">
      <c r="A84" s="163"/>
      <c r="B84" s="164" t="s">
        <v>234</v>
      </c>
      <c r="C84" s="126" t="s">
        <v>44</v>
      </c>
      <c r="D84" s="161" t="s">
        <v>235</v>
      </c>
      <c r="E84" s="125" t="s">
        <v>110</v>
      </c>
      <c r="F84" s="162" t="s">
        <v>229</v>
      </c>
      <c r="G84" s="125"/>
      <c r="H84" s="128"/>
      <c r="I84" s="128"/>
      <c r="J84" s="129"/>
      <c r="K84" s="130" t="s">
        <v>61</v>
      </c>
      <c r="L84" s="111" t="s">
        <v>44</v>
      </c>
      <c r="M84" s="9" t="s">
        <v>44</v>
      </c>
      <c r="N84" s="41"/>
      <c r="O84" s="2"/>
      <c r="P84" s="2"/>
      <c r="Q84" s="2"/>
      <c r="R84" s="2"/>
    </row>
    <row r="85" spans="1:76" ht="30">
      <c r="A85" s="163"/>
      <c r="B85" s="164" t="s">
        <v>264</v>
      </c>
      <c r="C85" s="126" t="s">
        <v>44</v>
      </c>
      <c r="D85" s="161" t="s">
        <v>265</v>
      </c>
      <c r="E85" s="125" t="s">
        <v>110</v>
      </c>
      <c r="F85" s="162" t="s">
        <v>186</v>
      </c>
      <c r="G85" s="125"/>
      <c r="H85" s="128"/>
      <c r="I85" s="128"/>
      <c r="J85" s="129"/>
      <c r="K85" s="130" t="s">
        <v>61</v>
      </c>
      <c r="L85" s="111" t="s">
        <v>44</v>
      </c>
      <c r="M85" s="9" t="s">
        <v>44</v>
      </c>
      <c r="N85" s="41"/>
      <c r="O85" s="2"/>
      <c r="P85" s="2"/>
      <c r="Q85" s="2"/>
      <c r="R85" s="2"/>
    </row>
    <row r="86" spans="1:76">
      <c r="A86" s="163"/>
      <c r="B86" s="164" t="s">
        <v>266</v>
      </c>
      <c r="C86" s="126" t="s">
        <v>44</v>
      </c>
      <c r="D86" s="161" t="s">
        <v>267</v>
      </c>
      <c r="E86" s="125" t="s">
        <v>110</v>
      </c>
      <c r="F86" s="162" t="s">
        <v>132</v>
      </c>
      <c r="G86" s="125"/>
      <c r="H86" s="128"/>
      <c r="I86" s="128"/>
      <c r="J86" s="129"/>
      <c r="K86" s="130" t="s">
        <v>61</v>
      </c>
      <c r="L86" s="111" t="s">
        <v>44</v>
      </c>
      <c r="M86" s="9" t="s">
        <v>44</v>
      </c>
      <c r="N86" s="41"/>
      <c r="O86" s="2"/>
      <c r="P86" s="2"/>
      <c r="Q86" s="2"/>
      <c r="R86" s="2"/>
    </row>
    <row r="87" spans="1:76" ht="45" customHeight="1">
      <c r="A87" s="133" t="s">
        <v>245</v>
      </c>
      <c r="B87" s="164" t="s">
        <v>227</v>
      </c>
      <c r="C87" s="126" t="s">
        <v>44</v>
      </c>
      <c r="D87" s="161" t="s">
        <v>293</v>
      </c>
      <c r="E87" s="162" t="s">
        <v>77</v>
      </c>
      <c r="F87" s="162" t="s">
        <v>107</v>
      </c>
      <c r="G87" s="125"/>
      <c r="H87" s="128"/>
      <c r="I87" s="128"/>
      <c r="J87" s="167"/>
      <c r="K87" s="130" t="s">
        <v>67</v>
      </c>
      <c r="L87" s="111" t="s">
        <v>44</v>
      </c>
      <c r="M87" s="9" t="s">
        <v>44</v>
      </c>
      <c r="N87" s="41"/>
      <c r="O87" s="2"/>
      <c r="P87" s="2"/>
      <c r="Q87" s="2"/>
      <c r="R87" s="2"/>
    </row>
    <row r="88" spans="1:76">
      <c r="A88" s="133"/>
      <c r="B88" s="164"/>
      <c r="C88" s="126"/>
      <c r="D88" s="161"/>
      <c r="E88" s="162"/>
      <c r="F88" s="162"/>
      <c r="G88" s="125"/>
      <c r="H88" s="128"/>
      <c r="I88" s="128"/>
      <c r="J88" s="167"/>
      <c r="K88" s="130"/>
      <c r="L88" s="111"/>
      <c r="M88" s="9"/>
      <c r="N88" s="41"/>
      <c r="O88" s="2"/>
      <c r="P88" s="2"/>
      <c r="Q88" s="2"/>
      <c r="R88" s="2"/>
    </row>
    <row r="89" spans="1:76">
      <c r="A89" s="133"/>
      <c r="B89" s="164"/>
      <c r="C89" s="126"/>
      <c r="D89" s="161"/>
      <c r="E89" s="162"/>
      <c r="F89" s="162"/>
      <c r="G89" s="125"/>
      <c r="H89" s="128"/>
      <c r="I89" s="128"/>
      <c r="J89" s="167"/>
      <c r="K89" s="130"/>
      <c r="L89" s="111"/>
      <c r="M89" s="9"/>
      <c r="N89" s="41"/>
      <c r="O89" s="2"/>
      <c r="P89" s="2"/>
      <c r="Q89" s="2"/>
      <c r="R89" s="2"/>
    </row>
    <row r="90" spans="1:76">
      <c r="A90" s="133"/>
      <c r="B90" s="164"/>
      <c r="C90" s="126"/>
      <c r="D90" s="161"/>
      <c r="E90" s="162"/>
      <c r="F90" s="162"/>
      <c r="G90" s="125"/>
      <c r="H90" s="128"/>
      <c r="I90" s="128"/>
      <c r="J90" s="167"/>
      <c r="K90" s="130"/>
      <c r="L90" s="111"/>
      <c r="M90" s="9"/>
      <c r="N90" s="41"/>
      <c r="O90" s="2"/>
      <c r="P90" s="2"/>
      <c r="Q90" s="2"/>
      <c r="R90" s="2"/>
    </row>
    <row r="91" spans="1:76">
      <c r="A91" s="133"/>
      <c r="B91" s="164"/>
      <c r="C91" s="126"/>
      <c r="D91" s="161"/>
      <c r="E91" s="162"/>
      <c r="F91" s="162"/>
      <c r="G91" s="125"/>
      <c r="H91" s="128"/>
      <c r="I91" s="128"/>
      <c r="J91" s="167"/>
      <c r="K91" s="130"/>
      <c r="L91" s="111"/>
      <c r="M91" s="9"/>
      <c r="N91" s="41"/>
      <c r="O91" s="2"/>
      <c r="P91" s="2"/>
      <c r="Q91" s="2"/>
      <c r="R91" s="2"/>
    </row>
    <row r="92" spans="1:76">
      <c r="A92" s="133"/>
      <c r="B92" s="164"/>
      <c r="C92" s="126"/>
      <c r="D92" s="161"/>
      <c r="E92" s="162"/>
      <c r="F92" s="162"/>
      <c r="G92" s="125"/>
      <c r="H92" s="128"/>
      <c r="I92" s="128"/>
      <c r="J92" s="167"/>
      <c r="K92" s="130"/>
      <c r="L92" s="111"/>
      <c r="M92" s="9"/>
      <c r="N92" s="41"/>
      <c r="O92" s="2"/>
      <c r="P92" s="2"/>
      <c r="Q92" s="2"/>
      <c r="R92" s="2"/>
    </row>
    <row r="93" spans="1:76">
      <c r="A93" s="133"/>
      <c r="B93" s="164"/>
      <c r="C93" s="126"/>
      <c r="D93" s="161"/>
      <c r="E93" s="162"/>
      <c r="F93" s="162"/>
      <c r="G93" s="125"/>
      <c r="H93" s="128"/>
      <c r="I93" s="128"/>
      <c r="J93" s="167"/>
      <c r="K93" s="130"/>
      <c r="L93" s="111"/>
      <c r="M93" s="9"/>
      <c r="N93" s="41"/>
      <c r="O93" s="2"/>
      <c r="P93" s="2"/>
      <c r="Q93" s="2"/>
      <c r="R93" s="2"/>
    </row>
    <row r="94" spans="1:76" s="2" customFormat="1" ht="21" customHeight="1">
      <c r="A94" s="118"/>
      <c r="B94" s="29"/>
      <c r="C94" s="124"/>
      <c r="D94" s="14"/>
      <c r="E94" s="19"/>
      <c r="F94" s="16"/>
      <c r="G94" s="17"/>
      <c r="H94" s="154"/>
      <c r="I94" s="18"/>
      <c r="J94" s="15"/>
      <c r="K94" s="98"/>
      <c r="L94" s="96"/>
      <c r="M94" s="97"/>
      <c r="N94" s="41"/>
      <c r="S94" s="1"/>
      <c r="T94" s="1"/>
      <c r="U94" s="1"/>
      <c r="V94" s="139"/>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row>
    <row r="95" spans="1:76" ht="13.5" customHeight="1">
      <c r="A95" s="183" t="s">
        <v>56</v>
      </c>
      <c r="B95" s="184"/>
      <c r="C95" s="184"/>
      <c r="D95" s="184"/>
      <c r="E95" s="184"/>
      <c r="F95" s="184"/>
      <c r="G95" s="184"/>
      <c r="H95" s="184"/>
      <c r="I95" s="184"/>
      <c r="J95" s="184"/>
      <c r="K95" s="184"/>
      <c r="L95" s="184"/>
      <c r="M95" s="184"/>
      <c r="N95" s="185"/>
      <c r="O95" s="2"/>
      <c r="P95" s="2"/>
      <c r="Q95" s="2"/>
      <c r="R95" s="2"/>
    </row>
    <row r="96" spans="1:76">
      <c r="A96" s="119"/>
      <c r="B96" s="34"/>
      <c r="C96" s="35"/>
      <c r="D96" s="36"/>
      <c r="E96" s="34"/>
      <c r="F96" s="109"/>
      <c r="G96" s="109"/>
      <c r="H96" s="198">
        <v>5000</v>
      </c>
      <c r="I96" s="199"/>
      <c r="J96" s="99"/>
      <c r="K96" s="110"/>
      <c r="L96" s="89"/>
      <c r="M96" s="37"/>
      <c r="N96" s="40" t="s">
        <v>28</v>
      </c>
    </row>
    <row r="97" spans="1:14" ht="15.75" thickBot="1">
      <c r="A97" s="120"/>
      <c r="B97" s="53"/>
      <c r="C97" s="54"/>
      <c r="D97" s="55"/>
      <c r="E97" s="56"/>
      <c r="F97" s="57"/>
      <c r="G97" s="186" t="s">
        <v>39</v>
      </c>
      <c r="H97" s="187"/>
      <c r="I97" s="143">
        <v>5000</v>
      </c>
      <c r="J97" s="42"/>
      <c r="K97" s="100"/>
      <c r="L97" s="100"/>
      <c r="M97" s="58"/>
      <c r="N97" s="59"/>
    </row>
    <row r="98" spans="1:14" ht="15.75" thickBot="1">
      <c r="J98" s="13"/>
    </row>
    <row r="99" spans="1:14">
      <c r="B99" s="208" t="s">
        <v>45</v>
      </c>
      <c r="C99" s="101" t="s">
        <v>12</v>
      </c>
      <c r="D99" s="102" t="s">
        <v>46</v>
      </c>
      <c r="J99" s="13"/>
    </row>
    <row r="100" spans="1:14">
      <c r="B100" s="209"/>
      <c r="C100" s="103" t="s">
        <v>13</v>
      </c>
      <c r="D100" s="104" t="s">
        <v>47</v>
      </c>
      <c r="J100" s="13"/>
    </row>
    <row r="101" spans="1:14" ht="15" customHeight="1" thickBot="1">
      <c r="B101" s="210"/>
      <c r="C101" s="105" t="s">
        <v>44</v>
      </c>
      <c r="D101" s="106" t="s">
        <v>48</v>
      </c>
      <c r="J101" s="13"/>
    </row>
    <row r="102" spans="1:14" ht="15.75" thickBot="1">
      <c r="A102" s="122"/>
      <c r="B102" s="69"/>
      <c r="E102" s="3"/>
      <c r="F102" s="1"/>
      <c r="G102" s="1"/>
      <c r="H102" s="1"/>
      <c r="J102" s="13"/>
      <c r="K102" s="25"/>
      <c r="L102" s="25"/>
      <c r="M102" s="1"/>
    </row>
    <row r="103" spans="1:14">
      <c r="A103" s="122"/>
      <c r="B103" s="174" t="s">
        <v>37</v>
      </c>
      <c r="C103" s="101" t="s">
        <v>12</v>
      </c>
      <c r="D103" s="102" t="s">
        <v>52</v>
      </c>
      <c r="E103" s="3"/>
      <c r="F103" s="1"/>
      <c r="G103" s="1"/>
      <c r="H103" s="1"/>
      <c r="J103" s="13"/>
      <c r="K103" s="25"/>
      <c r="L103" s="25"/>
      <c r="M103" s="1"/>
    </row>
    <row r="104" spans="1:14">
      <c r="A104" s="122"/>
      <c r="B104" s="175"/>
      <c r="C104" s="103" t="s">
        <v>38</v>
      </c>
      <c r="D104" s="104" t="s">
        <v>49</v>
      </c>
      <c r="E104" s="3"/>
      <c r="F104" s="1"/>
      <c r="G104" s="1"/>
      <c r="H104" s="1"/>
      <c r="J104" s="13"/>
      <c r="K104" s="25"/>
      <c r="L104" s="25"/>
      <c r="M104" s="1"/>
    </row>
    <row r="105" spans="1:14">
      <c r="A105" s="122"/>
      <c r="B105" s="175"/>
      <c r="C105" s="103" t="s">
        <v>36</v>
      </c>
      <c r="D105" s="104" t="s">
        <v>50</v>
      </c>
      <c r="E105" s="3"/>
      <c r="F105" s="1"/>
      <c r="G105" s="1"/>
      <c r="H105" s="1"/>
      <c r="J105" s="13"/>
      <c r="K105" s="25"/>
      <c r="L105" s="25"/>
      <c r="M105" s="1"/>
    </row>
    <row r="106" spans="1:14" ht="15.75" thickBot="1">
      <c r="A106" s="122"/>
      <c r="B106" s="176"/>
      <c r="C106" s="105" t="s">
        <v>44</v>
      </c>
      <c r="D106" s="107" t="s">
        <v>51</v>
      </c>
      <c r="E106" s="3"/>
      <c r="F106" s="1"/>
      <c r="G106" s="1"/>
      <c r="H106" s="1"/>
      <c r="J106" s="13"/>
      <c r="K106" s="25"/>
      <c r="L106" s="25"/>
      <c r="M106" s="1"/>
    </row>
    <row r="107" spans="1:14">
      <c r="A107" s="122"/>
      <c r="B107" s="31"/>
      <c r="C107" s="23"/>
      <c r="D107" s="1"/>
      <c r="E107" s="3"/>
      <c r="F107" s="1"/>
      <c r="G107" s="1"/>
      <c r="H107" s="1"/>
      <c r="J107" s="13"/>
      <c r="K107" s="25"/>
      <c r="L107" s="25"/>
      <c r="M107" s="1"/>
    </row>
    <row r="108" spans="1:14">
      <c r="A108" s="122"/>
      <c r="B108" s="31"/>
      <c r="C108" s="23"/>
      <c r="D108" s="1"/>
      <c r="E108" s="3"/>
      <c r="F108" s="1"/>
      <c r="G108" s="1"/>
      <c r="H108" s="1"/>
      <c r="J108" s="13"/>
      <c r="K108" s="25"/>
      <c r="L108" s="25"/>
      <c r="M108" s="1"/>
    </row>
    <row r="111" spans="1:14">
      <c r="D111" s="6" t="s">
        <v>20</v>
      </c>
    </row>
    <row r="143" spans="1:2">
      <c r="A143" s="121" t="s">
        <v>12</v>
      </c>
      <c r="B143" s="30" t="s">
        <v>12</v>
      </c>
    </row>
    <row r="144" spans="1:2">
      <c r="A144" s="121" t="s">
        <v>13</v>
      </c>
      <c r="B144" s="30" t="s">
        <v>38</v>
      </c>
    </row>
    <row r="145" spans="1:2">
      <c r="A145" s="121" t="s">
        <v>44</v>
      </c>
      <c r="B145" s="30" t="s">
        <v>36</v>
      </c>
    </row>
    <row r="146" spans="1:2">
      <c r="B146" s="30" t="s">
        <v>44</v>
      </c>
    </row>
  </sheetData>
  <autoFilter ref="E1:K4">
    <filterColumn colId="0"/>
  </autoFilter>
  <sortState ref="A5:BW15">
    <sortCondition ref="A5"/>
  </sortState>
  <mergeCells count="20">
    <mergeCell ref="A61:N61"/>
    <mergeCell ref="L1:L2"/>
    <mergeCell ref="A74:N74"/>
    <mergeCell ref="B99:B101"/>
    <mergeCell ref="B103:B106"/>
    <mergeCell ref="N1:N2"/>
    <mergeCell ref="A70:N70"/>
    <mergeCell ref="A95:N95"/>
    <mergeCell ref="G97:H97"/>
    <mergeCell ref="A1:B1"/>
    <mergeCell ref="D1:D2"/>
    <mergeCell ref="F1:F2"/>
    <mergeCell ref="G1:G2"/>
    <mergeCell ref="H1:H2"/>
    <mergeCell ref="I1:I2"/>
    <mergeCell ref="K1:K2"/>
    <mergeCell ref="M1:M2"/>
    <mergeCell ref="H96:I96"/>
    <mergeCell ref="E1:E2"/>
    <mergeCell ref="J1:J2"/>
  </mergeCells>
  <dataValidations count="8">
    <dataValidation type="list" allowBlank="1" showInputMessage="1" showErrorMessage="1" sqref="M97">
      <formula1>$Q$1</formula1>
    </dataValidation>
    <dataValidation type="list" allowBlank="1" showInputMessage="1" showErrorMessage="1" sqref="L75:M94">
      <formula1>$A$145</formula1>
    </dataValidation>
    <dataValidation type="whole" allowBlank="1" showInputMessage="1" showErrorMessage="1" sqref="H69">
      <formula1>2</formula1>
      <formula2>9000</formula2>
    </dataValidation>
    <dataValidation type="list" allowBlank="1" showInputMessage="1" showErrorMessage="1" sqref="L62:L69 L71:L73">
      <formula1>$A$144</formula1>
    </dataValidation>
    <dataValidation type="list" allowBlank="1" showInputMessage="1" showErrorMessage="1" sqref="M71:M73">
      <formula1>$B$145</formula1>
    </dataValidation>
    <dataValidation type="list" allowBlank="1" showInputMessage="1" showErrorMessage="1" sqref="M62:M69">
      <formula1>$B$144</formula1>
    </dataValidation>
    <dataValidation type="list" allowBlank="1" showInputMessage="1" showErrorMessage="1" sqref="M4:M60">
      <formula1>$A$143:$A$144</formula1>
    </dataValidation>
    <dataValidation type="list" allowBlank="1" showInputMessage="1" showErrorMessage="1" sqref="L4:L60">
      <formula1>$A$143</formula1>
    </dataValidation>
  </dataValidations>
  <printOptions horizontalCentered="1" verticalCentered="1"/>
  <pageMargins left="0.25" right="0.25" top="0.64" bottom="0.46" header="0.3" footer="0.3"/>
  <pageSetup scale="46" fitToHeight="6" orientation="landscape" r:id="rId1"/>
  <headerFooter>
    <oddHeader>&amp;C&amp;"-,Bold"&amp;16JFHQ-AL Mission Tracker</oddHeader>
    <oddFooter>&amp;R&amp;"-,Bold"AS OF: &amp;D &amp;T</oddFooter>
  </headerFooter>
  <colBreaks count="1" manualBreakCount="1">
    <brk id="3" max="1048575" man="1"/>
  </colBreaks>
</worksheet>
</file>

<file path=xl/worksheets/sheet2.xml><?xml version="1.0" encoding="utf-8"?>
<worksheet xmlns="http://schemas.openxmlformats.org/spreadsheetml/2006/main" xmlns:r="http://schemas.openxmlformats.org/officeDocument/2006/relationships">
  <sheetPr>
    <tabColor rgb="FFFF0000"/>
  </sheetPr>
  <dimension ref="A1:E9"/>
  <sheetViews>
    <sheetView showGridLines="0" view="pageBreakPreview" zoomScale="190" zoomScaleNormal="100" zoomScaleSheetLayoutView="190" workbookViewId="0">
      <selection activeCell="D13" sqref="D13"/>
    </sheetView>
  </sheetViews>
  <sheetFormatPr defaultRowHeight="15"/>
  <cols>
    <col min="1" max="1" width="16.7109375" customWidth="1"/>
    <col min="3" max="3" width="5.42578125" customWidth="1"/>
    <col min="4" max="4" width="23.42578125" customWidth="1"/>
    <col min="5" max="5" width="9.85546875" style="152" bestFit="1" customWidth="1"/>
  </cols>
  <sheetData>
    <row r="1" spans="1:5">
      <c r="A1" s="62" t="s">
        <v>12</v>
      </c>
      <c r="B1" s="168">
        <f>COUNTIF('MAIN LOG'!M4:M69,"OPEN")</f>
        <v>52</v>
      </c>
      <c r="C1" s="63"/>
      <c r="D1" s="211" t="s">
        <v>32</v>
      </c>
      <c r="E1" s="212"/>
    </row>
    <row r="2" spans="1:5">
      <c r="A2" s="64" t="s">
        <v>36</v>
      </c>
      <c r="B2" s="169">
        <f>COUNTIF('MAIN LOG'!M71:M94,"REFRAD")</f>
        <v>0</v>
      </c>
      <c r="C2" s="20"/>
      <c r="D2" s="11" t="s">
        <v>31</v>
      </c>
      <c r="E2" s="144">
        <f>SUM('MAIN LOG'!H4:H69)</f>
        <v>2071</v>
      </c>
    </row>
    <row r="3" spans="1:5">
      <c r="A3" s="64" t="s">
        <v>8</v>
      </c>
      <c r="B3" s="170">
        <f>COUNTIF('MAIN LOG'!M75:M94,"Canceled")</f>
        <v>13</v>
      </c>
      <c r="C3" s="20"/>
      <c r="D3" s="11" t="s">
        <v>55</v>
      </c>
      <c r="E3" s="145">
        <f>SUM('MAIN LOG'!I4:I69)</f>
        <v>1380</v>
      </c>
    </row>
    <row r="4" spans="1:5">
      <c r="A4" s="64" t="s">
        <v>38</v>
      </c>
      <c r="B4" s="171">
        <f>COUNTIF('MAIN LOG'!M62:M69,"RESET")</f>
        <v>4</v>
      </c>
      <c r="C4" s="20"/>
      <c r="D4" s="21" t="s">
        <v>33</v>
      </c>
      <c r="E4" s="146">
        <f>SUM(E2-E3)</f>
        <v>691</v>
      </c>
    </row>
    <row r="5" spans="1:5">
      <c r="A5" s="64" t="s">
        <v>30</v>
      </c>
      <c r="B5" s="172">
        <f>COUNTIF('MAIN LOG'!M96:M97,"OPEN")</f>
        <v>0</v>
      </c>
      <c r="C5" s="20"/>
      <c r="D5" s="22"/>
      <c r="E5" s="147"/>
    </row>
    <row r="6" spans="1:5">
      <c r="A6" s="65" t="s">
        <v>15</v>
      </c>
      <c r="B6" s="173">
        <f>SUM(B1,B4,B5)</f>
        <v>56</v>
      </c>
      <c r="C6" s="20"/>
      <c r="D6" s="61"/>
      <c r="E6" s="148"/>
    </row>
    <row r="7" spans="1:5">
      <c r="C7" s="20"/>
      <c r="D7" s="11" t="s">
        <v>34</v>
      </c>
      <c r="E7" s="149" t="str">
        <f>REPT('MAIN LOG'!H96,1)</f>
        <v>5000</v>
      </c>
    </row>
    <row r="8" spans="1:5">
      <c r="C8" s="20"/>
      <c r="D8" s="11" t="s">
        <v>35</v>
      </c>
      <c r="E8" s="150">
        <f>SUM(E7-E3)</f>
        <v>3620</v>
      </c>
    </row>
    <row r="9" spans="1:5" ht="15.75" thickBot="1">
      <c r="C9" s="66"/>
      <c r="D9" s="67" t="s">
        <v>38</v>
      </c>
      <c r="E9" s="151">
        <f>SUM('MAIN LOG'!I62:I69)</f>
        <v>157</v>
      </c>
    </row>
  </sheetData>
  <mergeCells count="1">
    <mergeCell ref="D1:E1"/>
  </mergeCells>
  <pageMargins left="0.7" right="0.7" top="0.75" bottom="0.75" header="0.3" footer="0.3"/>
  <pageSetup scale="13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MAIN LOG</vt:lpstr>
      <vt:lpstr>ROLL UPs</vt:lpstr>
      <vt:lpstr>'MAIN LOG'!Print_Area</vt:lpstr>
      <vt:lpstr>'MAIN LOG'!Print_Titles</vt:lpstr>
    </vt:vector>
  </TitlesOfParts>
  <Company>U.S. Army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william.overby</dc:creator>
  <cp:lastModifiedBy>william.overby</cp:lastModifiedBy>
  <cp:lastPrinted>2013-05-09T15:18:12Z</cp:lastPrinted>
  <dcterms:created xsi:type="dcterms:W3CDTF">2011-01-09T22:30:46Z</dcterms:created>
  <dcterms:modified xsi:type="dcterms:W3CDTF">2014-04-22T22:14:28Z</dcterms:modified>
</cp:coreProperties>
</file>