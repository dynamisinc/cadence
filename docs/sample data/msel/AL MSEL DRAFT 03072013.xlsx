
<file path=[Content_Types].xml><?xml version="1.0" encoding="utf-8"?>
<Types xmlns="http://schemas.openxmlformats.org/package/2006/content-types">
  <Default Extension="bin" ContentType="application/vnd.openxmlformats-officedocument.spreadsheetml.printerSettings"/>
  <Override PartName="/customXml/itemProps2.xml" ContentType="application/vnd.openxmlformats-officedocument.customXmlProperties+xml"/>
  <Override PartName="/customXml/itemProps3.xml" ContentType="application/vnd.openxmlformats-officedocument.customXmlProperties+xml"/>
  <Override PartName="/xl/theme/theme1.xml" ContentType="application/vnd.openxmlformats-officedocument.theme+xml"/>
  <Override PartName="/xl/styles.xml" ContentType="application/vnd.openxmlformats-officedocument.spreadsheetml.styles+xml"/>
  <Override PartName="/customXml/itemProps1.xml" ContentType="application/vnd.openxmlformats-officedocument.customXmlProperties+xml"/>
  <Override PartName="/xl/worksheets/wsSortMap2.xml" ContentType="application/vnd.ms-excel.wsSortMap+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wsSortMap1.xml" ContentType="application/vnd.ms-excel.wsSortMap+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defaultThemeVersion="124226"/>
  <bookViews>
    <workbookView xWindow="0" yWindow="45" windowWidth="12120" windowHeight="7590" activeTab="1"/>
  </bookViews>
  <sheets>
    <sheet name="Excercise - Al " sheetId="1" r:id="rId1"/>
    <sheet name="MSEL INFO ONLY" sheetId="6" r:id="rId2"/>
    <sheet name="Backup" sheetId="3" r:id="rId3"/>
    <sheet name="PRINT_SMALL" sheetId="5" r:id="rId4"/>
  </sheets>
  <definedNames>
    <definedName name="_xlnm._FilterDatabase" localSheetId="0" hidden="1">'Excercise - Al '!$A$1:$R$198</definedName>
    <definedName name="_xlnm._FilterDatabase" localSheetId="1" hidden="1">'MSEL INFO ONLY'!$A$1:$Q$432</definedName>
    <definedName name="OLE_LINK1" localSheetId="0">'Excercise - Al '!$P$59</definedName>
    <definedName name="OLE_LINK1" localSheetId="1">'MSEL INFO ONLY'!$P$149</definedName>
    <definedName name="_xlnm.Print_Titles" localSheetId="0">'Excercise - Al '!$1:$1</definedName>
    <definedName name="_xlnm.Print_Titles" localSheetId="1">'MSEL INFO ONLY'!$1:$1</definedName>
    <definedName name="_xlnm.Print_Titles" localSheetId="3">PRINT_SMALL!$1:$1</definedName>
    <definedName name="Z_21D272AB_5ED3_41C2_B2AC_DB44252878EA_.wvu.FilterData" localSheetId="0" hidden="1">'Excercise - Al '!$A$1:$R$173</definedName>
    <definedName name="Z_21D272AB_5ED3_41C2_B2AC_DB44252878EA_.wvu.FilterData" localSheetId="1" hidden="1">'MSEL INFO ONLY'!$A$1:$Q$372</definedName>
    <definedName name="Z_21D272AB_5ED3_41C2_B2AC_DB44252878EA_.wvu.PrintTitles" localSheetId="0" hidden="1">'Excercise - Al '!$1:$1</definedName>
    <definedName name="Z_21D272AB_5ED3_41C2_B2AC_DB44252878EA_.wvu.PrintTitles" localSheetId="1" hidden="1">'MSEL INFO ONLY'!$1:$1</definedName>
    <definedName name="Z_3225D158_A05E_4956_976D_0A8BB346F3CD_.wvu.FilterData" localSheetId="0" hidden="1">'Excercise - Al '!$A$1:$R$182</definedName>
    <definedName name="Z_3225D158_A05E_4956_976D_0A8BB346F3CD_.wvu.FilterData" localSheetId="1" hidden="1">'MSEL INFO ONLY'!$A$1:$Q$381</definedName>
    <definedName name="Z_3225D158_A05E_4956_976D_0A8BB346F3CD_.wvu.PrintTitles" localSheetId="0" hidden="1">'Excercise - Al '!$1:$1</definedName>
    <definedName name="Z_3225D158_A05E_4956_976D_0A8BB346F3CD_.wvu.PrintTitles" localSheetId="1" hidden="1">'MSEL INFO ONLY'!$1:$1</definedName>
    <definedName name="Z_4A631883_EA0D_4D3C_BFB3_175A24E18AC7_.wvu.FilterData" localSheetId="0" hidden="1">'Excercise - Al '!$A$1:$R$182</definedName>
    <definedName name="Z_4A631883_EA0D_4D3C_BFB3_175A24E18AC7_.wvu.FilterData" localSheetId="1" hidden="1">'MSEL INFO ONLY'!$A$1:$Q$381</definedName>
    <definedName name="Z_5BBCA58B_D765_479F_9504_1E4279142E7F_.wvu.FilterData" localSheetId="0" hidden="1">'Excercise - Al '!$A$1:$R$182</definedName>
    <definedName name="Z_5BBCA58B_D765_479F_9504_1E4279142E7F_.wvu.FilterData" localSheetId="1" hidden="1">'MSEL INFO ONLY'!$A$1:$Q$381</definedName>
    <definedName name="Z_5BBCA58B_D765_479F_9504_1E4279142E7F_.wvu.PrintTitles" localSheetId="0" hidden="1">'Excercise - Al '!$1:$1</definedName>
    <definedName name="Z_5BBCA58B_D765_479F_9504_1E4279142E7F_.wvu.PrintTitles" localSheetId="1" hidden="1">'MSEL INFO ONLY'!$1:$1</definedName>
    <definedName name="Z_6003704D_4B9F_495A_8F83_62E20FA79C25_.wvu.FilterData" localSheetId="0" hidden="1">'Excercise - Al '!$A$1:$R$38</definedName>
    <definedName name="Z_6003704D_4B9F_495A_8F83_62E20FA79C25_.wvu.FilterData" localSheetId="1" hidden="1">'MSEL INFO ONLY'!$A$1:$Q$126</definedName>
    <definedName name="Z_6D5C82C1_3F67_4DCA_9285_CC6695655904_.wvu.FilterData" localSheetId="0" hidden="1">'Excercise - Al '!$A$1:$R$198</definedName>
    <definedName name="Z_6D5C82C1_3F67_4DCA_9285_CC6695655904_.wvu.FilterData" localSheetId="1" hidden="1">'MSEL INFO ONLY'!$A$1:$Q$432</definedName>
    <definedName name="Z_6D5C82C1_3F67_4DCA_9285_CC6695655904_.wvu.PrintTitles" localSheetId="0" hidden="1">'Excercise - Al '!$1:$1</definedName>
    <definedName name="Z_6D5C82C1_3F67_4DCA_9285_CC6695655904_.wvu.PrintTitles" localSheetId="1" hidden="1">'MSEL INFO ONLY'!$1:$1</definedName>
    <definedName name="Z_707C9EA7_E5DB_425C_A86E_CE4B9351AA86_.wvu.FilterData" localSheetId="0" hidden="1">'Excercise - Al '!$A$1:$R$182</definedName>
    <definedName name="Z_707C9EA7_E5DB_425C_A86E_CE4B9351AA86_.wvu.FilterData" localSheetId="1" hidden="1">'MSEL INFO ONLY'!$A$1:$Q$381</definedName>
    <definedName name="Z_795CE737_CFBD_47E1_A5F3_F6879A411FBA_.wvu.FilterData" localSheetId="0" hidden="1">'Excercise - Al '!$A$1:$R$198</definedName>
    <definedName name="Z_795CE737_CFBD_47E1_A5F3_F6879A411FBA_.wvu.FilterData" localSheetId="1" hidden="1">'MSEL INFO ONLY'!$A$1:$Q$432</definedName>
    <definedName name="Z_795CE737_CFBD_47E1_A5F3_F6879A411FBA_.wvu.PrintTitles" localSheetId="0" hidden="1">'Excercise - Al '!$1:$1</definedName>
    <definedName name="Z_795CE737_CFBD_47E1_A5F3_F6879A411FBA_.wvu.PrintTitles" localSheetId="1" hidden="1">'MSEL INFO ONLY'!$1:$1</definedName>
    <definedName name="Z_A498B268_D83C_4AF5_B7F3_83F16D3C0FA5_.wvu.FilterData" localSheetId="0" hidden="1">'Excercise - Al '!$A$1:$R$182</definedName>
    <definedName name="Z_A498B268_D83C_4AF5_B7F3_83F16D3C0FA5_.wvu.FilterData" localSheetId="1" hidden="1">'MSEL INFO ONLY'!$A$1:$Q$381</definedName>
    <definedName name="Z_C75FF036_91FF_4E44_9156_54230F8F355B_.wvu.FilterData" localSheetId="0" hidden="1">'Excercise - Al '!$A$1:$R$173</definedName>
    <definedName name="Z_C75FF036_91FF_4E44_9156_54230F8F355B_.wvu.FilterData" localSheetId="1" hidden="1">'MSEL INFO ONLY'!$A$1:$Q$372</definedName>
    <definedName name="Z_C75FF036_91FF_4E44_9156_54230F8F355B_.wvu.PrintTitles" localSheetId="0" hidden="1">'Excercise - Al '!$1:$1</definedName>
    <definedName name="Z_C75FF036_91FF_4E44_9156_54230F8F355B_.wvu.PrintTitles" localSheetId="1" hidden="1">'MSEL INFO ONLY'!$1:$1</definedName>
    <definedName name="Z_F5EBF6D5_E107_4B41_B3A9_DAA6D1B9A5D4_.wvu.FilterData" localSheetId="0" hidden="1">'Excercise - Al '!$A$1:$R$38</definedName>
    <definedName name="Z_F5EBF6D5_E107_4B41_B3A9_DAA6D1B9A5D4_.wvu.FilterData" localSheetId="1" hidden="1">'MSEL INFO ONLY'!$A$1:$Q$126</definedName>
  </definedNames>
  <calcPr calcId="125725" concurrentCalc="0"/>
  <customWorkbookViews>
    <customWorkbookView name="michael.jenne - Personal View" guid="{795CE737-CFBD-47E1-A5F3-F6879A411FBA}" mergeInterval="0" personalView="1" maximized="1" xWindow="1" yWindow="1" windowWidth="796" windowHeight="382" activeSheetId="5"/>
    <customWorkbookView name="Bob Keane - Personal View" guid="{6D5C82C1-3F67-4DCA-9285-CC6695655904}" mergeInterval="0" personalView="1" maximized="1" xWindow="1" yWindow="1" windowWidth="1680" windowHeight="799" activeSheetId="1" showComments="commIndAndComment"/>
    <customWorkbookView name="Robert Keane - Personal View" guid="{3225D158-A05E-4956-976D-0A8BB346F3CD}" mergeInterval="0" personalView="1" maximized="1" xWindow="1" yWindow="1" windowWidth="1020" windowHeight="517" activeSheetId="1" showComments="commIndAndComment"/>
    <customWorkbookView name="DOMS - Personal View" guid="{F5EBF6D5-E107-4B41-B3A9-DAA6D1B9A5D4}" mergeInterval="0" personalView="1" maximized="1" xWindow="1" yWindow="1" windowWidth="1276" windowHeight="804" activeSheetId="1"/>
    <customWorkbookView name="Bob Keane - Personal View (2)" guid="{5BBCA58B-D765-479F-9504-1E4279142E7F}" mergeInterval="0" personalView="1" maximized="1" xWindow="1" yWindow="1" windowWidth="1252" windowHeight="523" activeSheetId="1"/>
    <customWorkbookView name="matthew.lee.lambert - Personal View" guid="{C75FF036-91FF-4E44-9156-54230F8F355B}" mergeInterval="0" personalView="1" maximized="1" xWindow="1" yWindow="1" windowWidth="1020" windowHeight="508" activeSheetId="1"/>
    <customWorkbookView name="todd.w.wheeler - Personal View" guid="{21D272AB-5ED3-41C2-B2AC-DB44252878EA}" mergeInterval="0" personalView="1" maximized="1" xWindow="1" yWindow="1" windowWidth="1916" windowHeight="982" activeSheetId="1"/>
  </customWorkbookViews>
</workbook>
</file>

<file path=xl/calcChain.xml><?xml version="1.0" encoding="utf-8"?>
<calcChain xmlns="http://schemas.openxmlformats.org/spreadsheetml/2006/main">
  <c r="I240" i="5"/>
  <c r="H240"/>
  <c r="G240"/>
  <c r="F240"/>
  <c r="E240"/>
  <c r="D240"/>
  <c r="C240"/>
  <c r="A240"/>
  <c r="I239"/>
  <c r="H239"/>
  <c r="G239"/>
  <c r="F239"/>
  <c r="E239"/>
  <c r="D239"/>
  <c r="C239"/>
  <c r="A239"/>
  <c r="I238"/>
  <c r="H238"/>
  <c r="G238"/>
  <c r="F238"/>
  <c r="E238"/>
  <c r="D238"/>
  <c r="C238"/>
  <c r="A238"/>
  <c r="I237"/>
  <c r="H237"/>
  <c r="G237"/>
  <c r="F237"/>
  <c r="E237"/>
  <c r="D237"/>
  <c r="C237"/>
  <c r="A237"/>
  <c r="I236"/>
  <c r="H236"/>
  <c r="G236"/>
  <c r="F236"/>
  <c r="E236"/>
  <c r="D236"/>
  <c r="C236"/>
  <c r="A236"/>
  <c r="I235"/>
  <c r="H235"/>
  <c r="G235"/>
  <c r="F235"/>
  <c r="E235"/>
  <c r="D235"/>
  <c r="C235"/>
  <c r="A235"/>
  <c r="I234"/>
  <c r="H234"/>
  <c r="G234"/>
  <c r="F234"/>
  <c r="E234"/>
  <c r="D234"/>
  <c r="C234"/>
  <c r="A234"/>
  <c r="I233"/>
  <c r="H233"/>
  <c r="G233"/>
  <c r="F233"/>
  <c r="E233"/>
  <c r="D233"/>
  <c r="C233"/>
  <c r="A233"/>
  <c r="I232"/>
  <c r="H232"/>
  <c r="G232"/>
  <c r="F232"/>
  <c r="E232"/>
  <c r="D232"/>
  <c r="C232"/>
  <c r="A232"/>
  <c r="I231"/>
  <c r="H231"/>
  <c r="G231"/>
  <c r="F231"/>
  <c r="E231"/>
  <c r="D231"/>
  <c r="C231"/>
  <c r="A231"/>
  <c r="I230"/>
  <c r="H230"/>
  <c r="G230"/>
  <c r="F230"/>
  <c r="E230"/>
  <c r="D230"/>
  <c r="C230"/>
  <c r="A230"/>
  <c r="I229"/>
  <c r="H229"/>
  <c r="G229"/>
  <c r="F229"/>
  <c r="E229"/>
  <c r="D229"/>
  <c r="C229"/>
  <c r="A229"/>
  <c r="I228"/>
  <c r="H228"/>
  <c r="G228"/>
  <c r="F228"/>
  <c r="E228"/>
  <c r="D228"/>
  <c r="C228"/>
  <c r="A228"/>
  <c r="I227"/>
  <c r="H227"/>
  <c r="G227"/>
  <c r="F227"/>
  <c r="E227"/>
  <c r="D227"/>
  <c r="C227"/>
  <c r="A227"/>
  <c r="I226"/>
  <c r="H226"/>
  <c r="G226"/>
  <c r="F226"/>
  <c r="E226"/>
  <c r="D226"/>
  <c r="C226"/>
  <c r="A226"/>
  <c r="I225"/>
  <c r="H225"/>
  <c r="G225"/>
  <c r="F225"/>
  <c r="E225"/>
  <c r="D225"/>
  <c r="C225"/>
  <c r="A225"/>
  <c r="I224"/>
  <c r="H224"/>
  <c r="G224"/>
  <c r="F224"/>
  <c r="E224"/>
  <c r="D224"/>
  <c r="C224"/>
  <c r="A224"/>
  <c r="I223"/>
  <c r="H223"/>
  <c r="G223"/>
  <c r="F223"/>
  <c r="E223"/>
  <c r="D223"/>
  <c r="C223"/>
  <c r="A223"/>
  <c r="I222"/>
  <c r="H222"/>
  <c r="G222"/>
  <c r="F222"/>
  <c r="E222"/>
  <c r="D222"/>
  <c r="C222"/>
  <c r="A222"/>
  <c r="I221"/>
  <c r="H221"/>
  <c r="G221"/>
  <c r="F221"/>
  <c r="E221"/>
  <c r="D221"/>
  <c r="C221"/>
  <c r="A221"/>
  <c r="I220"/>
  <c r="H220"/>
  <c r="G220"/>
  <c r="F220"/>
  <c r="E220"/>
  <c r="D220"/>
  <c r="C220"/>
  <c r="A220"/>
  <c r="I219"/>
  <c r="H219"/>
  <c r="G219"/>
  <c r="F219"/>
  <c r="E219"/>
  <c r="D219"/>
  <c r="C219"/>
  <c r="A219"/>
  <c r="I218"/>
  <c r="H218"/>
  <c r="G218"/>
  <c r="F218"/>
  <c r="E218"/>
  <c r="D218"/>
  <c r="C218"/>
  <c r="A218"/>
  <c r="I217"/>
  <c r="H217"/>
  <c r="G217"/>
  <c r="F217"/>
  <c r="E217"/>
  <c r="D217"/>
  <c r="C217"/>
  <c r="A217"/>
  <c r="I216"/>
  <c r="H216"/>
  <c r="G216"/>
  <c r="F216"/>
  <c r="E216"/>
  <c r="D216"/>
  <c r="C216"/>
  <c r="A216"/>
  <c r="I215"/>
  <c r="H215"/>
  <c r="G215"/>
  <c r="F215"/>
  <c r="E215"/>
  <c r="D215"/>
  <c r="C215"/>
  <c r="A215"/>
  <c r="I214"/>
  <c r="H214"/>
  <c r="G214"/>
  <c r="F214"/>
  <c r="E214"/>
  <c r="D214"/>
  <c r="C214"/>
  <c r="A214"/>
  <c r="I213"/>
  <c r="H213"/>
  <c r="G213"/>
  <c r="F213"/>
  <c r="E213"/>
  <c r="D213"/>
  <c r="C213"/>
  <c r="A213"/>
  <c r="I212"/>
  <c r="H212"/>
  <c r="G212"/>
  <c r="F212"/>
  <c r="E212"/>
  <c r="D212"/>
  <c r="C212"/>
  <c r="A212"/>
  <c r="I211"/>
  <c r="H211"/>
  <c r="G211"/>
  <c r="F211"/>
  <c r="E211"/>
  <c r="D211"/>
  <c r="C211"/>
  <c r="A211"/>
  <c r="I210"/>
  <c r="H210"/>
  <c r="G210"/>
  <c r="F210"/>
  <c r="E210"/>
  <c r="D210"/>
  <c r="C210"/>
  <c r="A210"/>
  <c r="I209"/>
  <c r="H209"/>
  <c r="G209"/>
  <c r="F209"/>
  <c r="E209"/>
  <c r="D209"/>
  <c r="C209"/>
  <c r="A209"/>
  <c r="I208"/>
  <c r="H208"/>
  <c r="G208"/>
  <c r="F208"/>
  <c r="E208"/>
  <c r="D208"/>
  <c r="C208"/>
  <c r="A208"/>
  <c r="I207"/>
  <c r="H207"/>
  <c r="G207"/>
  <c r="F207"/>
  <c r="E207"/>
  <c r="D207"/>
  <c r="C207"/>
  <c r="A207"/>
  <c r="I206"/>
  <c r="H206"/>
  <c r="G206"/>
  <c r="F206"/>
  <c r="E206"/>
  <c r="D206"/>
  <c r="C206"/>
  <c r="A206"/>
  <c r="I205"/>
  <c r="H205"/>
  <c r="G205"/>
  <c r="F205"/>
  <c r="E205"/>
  <c r="D205"/>
  <c r="C205"/>
  <c r="A205"/>
  <c r="I204"/>
  <c r="H204"/>
  <c r="G204"/>
  <c r="F204"/>
  <c r="E204"/>
  <c r="D204"/>
  <c r="C204"/>
  <c r="A204"/>
  <c r="I203"/>
  <c r="H203"/>
  <c r="G203"/>
  <c r="F203"/>
  <c r="E203"/>
  <c r="D203"/>
  <c r="C203"/>
  <c r="A203"/>
  <c r="I202"/>
  <c r="H202"/>
  <c r="G202"/>
  <c r="F202"/>
  <c r="E202"/>
  <c r="D202"/>
  <c r="C202"/>
  <c r="A202"/>
  <c r="I201"/>
  <c r="H201"/>
  <c r="G201"/>
  <c r="F201"/>
  <c r="E201"/>
  <c r="D201"/>
  <c r="C201"/>
  <c r="A201"/>
  <c r="I200"/>
  <c r="H200"/>
  <c r="G200"/>
  <c r="F200"/>
  <c r="E200"/>
  <c r="D200"/>
  <c r="C200"/>
  <c r="A200"/>
  <c r="I199"/>
  <c r="H199"/>
  <c r="G199"/>
  <c r="F199"/>
  <c r="E199"/>
  <c r="D199"/>
  <c r="C199"/>
  <c r="A199"/>
  <c r="I198"/>
  <c r="H198"/>
  <c r="G198"/>
  <c r="F198"/>
  <c r="E198"/>
  <c r="D198"/>
  <c r="C198"/>
  <c r="A198"/>
  <c r="I197"/>
  <c r="H197"/>
  <c r="G197"/>
  <c r="F197"/>
  <c r="E197"/>
  <c r="D197"/>
  <c r="C197"/>
  <c r="A197"/>
  <c r="I196"/>
  <c r="H196"/>
  <c r="G196"/>
  <c r="F196"/>
  <c r="E196"/>
  <c r="D196"/>
  <c r="C196"/>
  <c r="A196"/>
  <c r="I195"/>
  <c r="H195"/>
  <c r="G195"/>
  <c r="F195"/>
  <c r="E195"/>
  <c r="D195"/>
  <c r="C195"/>
  <c r="A195"/>
  <c r="I194"/>
  <c r="H194"/>
  <c r="G194"/>
  <c r="F194"/>
  <c r="E194"/>
  <c r="D194"/>
  <c r="C194"/>
  <c r="A194"/>
  <c r="I193"/>
  <c r="H193"/>
  <c r="G193"/>
  <c r="F193"/>
  <c r="E193"/>
  <c r="D193"/>
  <c r="C193"/>
  <c r="A193"/>
  <c r="I192"/>
  <c r="H192"/>
  <c r="G192"/>
  <c r="F192"/>
  <c r="E192"/>
  <c r="D192"/>
  <c r="C192"/>
  <c r="A192"/>
  <c r="I191"/>
  <c r="H191"/>
  <c r="G191"/>
  <c r="F191"/>
  <c r="E191"/>
  <c r="D191"/>
  <c r="C191"/>
  <c r="A191"/>
  <c r="I190"/>
  <c r="H190"/>
  <c r="G190"/>
  <c r="F190"/>
  <c r="E190"/>
  <c r="D190"/>
  <c r="C190"/>
  <c r="A190"/>
  <c r="I189"/>
  <c r="H189"/>
  <c r="G189"/>
  <c r="F189"/>
  <c r="E189"/>
  <c r="D189"/>
  <c r="C189"/>
  <c r="A189"/>
  <c r="I188"/>
  <c r="H188"/>
  <c r="G188"/>
  <c r="F188"/>
  <c r="E188"/>
  <c r="D188"/>
  <c r="C188"/>
  <c r="A188"/>
  <c r="I187"/>
  <c r="H187"/>
  <c r="G187"/>
  <c r="F187"/>
  <c r="E187"/>
  <c r="D187"/>
  <c r="C187"/>
  <c r="A187"/>
  <c r="I186"/>
  <c r="H186"/>
  <c r="G186"/>
  <c r="F186"/>
  <c r="E186"/>
  <c r="D186"/>
  <c r="C186"/>
  <c r="A186"/>
  <c r="I185"/>
  <c r="H185"/>
  <c r="G185"/>
  <c r="F185"/>
  <c r="E185"/>
  <c r="D185"/>
  <c r="C185"/>
  <c r="A185"/>
  <c r="I184"/>
  <c r="H184"/>
  <c r="G184"/>
  <c r="F184"/>
  <c r="E184"/>
  <c r="D184"/>
  <c r="C184"/>
  <c r="A184"/>
  <c r="I183"/>
  <c r="H183"/>
  <c r="G183"/>
  <c r="F183"/>
  <c r="E183"/>
  <c r="D183"/>
  <c r="C183"/>
  <c r="A183"/>
  <c r="I182"/>
  <c r="H182"/>
  <c r="G182"/>
  <c r="F182"/>
  <c r="E182"/>
  <c r="D182"/>
  <c r="C182"/>
  <c r="A182"/>
  <c r="I181"/>
  <c r="H181"/>
  <c r="G181"/>
  <c r="F181"/>
  <c r="E181"/>
  <c r="D181"/>
  <c r="C181"/>
  <c r="A181"/>
  <c r="I180"/>
  <c r="H180"/>
  <c r="G180"/>
  <c r="F180"/>
  <c r="E180"/>
  <c r="D180"/>
  <c r="C180"/>
  <c r="A180"/>
  <c r="I179"/>
  <c r="H179"/>
  <c r="G179"/>
  <c r="F179"/>
  <c r="E179"/>
  <c r="D179"/>
  <c r="C179"/>
  <c r="A179"/>
  <c r="I178"/>
  <c r="H178"/>
  <c r="G178"/>
  <c r="F178"/>
  <c r="E178"/>
  <c r="D178"/>
  <c r="C178"/>
  <c r="A178"/>
  <c r="I177"/>
  <c r="H177"/>
  <c r="G177"/>
  <c r="F177"/>
  <c r="E177"/>
  <c r="D177"/>
  <c r="C177"/>
  <c r="A177"/>
  <c r="I176"/>
  <c r="H176"/>
  <c r="G176"/>
  <c r="F176"/>
  <c r="E176"/>
  <c r="D176"/>
  <c r="C176"/>
  <c r="A176"/>
  <c r="I175"/>
  <c r="H175"/>
  <c r="G175"/>
  <c r="F175"/>
  <c r="E175"/>
  <c r="D175"/>
  <c r="C175"/>
  <c r="A175"/>
  <c r="I174"/>
  <c r="H174"/>
  <c r="G174"/>
  <c r="F174"/>
  <c r="E174"/>
  <c r="D174"/>
  <c r="C174"/>
  <c r="A174"/>
  <c r="I173"/>
  <c r="H173"/>
  <c r="G173"/>
  <c r="F173"/>
  <c r="E173"/>
  <c r="D173"/>
  <c r="C173"/>
  <c r="A173"/>
  <c r="I172"/>
  <c r="H172"/>
  <c r="G172"/>
  <c r="F172"/>
  <c r="E172"/>
  <c r="D172"/>
  <c r="C172"/>
  <c r="A172"/>
  <c r="I171"/>
  <c r="H171"/>
  <c r="G171"/>
  <c r="F171"/>
  <c r="E171"/>
  <c r="D171"/>
  <c r="C171"/>
  <c r="A171"/>
  <c r="I170"/>
  <c r="H170"/>
  <c r="G170"/>
  <c r="F170"/>
  <c r="E170"/>
  <c r="D170"/>
  <c r="C170"/>
  <c r="A170"/>
  <c r="I169"/>
  <c r="H169"/>
  <c r="G169"/>
  <c r="F169"/>
  <c r="E169"/>
  <c r="D169"/>
  <c r="C169"/>
  <c r="A169"/>
  <c r="I168"/>
  <c r="H168"/>
  <c r="G168"/>
  <c r="F168"/>
  <c r="E168"/>
  <c r="D168"/>
  <c r="C168"/>
  <c r="A168"/>
  <c r="I167"/>
  <c r="H167"/>
  <c r="G167"/>
  <c r="F167"/>
  <c r="E167"/>
  <c r="D167"/>
  <c r="C167"/>
  <c r="A167"/>
  <c r="I166"/>
  <c r="H166"/>
  <c r="G166"/>
  <c r="F166"/>
  <c r="E166"/>
  <c r="D166"/>
  <c r="C166"/>
  <c r="A166"/>
  <c r="I165"/>
  <c r="H165"/>
  <c r="G165"/>
  <c r="F165"/>
  <c r="E165"/>
  <c r="D165"/>
  <c r="C165"/>
  <c r="A165"/>
  <c r="I164"/>
  <c r="H164"/>
  <c r="G164"/>
  <c r="F164"/>
  <c r="E164"/>
  <c r="D164"/>
  <c r="C164"/>
  <c r="A164"/>
  <c r="I163"/>
  <c r="H163"/>
  <c r="G163"/>
  <c r="F163"/>
  <c r="E163"/>
  <c r="D163"/>
  <c r="C163"/>
  <c r="A163"/>
  <c r="I162"/>
  <c r="H162"/>
  <c r="G162"/>
  <c r="F162"/>
  <c r="E162"/>
  <c r="D162"/>
  <c r="C162"/>
  <c r="A162"/>
  <c r="I161"/>
  <c r="H161"/>
  <c r="G161"/>
  <c r="F161"/>
  <c r="E161"/>
  <c r="D161"/>
  <c r="C161"/>
  <c r="A161"/>
  <c r="I160"/>
  <c r="H160"/>
  <c r="G160"/>
  <c r="F160"/>
  <c r="E160"/>
  <c r="D160"/>
  <c r="C160"/>
  <c r="A160"/>
  <c r="I159"/>
  <c r="H159"/>
  <c r="G159"/>
  <c r="F159"/>
  <c r="E159"/>
  <c r="D159"/>
  <c r="C159"/>
  <c r="A159"/>
  <c r="I158"/>
  <c r="H158"/>
  <c r="G158"/>
  <c r="F158"/>
  <c r="E158"/>
  <c r="D158"/>
  <c r="C158"/>
  <c r="A158"/>
  <c r="I157"/>
  <c r="H157"/>
  <c r="G157"/>
  <c r="F157"/>
  <c r="E157"/>
  <c r="D157"/>
  <c r="C157"/>
  <c r="A157"/>
  <c r="I156"/>
  <c r="H156"/>
  <c r="G156"/>
  <c r="F156"/>
  <c r="E156"/>
  <c r="D156"/>
  <c r="C156"/>
  <c r="A156"/>
  <c r="I155"/>
  <c r="H155"/>
  <c r="G155"/>
  <c r="F155"/>
  <c r="E155"/>
  <c r="D155"/>
  <c r="C155"/>
  <c r="A155"/>
  <c r="I154"/>
  <c r="H154"/>
  <c r="G154"/>
  <c r="F154"/>
  <c r="E154"/>
  <c r="D154"/>
  <c r="C154"/>
  <c r="A154"/>
  <c r="I153"/>
  <c r="H153"/>
  <c r="G153"/>
  <c r="F153"/>
  <c r="E153"/>
  <c r="D153"/>
  <c r="C153"/>
  <c r="A153"/>
  <c r="I152"/>
  <c r="H152"/>
  <c r="G152"/>
  <c r="F152"/>
  <c r="E152"/>
  <c r="D152"/>
  <c r="C152"/>
  <c r="A152"/>
  <c r="I151"/>
  <c r="H151"/>
  <c r="G151"/>
  <c r="F151"/>
  <c r="E151"/>
  <c r="D151"/>
  <c r="C151"/>
  <c r="A151"/>
  <c r="I150"/>
  <c r="H150"/>
  <c r="G150"/>
  <c r="F150"/>
  <c r="E150"/>
  <c r="D150"/>
  <c r="C150"/>
  <c r="A150"/>
  <c r="I149"/>
  <c r="H149"/>
  <c r="G149"/>
  <c r="F149"/>
  <c r="E149"/>
  <c r="D149"/>
  <c r="C149"/>
  <c r="A149"/>
  <c r="I148"/>
  <c r="H148"/>
  <c r="G148"/>
  <c r="F148"/>
  <c r="E148"/>
  <c r="D148"/>
  <c r="C148"/>
  <c r="A148"/>
  <c r="I147"/>
  <c r="H147"/>
  <c r="G147"/>
  <c r="F147"/>
  <c r="E147"/>
  <c r="D147"/>
  <c r="C147"/>
  <c r="A147"/>
  <c r="I146"/>
  <c r="H146"/>
  <c r="G146"/>
  <c r="F146"/>
  <c r="E146"/>
  <c r="D146"/>
  <c r="C146"/>
  <c r="A146"/>
  <c r="I145"/>
  <c r="H145"/>
  <c r="G145"/>
  <c r="F145"/>
  <c r="E145"/>
  <c r="D145"/>
  <c r="C145"/>
  <c r="A145"/>
  <c r="I144"/>
  <c r="H144"/>
  <c r="G144"/>
  <c r="F144"/>
  <c r="E144"/>
  <c r="D144"/>
  <c r="C144"/>
  <c r="A144"/>
  <c r="I143"/>
  <c r="H143"/>
  <c r="G143"/>
  <c r="F143"/>
  <c r="E143"/>
  <c r="D143"/>
  <c r="C143"/>
  <c r="A143"/>
  <c r="I142"/>
  <c r="H142"/>
  <c r="G142"/>
  <c r="F142"/>
  <c r="E142"/>
  <c r="D142"/>
  <c r="C142"/>
  <c r="A142"/>
  <c r="I141"/>
  <c r="H141"/>
  <c r="G141"/>
  <c r="F141"/>
  <c r="E141"/>
  <c r="D141"/>
  <c r="C141"/>
  <c r="A141"/>
  <c r="I140"/>
  <c r="H140"/>
  <c r="G140"/>
  <c r="F140"/>
  <c r="E140"/>
  <c r="D140"/>
  <c r="C140"/>
  <c r="A140"/>
  <c r="I139"/>
  <c r="H139"/>
  <c r="G139"/>
  <c r="F139"/>
  <c r="E139"/>
  <c r="D139"/>
  <c r="C139"/>
  <c r="A139"/>
  <c r="I138"/>
  <c r="H138"/>
  <c r="G138"/>
  <c r="F138"/>
  <c r="E138"/>
  <c r="D138"/>
  <c r="C138"/>
  <c r="A138"/>
  <c r="I137"/>
  <c r="H137"/>
  <c r="G137"/>
  <c r="F137"/>
  <c r="E137"/>
  <c r="D137"/>
  <c r="C137"/>
  <c r="A137"/>
  <c r="I136"/>
  <c r="H136"/>
  <c r="G136"/>
  <c r="F136"/>
  <c r="E136"/>
  <c r="D136"/>
  <c r="C136"/>
  <c r="A136"/>
  <c r="I135"/>
  <c r="H135"/>
  <c r="G135"/>
  <c r="F135"/>
  <c r="E135"/>
  <c r="D135"/>
  <c r="C135"/>
  <c r="A135"/>
  <c r="I134"/>
  <c r="H134"/>
  <c r="G134"/>
  <c r="F134"/>
  <c r="E134"/>
  <c r="D134"/>
  <c r="C134"/>
  <c r="A134"/>
  <c r="I133"/>
  <c r="H133"/>
  <c r="G133"/>
  <c r="F133"/>
  <c r="E133"/>
  <c r="D133"/>
  <c r="C133"/>
  <c r="A133"/>
  <c r="I132"/>
  <c r="H132"/>
  <c r="G132"/>
  <c r="F132"/>
  <c r="E132"/>
  <c r="D132"/>
  <c r="C132"/>
  <c r="A132"/>
  <c r="I131"/>
  <c r="H131"/>
  <c r="G131"/>
  <c r="F131"/>
  <c r="E131"/>
  <c r="D131"/>
  <c r="C131"/>
  <c r="A131"/>
  <c r="I130"/>
  <c r="H130"/>
  <c r="G130"/>
  <c r="F130"/>
  <c r="E130"/>
  <c r="D130"/>
  <c r="C130"/>
  <c r="A130"/>
  <c r="I129"/>
  <c r="H129"/>
  <c r="G129"/>
  <c r="F129"/>
  <c r="E129"/>
  <c r="D129"/>
  <c r="C129"/>
  <c r="A129"/>
  <c r="I128"/>
  <c r="H128"/>
  <c r="G128"/>
  <c r="F128"/>
  <c r="E128"/>
  <c r="D128"/>
  <c r="C128"/>
  <c r="A128"/>
  <c r="I127"/>
  <c r="H127"/>
  <c r="G127"/>
  <c r="F127"/>
  <c r="E127"/>
  <c r="D127"/>
  <c r="C127"/>
  <c r="A127"/>
  <c r="I126"/>
  <c r="H126"/>
  <c r="G126"/>
  <c r="F126"/>
  <c r="E126"/>
  <c r="D126"/>
  <c r="C126"/>
  <c r="A126"/>
  <c r="I125"/>
  <c r="H125"/>
  <c r="G125"/>
  <c r="F125"/>
  <c r="E125"/>
  <c r="D125"/>
  <c r="C125"/>
  <c r="A125"/>
  <c r="I124"/>
  <c r="H124"/>
  <c r="G124"/>
  <c r="F124"/>
  <c r="E124"/>
  <c r="D124"/>
  <c r="C124"/>
  <c r="A124"/>
  <c r="I123"/>
  <c r="H123"/>
  <c r="G123"/>
  <c r="F123"/>
  <c r="E123"/>
  <c r="D123"/>
  <c r="C123"/>
  <c r="A123"/>
  <c r="I122"/>
  <c r="H122"/>
  <c r="G122"/>
  <c r="F122"/>
  <c r="E122"/>
  <c r="D122"/>
  <c r="C122"/>
  <c r="A122"/>
  <c r="I121"/>
  <c r="H121"/>
  <c r="G121"/>
  <c r="F121"/>
  <c r="E121"/>
  <c r="D121"/>
  <c r="C121"/>
  <c r="A121"/>
  <c r="I120"/>
  <c r="H120"/>
  <c r="G120"/>
  <c r="F120"/>
  <c r="E120"/>
  <c r="D120"/>
  <c r="C120"/>
  <c r="A120"/>
  <c r="I119"/>
  <c r="H119"/>
  <c r="G119"/>
  <c r="F119"/>
  <c r="E119"/>
  <c r="D119"/>
  <c r="C119"/>
  <c r="A119"/>
  <c r="I118"/>
  <c r="H118"/>
  <c r="G118"/>
  <c r="F118"/>
  <c r="E118"/>
  <c r="D118"/>
  <c r="C118"/>
  <c r="A118"/>
  <c r="I117"/>
  <c r="H117"/>
  <c r="G117"/>
  <c r="F117"/>
  <c r="E117"/>
  <c r="D117"/>
  <c r="C117"/>
  <c r="A117"/>
  <c r="I116"/>
  <c r="H116"/>
  <c r="G116"/>
  <c r="F116"/>
  <c r="E116"/>
  <c r="D116"/>
  <c r="C116"/>
  <c r="A116"/>
  <c r="I115"/>
  <c r="H115"/>
  <c r="G115"/>
  <c r="F115"/>
  <c r="E115"/>
  <c r="D115"/>
  <c r="C115"/>
  <c r="A115"/>
  <c r="I114"/>
  <c r="H114"/>
  <c r="G114"/>
  <c r="F114"/>
  <c r="E114"/>
  <c r="D114"/>
  <c r="C114"/>
  <c r="A114"/>
  <c r="I113"/>
  <c r="H113"/>
  <c r="G113"/>
  <c r="F113"/>
  <c r="E113"/>
  <c r="D113"/>
  <c r="C113"/>
  <c r="A113"/>
  <c r="I112"/>
  <c r="H112"/>
  <c r="G112"/>
  <c r="F112"/>
  <c r="E112"/>
  <c r="D112"/>
  <c r="C112"/>
  <c r="A112"/>
  <c r="I111"/>
  <c r="H111"/>
  <c r="G111"/>
  <c r="F111"/>
  <c r="E111"/>
  <c r="D111"/>
  <c r="C111"/>
  <c r="A111"/>
  <c r="I110"/>
  <c r="H110"/>
  <c r="G110"/>
  <c r="F110"/>
  <c r="E110"/>
  <c r="D110"/>
  <c r="C110"/>
  <c r="A110"/>
  <c r="I109"/>
  <c r="H109"/>
  <c r="G109"/>
  <c r="F109"/>
  <c r="E109"/>
  <c r="D109"/>
  <c r="C109"/>
  <c r="A109"/>
  <c r="I108"/>
  <c r="H108"/>
  <c r="G108"/>
  <c r="F108"/>
  <c r="E108"/>
  <c r="D108"/>
  <c r="C108"/>
  <c r="A108"/>
  <c r="I107"/>
  <c r="H107"/>
  <c r="G107"/>
  <c r="F107"/>
  <c r="E107"/>
  <c r="D107"/>
  <c r="C107"/>
  <c r="A107"/>
  <c r="I106"/>
  <c r="H106"/>
  <c r="G106"/>
  <c r="F106"/>
  <c r="E106"/>
  <c r="D106"/>
  <c r="C106"/>
  <c r="A106"/>
  <c r="I105"/>
  <c r="H105"/>
  <c r="G105"/>
  <c r="F105"/>
  <c r="E105"/>
  <c r="D105"/>
  <c r="C105"/>
  <c r="A105"/>
  <c r="I104"/>
  <c r="H104"/>
  <c r="G104"/>
  <c r="F104"/>
  <c r="E104"/>
  <c r="D104"/>
  <c r="C104"/>
  <c r="A104"/>
  <c r="I103"/>
  <c r="H103"/>
  <c r="G103"/>
  <c r="F103"/>
  <c r="E103"/>
  <c r="D103"/>
  <c r="C103"/>
  <c r="A103"/>
  <c r="I102"/>
  <c r="H102"/>
  <c r="G102"/>
  <c r="F102"/>
  <c r="E102"/>
  <c r="D102"/>
  <c r="C102"/>
  <c r="A102"/>
  <c r="I101"/>
  <c r="H101"/>
  <c r="G101"/>
  <c r="F101"/>
  <c r="E101"/>
  <c r="D101"/>
  <c r="C101"/>
  <c r="A101"/>
  <c r="I100"/>
  <c r="H100"/>
  <c r="G100"/>
  <c r="F100"/>
  <c r="E100"/>
  <c r="D100"/>
  <c r="C100"/>
  <c r="A100"/>
  <c r="I99"/>
  <c r="H99"/>
  <c r="G99"/>
  <c r="F99"/>
  <c r="E99"/>
  <c r="D99"/>
  <c r="C99"/>
  <c r="A99"/>
  <c r="I98"/>
  <c r="H98"/>
  <c r="G98"/>
  <c r="F98"/>
  <c r="E98"/>
  <c r="D98"/>
  <c r="C98"/>
  <c r="A98"/>
  <c r="I97"/>
  <c r="H97"/>
  <c r="G97"/>
  <c r="F97"/>
  <c r="E97"/>
  <c r="D97"/>
  <c r="C97"/>
  <c r="A97"/>
  <c r="I96"/>
  <c r="H96"/>
  <c r="G96"/>
  <c r="F96"/>
  <c r="E96"/>
  <c r="D96"/>
  <c r="C96"/>
  <c r="A96"/>
  <c r="I95"/>
  <c r="H95"/>
  <c r="G95"/>
  <c r="F95"/>
  <c r="E95"/>
  <c r="D95"/>
  <c r="C95"/>
  <c r="A95"/>
  <c r="I94"/>
  <c r="H94"/>
  <c r="G94"/>
  <c r="F94"/>
  <c r="E94"/>
  <c r="D94"/>
  <c r="C94"/>
  <c r="A94"/>
  <c r="I93"/>
  <c r="H93"/>
  <c r="G93"/>
  <c r="F93"/>
  <c r="E93"/>
  <c r="D93"/>
  <c r="C93"/>
  <c r="A93"/>
  <c r="I92"/>
  <c r="H92"/>
  <c r="G92"/>
  <c r="F92"/>
  <c r="E92"/>
  <c r="D92"/>
  <c r="C92"/>
  <c r="A92"/>
  <c r="I91"/>
  <c r="H91"/>
  <c r="G91"/>
  <c r="F91"/>
  <c r="E91"/>
  <c r="D91"/>
  <c r="C91"/>
  <c r="A91"/>
  <c r="I90"/>
  <c r="H90"/>
  <c r="G90"/>
  <c r="F90"/>
  <c r="E90"/>
  <c r="D90"/>
  <c r="C90"/>
  <c r="A90"/>
  <c r="I89"/>
  <c r="H89"/>
  <c r="G89"/>
  <c r="F89"/>
  <c r="E89"/>
  <c r="D89"/>
  <c r="C89"/>
  <c r="A89"/>
  <c r="I88"/>
  <c r="H88"/>
  <c r="G88"/>
  <c r="F88"/>
  <c r="E88"/>
  <c r="D88"/>
  <c r="C88"/>
  <c r="A88"/>
  <c r="I87"/>
  <c r="H87"/>
  <c r="G87"/>
  <c r="F87"/>
  <c r="E87"/>
  <c r="D87"/>
  <c r="C87"/>
  <c r="A87"/>
  <c r="I86"/>
  <c r="H86"/>
  <c r="G86"/>
  <c r="F86"/>
  <c r="E86"/>
  <c r="D86"/>
  <c r="C86"/>
  <c r="A86"/>
  <c r="I85"/>
  <c r="H85"/>
  <c r="G85"/>
  <c r="F85"/>
  <c r="E85"/>
  <c r="D85"/>
  <c r="C85"/>
  <c r="A85"/>
  <c r="I84"/>
  <c r="H84"/>
  <c r="G84"/>
  <c r="F84"/>
  <c r="E84"/>
  <c r="D84"/>
  <c r="C84"/>
  <c r="A84"/>
  <c r="I83"/>
  <c r="H83"/>
  <c r="G83"/>
  <c r="F83"/>
  <c r="E83"/>
  <c r="D83"/>
  <c r="C83"/>
  <c r="A83"/>
  <c r="I82"/>
  <c r="H82"/>
  <c r="G82"/>
  <c r="F82"/>
  <c r="E82"/>
  <c r="D82"/>
  <c r="C82"/>
  <c r="A82"/>
  <c r="I81"/>
  <c r="H81"/>
  <c r="G81"/>
  <c r="F81"/>
  <c r="E81"/>
  <c r="D81"/>
  <c r="C81"/>
  <c r="A81"/>
  <c r="I80"/>
  <c r="H80"/>
  <c r="G80"/>
  <c r="F80"/>
  <c r="E80"/>
  <c r="D80"/>
  <c r="C80"/>
  <c r="A80"/>
  <c r="I79"/>
  <c r="H79"/>
  <c r="G79"/>
  <c r="F79"/>
  <c r="E79"/>
  <c r="D79"/>
  <c r="C79"/>
  <c r="A79"/>
  <c r="I78"/>
  <c r="H78"/>
  <c r="G78"/>
  <c r="F78"/>
  <c r="E78"/>
  <c r="D78"/>
  <c r="C78"/>
  <c r="A78"/>
  <c r="I77"/>
  <c r="H77"/>
  <c r="G77"/>
  <c r="F77"/>
  <c r="E77"/>
  <c r="D77"/>
  <c r="C77"/>
  <c r="A77"/>
  <c r="I76"/>
  <c r="H76"/>
  <c r="G76"/>
  <c r="F76"/>
  <c r="E76"/>
  <c r="D76"/>
  <c r="C76"/>
  <c r="A76"/>
  <c r="I75"/>
  <c r="H75"/>
  <c r="G75"/>
  <c r="F75"/>
  <c r="E75"/>
  <c r="D75"/>
  <c r="C75"/>
  <c r="A75"/>
  <c r="I74"/>
  <c r="H74"/>
  <c r="G74"/>
  <c r="F74"/>
  <c r="E74"/>
  <c r="D74"/>
  <c r="C74"/>
  <c r="A74"/>
  <c r="I73"/>
  <c r="H73"/>
  <c r="G73"/>
  <c r="F73"/>
  <c r="E73"/>
  <c r="D73"/>
  <c r="C73"/>
  <c r="A73"/>
  <c r="I72"/>
  <c r="H72"/>
  <c r="G72"/>
  <c r="F72"/>
  <c r="E72"/>
  <c r="D72"/>
  <c r="C72"/>
  <c r="A72"/>
  <c r="I71"/>
  <c r="H71"/>
  <c r="G71"/>
  <c r="F71"/>
  <c r="E71"/>
  <c r="D71"/>
  <c r="C71"/>
  <c r="A71"/>
  <c r="I70"/>
  <c r="H70"/>
  <c r="G70"/>
  <c r="F70"/>
  <c r="E70"/>
  <c r="D70"/>
  <c r="C70"/>
  <c r="A70"/>
  <c r="I69"/>
  <c r="H69"/>
  <c r="G69"/>
  <c r="F69"/>
  <c r="E69"/>
  <c r="D69"/>
  <c r="C69"/>
  <c r="A69"/>
  <c r="I68"/>
  <c r="H68"/>
  <c r="G68"/>
  <c r="F68"/>
  <c r="E68"/>
  <c r="D68"/>
  <c r="C68"/>
  <c r="A68"/>
  <c r="I67"/>
  <c r="H67"/>
  <c r="G67"/>
  <c r="F67"/>
  <c r="E67"/>
  <c r="D67"/>
  <c r="C67"/>
  <c r="A67"/>
  <c r="I66"/>
  <c r="H66"/>
  <c r="G66"/>
  <c r="F66"/>
  <c r="E66"/>
  <c r="D66"/>
  <c r="C66"/>
  <c r="A66"/>
  <c r="I65"/>
  <c r="H65"/>
  <c r="G65"/>
  <c r="F65"/>
  <c r="E65"/>
  <c r="D65"/>
  <c r="C65"/>
  <c r="A65"/>
  <c r="I64"/>
  <c r="H64"/>
  <c r="G64"/>
  <c r="F64"/>
  <c r="E64"/>
  <c r="D64"/>
  <c r="C64"/>
  <c r="A64"/>
  <c r="I63"/>
  <c r="H63"/>
  <c r="G63"/>
  <c r="F63"/>
  <c r="E63"/>
  <c r="D63"/>
  <c r="C63"/>
  <c r="A63"/>
  <c r="I62"/>
  <c r="H62"/>
  <c r="G62"/>
  <c r="F62"/>
  <c r="E62"/>
  <c r="D62"/>
  <c r="C62"/>
  <c r="A62"/>
  <c r="I61"/>
  <c r="H61"/>
  <c r="G61"/>
  <c r="F61"/>
  <c r="E61"/>
  <c r="D61"/>
  <c r="C61"/>
  <c r="A61"/>
  <c r="I60"/>
  <c r="H60"/>
  <c r="G60"/>
  <c r="F60"/>
  <c r="E60"/>
  <c r="D60"/>
  <c r="C60"/>
  <c r="A60"/>
  <c r="I59"/>
  <c r="H59"/>
  <c r="G59"/>
  <c r="F59"/>
  <c r="E59"/>
  <c r="D59"/>
  <c r="C59"/>
  <c r="A59"/>
  <c r="I58"/>
  <c r="H58"/>
  <c r="G58"/>
  <c r="F58"/>
  <c r="E58"/>
  <c r="D58"/>
  <c r="C58"/>
  <c r="A58"/>
  <c r="I57"/>
  <c r="H57"/>
  <c r="G57"/>
  <c r="F57"/>
  <c r="E57"/>
  <c r="D57"/>
  <c r="C57"/>
  <c r="A57"/>
  <c r="I56"/>
  <c r="H56"/>
  <c r="G56"/>
  <c r="F56"/>
  <c r="E56"/>
  <c r="D56"/>
  <c r="C56"/>
  <c r="A56"/>
  <c r="I55"/>
  <c r="H55"/>
  <c r="G55"/>
  <c r="F55"/>
  <c r="E55"/>
  <c r="D55"/>
  <c r="C55"/>
  <c r="A55"/>
  <c r="I54"/>
  <c r="H54"/>
  <c r="G54"/>
  <c r="F54"/>
  <c r="E54"/>
  <c r="D54"/>
  <c r="C54"/>
  <c r="A54"/>
  <c r="I53"/>
  <c r="H53"/>
  <c r="G53"/>
  <c r="F53"/>
  <c r="E53"/>
  <c r="D53"/>
  <c r="C53"/>
  <c r="A53"/>
  <c r="I52"/>
  <c r="H52"/>
  <c r="G52"/>
  <c r="F52"/>
  <c r="E52"/>
  <c r="D52"/>
  <c r="C52"/>
  <c r="A52"/>
  <c r="I51"/>
  <c r="H51"/>
  <c r="G51"/>
  <c r="F51"/>
  <c r="E51"/>
  <c r="D51"/>
  <c r="C51"/>
  <c r="A51"/>
  <c r="I50"/>
  <c r="H50"/>
  <c r="G50"/>
  <c r="F50"/>
  <c r="E50"/>
  <c r="D50"/>
  <c r="C50"/>
  <c r="A50"/>
  <c r="I49"/>
  <c r="H49"/>
  <c r="G49"/>
  <c r="F49"/>
  <c r="E49"/>
  <c r="D49"/>
  <c r="C49"/>
  <c r="A49"/>
  <c r="I48"/>
  <c r="H48"/>
  <c r="G48"/>
  <c r="F48"/>
  <c r="E48"/>
  <c r="D48"/>
  <c r="C48"/>
  <c r="A48"/>
  <c r="I47"/>
  <c r="H47"/>
  <c r="G47"/>
  <c r="F47"/>
  <c r="E47"/>
  <c r="D47"/>
  <c r="C47"/>
  <c r="A47"/>
  <c r="I46"/>
  <c r="H46"/>
  <c r="G46"/>
  <c r="F46"/>
  <c r="E46"/>
  <c r="D46"/>
  <c r="C46"/>
  <c r="A46"/>
  <c r="I45"/>
  <c r="H45"/>
  <c r="G45"/>
  <c r="F45"/>
  <c r="E45"/>
  <c r="D45"/>
  <c r="C45"/>
  <c r="A45"/>
  <c r="I44"/>
  <c r="H44"/>
  <c r="G44"/>
  <c r="F44"/>
  <c r="E44"/>
  <c r="D44"/>
  <c r="C44"/>
  <c r="A44"/>
  <c r="I43"/>
  <c r="H43"/>
  <c r="G43"/>
  <c r="F43"/>
  <c r="E43"/>
  <c r="D43"/>
  <c r="C43"/>
  <c r="A43"/>
  <c r="I42"/>
  <c r="H42"/>
  <c r="G42"/>
  <c r="F42"/>
  <c r="E42"/>
  <c r="D42"/>
  <c r="C42"/>
  <c r="A42"/>
  <c r="I41"/>
  <c r="H41"/>
  <c r="G41"/>
  <c r="F41"/>
  <c r="E41"/>
  <c r="D41"/>
  <c r="C41"/>
  <c r="A41"/>
  <c r="I40"/>
  <c r="H40"/>
  <c r="G40"/>
  <c r="F40"/>
  <c r="E40"/>
  <c r="D40"/>
  <c r="C40"/>
  <c r="A40"/>
  <c r="I39"/>
  <c r="H39"/>
  <c r="G39"/>
  <c r="F39"/>
  <c r="E39"/>
  <c r="D39"/>
  <c r="C39"/>
  <c r="A39"/>
  <c r="I38"/>
  <c r="H38"/>
  <c r="G38"/>
  <c r="F38"/>
  <c r="E38"/>
  <c r="D38"/>
  <c r="C38"/>
  <c r="A38"/>
  <c r="I37"/>
  <c r="H37"/>
  <c r="G37"/>
  <c r="F37"/>
  <c r="E37"/>
  <c r="D37"/>
  <c r="C37"/>
  <c r="A37"/>
  <c r="I36"/>
  <c r="H36"/>
  <c r="G36"/>
  <c r="F36"/>
  <c r="E36"/>
  <c r="D36"/>
  <c r="C36"/>
  <c r="A36"/>
  <c r="I35"/>
  <c r="H35"/>
  <c r="G35"/>
  <c r="F35"/>
  <c r="E35"/>
  <c r="D35"/>
  <c r="C35"/>
  <c r="A35"/>
  <c r="I34"/>
  <c r="H34"/>
  <c r="G34"/>
  <c r="F34"/>
  <c r="E34"/>
  <c r="D34"/>
  <c r="C34"/>
  <c r="A34"/>
  <c r="I33"/>
  <c r="H33"/>
  <c r="G33"/>
  <c r="F33"/>
  <c r="E33"/>
  <c r="D33"/>
  <c r="C33"/>
  <c r="A33"/>
  <c r="I32"/>
  <c r="H32"/>
  <c r="G32"/>
  <c r="F32"/>
  <c r="E32"/>
  <c r="D32"/>
  <c r="C32"/>
  <c r="A32"/>
  <c r="I31"/>
  <c r="H31"/>
  <c r="G31"/>
  <c r="F31"/>
  <c r="E31"/>
  <c r="D31"/>
  <c r="C31"/>
  <c r="A31"/>
  <c r="I30"/>
  <c r="H30"/>
  <c r="G30"/>
  <c r="F30"/>
  <c r="E30"/>
  <c r="D30"/>
  <c r="C30"/>
  <c r="A30"/>
  <c r="I29"/>
  <c r="H29"/>
  <c r="G29"/>
  <c r="F29"/>
  <c r="E29"/>
  <c r="D29"/>
  <c r="C29"/>
  <c r="A29"/>
  <c r="I28"/>
  <c r="H28"/>
  <c r="G28"/>
  <c r="F28"/>
  <c r="E28"/>
  <c r="D28"/>
  <c r="C28"/>
  <c r="A28"/>
  <c r="I27"/>
  <c r="H27"/>
  <c r="G27"/>
  <c r="F27"/>
  <c r="E27"/>
  <c r="D27"/>
  <c r="C27"/>
  <c r="A27"/>
  <c r="I26"/>
  <c r="H26"/>
  <c r="G26"/>
  <c r="F26"/>
  <c r="E26"/>
  <c r="D26"/>
  <c r="C26"/>
  <c r="A26"/>
  <c r="I25"/>
  <c r="H25"/>
  <c r="G25"/>
  <c r="F25"/>
  <c r="E25"/>
  <c r="D25"/>
  <c r="C25"/>
  <c r="A25"/>
  <c r="I24"/>
  <c r="H24"/>
  <c r="G24"/>
  <c r="F24"/>
  <c r="E24"/>
  <c r="D24"/>
  <c r="C24"/>
  <c r="A24"/>
  <c r="I23"/>
  <c r="H23"/>
  <c r="G23"/>
  <c r="F23"/>
  <c r="E23"/>
  <c r="D23"/>
  <c r="C23"/>
  <c r="A23"/>
  <c r="I22"/>
  <c r="H22"/>
  <c r="G22"/>
  <c r="F22"/>
  <c r="E22"/>
  <c r="D22"/>
  <c r="C22"/>
  <c r="A22"/>
  <c r="I21"/>
  <c r="H21"/>
  <c r="G21"/>
  <c r="F21"/>
  <c r="E21"/>
  <c r="D21"/>
  <c r="C21"/>
  <c r="A21"/>
  <c r="I20"/>
  <c r="H20"/>
  <c r="G20"/>
  <c r="F20"/>
  <c r="E20"/>
  <c r="D20"/>
  <c r="C20"/>
  <c r="A20"/>
  <c r="I19"/>
  <c r="H19"/>
  <c r="G19"/>
  <c r="F19"/>
  <c r="E19"/>
  <c r="D19"/>
  <c r="C19"/>
  <c r="A19"/>
  <c r="I18"/>
  <c r="H18"/>
  <c r="G18"/>
  <c r="F18"/>
  <c r="E18"/>
  <c r="D18"/>
  <c r="C18"/>
  <c r="A18"/>
  <c r="I17"/>
  <c r="H17"/>
  <c r="G17"/>
  <c r="F17"/>
  <c r="E17"/>
  <c r="D17"/>
  <c r="C17"/>
  <c r="A17"/>
  <c r="I16"/>
  <c r="H16"/>
  <c r="G16"/>
  <c r="F16"/>
  <c r="E16"/>
  <c r="D16"/>
  <c r="C16"/>
  <c r="A16"/>
  <c r="I15"/>
  <c r="H15"/>
  <c r="G15"/>
  <c r="F15"/>
  <c r="E15"/>
  <c r="D15"/>
  <c r="C15"/>
  <c r="A15"/>
  <c r="I14"/>
  <c r="H14"/>
  <c r="G14"/>
  <c r="F14"/>
  <c r="E14"/>
  <c r="D14"/>
  <c r="C14"/>
  <c r="A14"/>
  <c r="I13"/>
  <c r="H13"/>
  <c r="G13"/>
  <c r="F13"/>
  <c r="E13"/>
  <c r="D13"/>
  <c r="C13"/>
  <c r="A13"/>
  <c r="I12"/>
  <c r="H12"/>
  <c r="G12"/>
  <c r="F12"/>
  <c r="E12"/>
  <c r="D12"/>
  <c r="C12"/>
  <c r="A12"/>
  <c r="I11"/>
  <c r="H11"/>
  <c r="G11"/>
  <c r="F11"/>
  <c r="E11"/>
  <c r="D11"/>
  <c r="C11"/>
  <c r="A11"/>
  <c r="I10"/>
  <c r="H10"/>
  <c r="G10"/>
  <c r="F10"/>
  <c r="E10"/>
  <c r="D10"/>
  <c r="C10"/>
  <c r="A10"/>
  <c r="I9"/>
  <c r="H9"/>
  <c r="G9"/>
  <c r="F9"/>
  <c r="E9"/>
  <c r="D9"/>
  <c r="C9"/>
  <c r="A9"/>
  <c r="I8"/>
  <c r="H8"/>
  <c r="G8"/>
  <c r="F8"/>
  <c r="E8"/>
  <c r="D8"/>
  <c r="C8"/>
  <c r="A8"/>
  <c r="I7"/>
  <c r="H7"/>
  <c r="G7"/>
  <c r="F7"/>
  <c r="E7"/>
  <c r="D7"/>
  <c r="C7"/>
  <c r="A7"/>
  <c r="I6"/>
  <c r="H6"/>
  <c r="G6"/>
  <c r="F6"/>
  <c r="E6"/>
  <c r="D6"/>
  <c r="C6"/>
  <c r="A6"/>
  <c r="I5"/>
  <c r="H5"/>
  <c r="G5"/>
  <c r="F5"/>
  <c r="E5"/>
  <c r="D5"/>
  <c r="C5"/>
  <c r="A5"/>
  <c r="I4"/>
  <c r="H4"/>
  <c r="G4"/>
  <c r="F4"/>
  <c r="E4"/>
  <c r="D4"/>
  <c r="C4"/>
  <c r="A4"/>
  <c r="I3"/>
  <c r="H3"/>
  <c r="G3"/>
  <c r="F3"/>
  <c r="E3"/>
  <c r="D3"/>
  <c r="C3"/>
  <c r="A3"/>
  <c r="A2"/>
  <c r="C2"/>
  <c r="D2"/>
  <c r="E2"/>
  <c r="F2"/>
  <c r="G2"/>
  <c r="H2"/>
  <c r="I2"/>
  <c r="D187" i="6"/>
  <c r="D188"/>
  <c r="D189"/>
  <c r="D190"/>
  <c r="D191"/>
  <c r="D192"/>
  <c r="D193"/>
</calcChain>
</file>

<file path=xl/comments1.xml><?xml version="1.0" encoding="utf-8"?>
<comments xmlns="http://schemas.openxmlformats.org/spreadsheetml/2006/main">
  <authors>
    <author>Robert Keane</author>
  </authors>
  <commentList>
    <comment ref="A3" authorId="0">
      <text>
        <r>
          <rPr>
            <b/>
            <sz val="8"/>
            <color indexed="81"/>
            <rFont val="Tahoma"/>
            <family val="2"/>
          </rPr>
          <t>Robert Keane:</t>
        </r>
        <r>
          <rPr>
            <sz val="8"/>
            <color indexed="81"/>
            <rFont val="Tahoma"/>
            <family val="2"/>
          </rPr>
          <t xml:space="preserve">
Leave blank until MESL is complete.</t>
        </r>
      </text>
    </comment>
  </commentList>
</comments>
</file>

<file path=xl/sharedStrings.xml><?xml version="1.0" encoding="utf-8"?>
<sst xmlns="http://schemas.openxmlformats.org/spreadsheetml/2006/main" count="5217" uniqueCount="1092">
  <si>
    <t xml:space="preserve">AEMA receives reports Mobile Co. EOC via SATCOM advising that as best they can determine, Mobile Co. is without power.  This was verified in the City of Mobile EOC.  EMITS terminal function appears to be intermittent.  Initial damage assessments are on-going.  </t>
  </si>
  <si>
    <t>31st CHEM BDE - Notifies select staff</t>
  </si>
  <si>
    <t>Not Injected</t>
  </si>
  <si>
    <t>Napier</t>
  </si>
  <si>
    <t>31st CHEM BDE - Telecon with unit CDRs  and issue verbal WARNO</t>
  </si>
  <si>
    <t>31st CHEM BDE - Test alert roster of key personnel and for the 1165th and 690th</t>
  </si>
  <si>
    <t>31st CHEM BDE - Stands up the CAC and begins tracking storm</t>
  </si>
  <si>
    <t>News media calling concerning KC-135 Crash and radioactive materials</t>
  </si>
  <si>
    <t>Governor asks TAG to conduct press conference concerning KC-135 crash</t>
  </si>
  <si>
    <t>Birmingham Fire and Rescue Service isolating KC-135 crash site until radioactive materials can be identified. Requesting Guard assistance.</t>
  </si>
  <si>
    <t>Birmingham Police bomb robot being used to inspect interior of aircraft. Located container with marking (NSN number)</t>
  </si>
  <si>
    <r>
      <t xml:space="preserve">A local news station reports that there are major flooding and power outages throughout the </t>
    </r>
    <r>
      <rPr>
        <b/>
        <u/>
        <sz val="10"/>
        <rFont val="Arial"/>
        <family val="2"/>
      </rPr>
      <t>(named)</t>
    </r>
    <r>
      <rPr>
        <sz val="10"/>
        <rFont val="Arial"/>
        <family val="2"/>
      </rPr>
      <t xml:space="preserve"> city.  </t>
    </r>
  </si>
  <si>
    <r>
      <t xml:space="preserve">A fax from </t>
    </r>
    <r>
      <rPr>
        <b/>
        <u/>
        <sz val="10"/>
        <rFont val="Arial"/>
        <family val="2"/>
      </rPr>
      <t>(named)</t>
    </r>
    <r>
      <rPr>
        <sz val="10"/>
        <rFont val="Arial"/>
        <family val="2"/>
      </rPr>
      <t xml:space="preserve"> Hospital’s administrator to all hospital administrators in </t>
    </r>
    <r>
      <rPr>
        <b/>
        <u/>
        <sz val="10"/>
        <rFont val="Arial"/>
        <family val="2"/>
      </rPr>
      <t>(named)</t>
    </r>
    <r>
      <rPr>
        <sz val="10"/>
        <rFont val="Arial"/>
        <family val="2"/>
      </rPr>
      <t xml:space="preserve">  City notifies them that the beds are full. </t>
    </r>
    <r>
      <rPr>
        <b/>
        <u/>
        <sz val="10"/>
        <rFont val="Arial"/>
        <family val="2"/>
      </rPr>
      <t>(named)</t>
    </r>
    <r>
      <rPr>
        <sz val="10"/>
        <rFont val="Arial"/>
        <family val="2"/>
      </rPr>
      <t xml:space="preserve"> hospital will need to redirect incoming ambulances to other hospitals, and they require help in coordinating the patient transfers. They are uncertain of road closures.</t>
    </r>
  </si>
  <si>
    <r>
      <t xml:space="preserve">A Deputy Sheriff calls the water superintendent to let them know that he received a radio call from an EMS worker reporting that </t>
    </r>
    <r>
      <rPr>
        <b/>
        <u/>
        <sz val="10"/>
        <rFont val="Arial"/>
        <family val="2"/>
      </rPr>
      <t>(named)</t>
    </r>
    <r>
      <rPr>
        <sz val="10"/>
        <rFont val="Arial"/>
        <family val="2"/>
      </rPr>
      <t xml:space="preserve"> Hospital was losing water pressure fast. He also informs the water treatment plant (WTP) that the same EMS worker also noticed that water was gushing out of a pipe under the </t>
    </r>
    <r>
      <rPr>
        <b/>
        <u/>
        <sz val="10"/>
        <rFont val="Arial"/>
        <family val="2"/>
      </rPr>
      <t>(named)</t>
    </r>
    <r>
      <rPr>
        <sz val="10"/>
        <rFont val="Arial"/>
        <family val="2"/>
      </rPr>
      <t xml:space="preserve"> Street bridge.</t>
    </r>
  </si>
  <si>
    <t>DTG</t>
  </si>
  <si>
    <t>IMPLEMENTER</t>
  </si>
  <si>
    <t>AUTHOR</t>
  </si>
  <si>
    <t>EXPECTED ACTIONS</t>
  </si>
  <si>
    <t>MSEL #</t>
  </si>
  <si>
    <t>INJECT MODE: / SEND FROM: / INJECTED BY: / SEND TO:</t>
  </si>
  <si>
    <t>STORYLINE / DESCRIPTION / NOTES &amp; REMARKS / BACKGROUND INFO</t>
  </si>
  <si>
    <t>Background Information (Hurricane Synchronization Matrix)</t>
  </si>
  <si>
    <t>JFHQ activates JTF-South (FTUS) Primary Staff (LNO's)and local units for possible support</t>
  </si>
  <si>
    <t xml:space="preserve">Mississippi Issues EMAC Request for Aviation support, 3x UH60's for SAR </t>
  </si>
  <si>
    <t>31st CHEM BDE - Alert 1165th &amp; 690th O/O Activate</t>
  </si>
  <si>
    <t>31st CHEM BDE - Dispatch LNO to Montgomery</t>
  </si>
  <si>
    <t>31st CHEM BDE - Coordinate w/ JTF-S and establish direct communications with 1165th and 690th</t>
  </si>
  <si>
    <t>31st CHME BDE - Stands up the CMOC</t>
  </si>
  <si>
    <t>31st CHEM BDE - Staff security requirements for Evac Shelters</t>
  </si>
  <si>
    <t>31st CHEM BDE - Activates the 1165th and 690th</t>
  </si>
  <si>
    <t>31st CHEM BDE - Monitors Convoy for 1165th from Fairhope to Fort Whiting</t>
  </si>
  <si>
    <t xml:space="preserve">31st CHEM BDE - During 1165th convoy to Fort Whiting rear axle on a HMMWV busted and broke down on the Bay Bridge </t>
  </si>
  <si>
    <t>Inject</t>
  </si>
  <si>
    <t>31st CHEM BDE - Required security support for EVAC sites (# of sites &amp; # of pax @ each site)</t>
  </si>
  <si>
    <t>31st CHEM BDE - Notify JTF-S for Assistance for broke down HMMWV</t>
  </si>
  <si>
    <t>31st CHEM BDE - Stands up TOC</t>
  </si>
  <si>
    <t>31st CHEM BDE - JTF-AL goes to REDCON2</t>
  </si>
  <si>
    <t>Company commander has a soldier who is a prison guard at Holman Prison.  Soldier states that he has been directed to remain at prison and not to report to Guard.  Indicates rumors of potential inmate takeover and mass escape during hurricane.  Soldier/guard states that inmates are apparently planning a takeover while hurricane is in progress, followed by mass escape.  There are indications that they may receive external support by an affilated gang.  Soldier/guard states that prison officials are discussing requesting security assistance from Guard.</t>
  </si>
  <si>
    <t>MISSION - BPT</t>
  </si>
  <si>
    <t>RFI - Train Derailment</t>
  </si>
  <si>
    <t>INFO - Train Derailment</t>
  </si>
  <si>
    <t>MISSION - Train Derailment</t>
  </si>
  <si>
    <t>MISSION - POD</t>
  </si>
  <si>
    <t>POD (Point of Distribution) Missions</t>
  </si>
  <si>
    <t>RFI - Holman Prison</t>
  </si>
  <si>
    <t xml:space="preserve">AEMA Director contacts AL TAG/J3 to discuss hurricane response planning/operations.  </t>
  </si>
  <si>
    <t>MISSION - SASO</t>
  </si>
  <si>
    <t>MISSION - SEOC LOG CELL</t>
  </si>
  <si>
    <t>Set NGB Conference call up on DCO</t>
  </si>
  <si>
    <t>Informal message from LNO</t>
  </si>
  <si>
    <t>EMAC</t>
  </si>
  <si>
    <t>BPT establish LSA</t>
  </si>
  <si>
    <t xml:space="preserve">Stage &amp; BPT deploy 2 SAR teams to Mobile and Baldwin County EOC locations. </t>
  </si>
  <si>
    <t>BPT to provide 3000 Soldiers for security operations in South and Central Alabama</t>
  </si>
  <si>
    <t>CONTRA FLOW</t>
  </si>
  <si>
    <t>CHAPLAIN &amp; UMT ACTIIVITIES</t>
  </si>
  <si>
    <t>Stage &amp; BPT deploy 2 SAR teams consisting of 4ea 5tons 16 PAX to Mobile and Baldwin County .</t>
  </si>
  <si>
    <t xml:space="preserve">Gulf Shores Police Department reports confrontation with twelve members of out-of-state outlaw motorcycle club(Road Vermin M/C) who were drunk and disorderly at a local bar.  Gulf Shores Police indicate that incident was handled with no need for arrests.  They also indicate that an unusually large number of outlaw M/C members are present in the Gulf Coast area, particularly prior to a hurricane.  They indicate that the Road Vermin M/C has known alliances with white supremacist organizations. </t>
  </si>
  <si>
    <t>INFO - Holman Prison</t>
  </si>
  <si>
    <t>SEOC LNO describes developing situation at Holman Prison in which inmates apparently intend to riot and take over the prison during the hurricane, followed by a mass escape assisted by external forces.  LNO states that DOC and State Troopers are confident that they can manage the situation inside the prison, to include the perimeter, but are concerned about the potential of external forces attempting to force their way in to breach fences and other security measures.  Are considering asking for "two to three platoons" of MPs or infantry to establish extra security perimeter.</t>
  </si>
  <si>
    <t>AT/FP</t>
  </si>
  <si>
    <t>EVACUATION</t>
  </si>
  <si>
    <t>Citizen reports accident at front gate</t>
  </si>
  <si>
    <t>MTS</t>
  </si>
  <si>
    <t xml:space="preserve">MVA on I-65/I-85 interchange involving 3 vehicles (2 military LMTVs and 1 civilian tractor trailer).  </t>
  </si>
  <si>
    <t>Need SINCGARS batteries for manpack radios.</t>
  </si>
  <si>
    <t xml:space="preserve">Soldier's father calls the American Red Cross Shelters trying to contact his son who is deployed to Mobile area.  </t>
  </si>
  <si>
    <t>AEMA issues sandbagging mission</t>
  </si>
  <si>
    <t>MISSION - Holman Prison</t>
  </si>
  <si>
    <t>Question concerning Cell Phone</t>
  </si>
  <si>
    <t>Question concerning Chaplain chain of command</t>
  </si>
  <si>
    <t>Mobile County transportation request</t>
  </si>
  <si>
    <t>Marshall Co EOC requests opening of Arab and Albertville armories</t>
  </si>
  <si>
    <t xml:space="preserve">Mobile County Sheriff requests NG assistance for site security and traffic control. </t>
  </si>
  <si>
    <t>CCIR concerning troops deployed in Iraq</t>
  </si>
  <si>
    <t>Generator Request</t>
  </si>
  <si>
    <t>RFI concerning storage location</t>
  </si>
  <si>
    <t>Fuel spill from NG vehicle</t>
  </si>
  <si>
    <t>FUEL SPILL</t>
  </si>
  <si>
    <t>Governor RFI concerning NG real-time imaging capabilities</t>
  </si>
  <si>
    <t xml:space="preserve">Baldwin County Sheriff requests NG assistance for site security and traffic control. </t>
  </si>
  <si>
    <t>Mission to support Baldwin County PODs</t>
  </si>
  <si>
    <t>Mission to support Escambia County PODs</t>
  </si>
  <si>
    <t>Mission to support Washington County PODs</t>
  </si>
  <si>
    <t>Mission to support Mobile County PODs</t>
  </si>
  <si>
    <t>Mission to support Monroe County PODs</t>
  </si>
  <si>
    <t>Mission to support Clarke County PODs</t>
  </si>
  <si>
    <t>Mission to support Conecuh County PODs</t>
  </si>
  <si>
    <t>Det 1, 1343rd in-conjunction with 1343rd (Chem Co) are tasked to support military operations in the Mobile/Gulf Shores area. Det 1 (4 military vehicles), must link-up with 1343rd Chem Co (6 military vehicles) and convoy to Fort Whiting, Mobile to conduct military operations. 4 vehicles convoy from Det 1 1343rd (Chem CO), Fort Payne and 6 vehicles from 1343rd (Chem CO) Centre, convoy to Mobile to assist in military operations (Security operations).</t>
  </si>
  <si>
    <t>Soldier - Citizen Confrontation</t>
  </si>
  <si>
    <t>Evergreen Police Department reports that a citizen has reported an assault by a NG Soldier.</t>
  </si>
  <si>
    <t xml:space="preserve">Soldier - Citizen Confrontation </t>
  </si>
  <si>
    <t>Sheriff deputy (Guard M-day officer) requests evacuation assistance</t>
  </si>
  <si>
    <t>Reporter from the Montgomery Advertiser wants  to speak with Army Public Affairs in reference to Soldiers arrest in Evergreen.</t>
  </si>
  <si>
    <t xml:space="preserve">Alabama Power has shut down the Joseph M. Farley Nuclear Power Plant </t>
  </si>
  <si>
    <t>Looting of chaplain supplies reported</t>
  </si>
  <si>
    <t>Door to Door SAR Requesr</t>
  </si>
  <si>
    <t>Request for Light Sets for night operations</t>
  </si>
  <si>
    <t>Request for MREs</t>
  </si>
  <si>
    <t>NGB Requests Battle Rhythym</t>
  </si>
  <si>
    <t>Request for NLWS for security mission</t>
  </si>
  <si>
    <t>Request for route clearance</t>
  </si>
  <si>
    <t>Sandbag Request</t>
  </si>
  <si>
    <t>NG Weapon (M16) taken from soldier</t>
  </si>
  <si>
    <t>News agency reports flooding</t>
  </si>
  <si>
    <t>Problems reported at Waste Water Treatment Plant</t>
  </si>
  <si>
    <t>Internal NG request for low density component</t>
  </si>
  <si>
    <t>NG Soldier requires dental treatment</t>
  </si>
  <si>
    <t>RFI concerning NG capabilities to temporarily replace damaged bridge</t>
  </si>
  <si>
    <t>Armory damage reported.</t>
  </si>
  <si>
    <t>Hospital reports that it is completely filled</t>
  </si>
  <si>
    <t>Water SAR Request - Baldwin County</t>
  </si>
  <si>
    <t>Aviation Request</t>
  </si>
  <si>
    <t>Evacuation Assistance Request</t>
  </si>
  <si>
    <t>LSA Support - Commodity Transportation</t>
  </si>
  <si>
    <t>AEMA Request for additional Guard personnel</t>
  </si>
  <si>
    <t>Report of problems at WWTP</t>
  </si>
  <si>
    <t>EMA Request for Aviation Support</t>
  </si>
  <si>
    <t>Request for chainsaws to clearance debris for route clearance</t>
  </si>
  <si>
    <t>INFO - Evacuation</t>
  </si>
  <si>
    <t>The State Emergency Response Team (SERT) is recalled to the State Emergency Operations Center (SEOC (AL)) and activated at Level 1 effective 0900 3 May 2010.</t>
  </si>
  <si>
    <t>I just heard that the Governor is probably going to order contra flow on I 65 sometimes tomorrow morning.  I will let you know more as I hear it.</t>
  </si>
  <si>
    <t>FEMA Region JFO ERT-A will deploy to AEMA on 4 May about 1200, FEMA Region 9 DCO will serve as JFO-AL DCO</t>
  </si>
  <si>
    <t>Deploy SERT (AL) LNOs to Mobile and Baldwin counties NLT 4 May 1800.</t>
  </si>
  <si>
    <t>Deploy SERT (AL)LNOs to Mobile and Baldwin counties NLT 4 May 1800.</t>
  </si>
  <si>
    <t>Governor oders I 65  contra flow operations conducted beginning 0800 4 May 2010</t>
  </si>
  <si>
    <t>Mobile Police Department reports incident where three armored cars were stolen from a Brinks Company parking lot in Mobile.  Report states that parking lot guard and vehicle dispatcher were overpowered by five armed men at approximately 0200.  Three armored cars (no money or valuables) were taken.  Vehicles were equipped with tracking devices, but the tracking devices were disabled shortly after the incident.</t>
  </si>
  <si>
    <t>DOT through AEMA requests resources resources (vehicles and manpower) to staff twenty traffic control points to assist in implementing the I-65 Lane Reversal Contingency Plan.</t>
  </si>
  <si>
    <t>SEOC requests that Guard conduct a contingency study to determine if they can provide security assistance to Holman Prison at same time hurricane response operations are underway.  Potential security assistance requirement is for approximately a company-sized element (preferably MPs or infantry) to establish VCPs, roadblocks and blocking positions on external perimeter to prevent external forces from entering prison compound and providing assistance to prisoners.  All Guard operations are anticipated to be external to prison; DOC and State Troopers will manage in-prison and internal security perimeter. Governor states that because of political sensitivity of situation, he wants a detailed briefback on ground tactical plan (via VTC or other means, if necessary) to Directors of DOC and DPS.</t>
  </si>
  <si>
    <t>Sgt ……. Vehicle rolled over on interstate in route to armory.  He was wearing a seat belt but rolled into ditch and drowned</t>
  </si>
  <si>
    <t xml:space="preserve">AEMA recommends voluntary evacuation of Baldwin and Mobile counties. </t>
  </si>
  <si>
    <t>AEMA recommends voluntary evacuation of Baldwin and Mobile counties. Voluntary evacuations recommended for citizens living in mobile homes for the following counties:  Washington, Clarke, Monroe, Conecuh, Escambia, Covington, Geneva, and Houston.</t>
  </si>
  <si>
    <t>AEMA requests dispatch of NG LNOs to County EOCs  by 1200 5 May 2010.</t>
  </si>
  <si>
    <t xml:space="preserve">At approximately 0300, Alabama Power shut down the Joseph M. Farley Nuclear Power Plant in Dothan as a precaution.  It is expected to be back on-line 4 hours after Hurricane Al passes through the area.  The Electric grid is suffering brown out conditions to further complicate power distribution. </t>
  </si>
  <si>
    <t xml:space="preserve">After Hurricane Al made landfall near the Gulf Coast area of Mobile. The local area Emergency Manager (EM) reported a damaged bridge on Hwy 193 north of Dauphin Island. Without a temporary bridge, Dauphin Island has no means to rescue civilian and transport supplies to local personnel. This bridge is the main transportation route to the island. Engineer assist is needed for emplacing a temporary bridge and road able to support at a minimum 5 tons truck. The temporary bridge must be at least 150 feet in length. </t>
  </si>
  <si>
    <t>EOC Request for Security forces</t>
  </si>
  <si>
    <t xml:space="preserve">
...FIRST TROPICAL STORM OF THE SEASON...AL NEARS THE COAST OF NICARAGUA...
SUMMARY OF 1100 AM EDT...1500 UTC...INFORMATION
-----------------------------------------------
LOCATION...14.9N 74.9W
ABOUT 220 MILES...354 KM...SOUTH SOUTHEAST OF KINGSTON JAMA</t>
  </si>
  <si>
    <t xml:space="preserve">
...TROPICAL STORM AL STRENGTHENS AS IT NEARS THE COAST OF NICARAGUA...
SUMMARY OF 1700 AM EDT...2100 UTC...INFORMATION
-----------------------------------------------
LOCATION...15.30 N 76.20 W
ABOUT 188 MILES...303 KM...167 DEGREES...SOUTH-SOUTHEAST OF</t>
  </si>
  <si>
    <t xml:space="preserve">
...AL BECOMES A HURRICANE AS IT NEARS THE NORTH COAST OF NICARAGUA...
SUMMARY OF 1100 PM EDT...0300 UTC...INFORMATION
-----------------------------------------------
LOCATION...15.50 N 77.10 W
ABOUT 172 MILES...277 KM...SOUTH SOUTHEAST OF KINGSTON JAMAI</t>
  </si>
  <si>
    <t xml:space="preserve">
... HURRICANE AL TRACKS TOWARD THE YUCATAN...
SUMMARY OF 1100 AM EDT...0900 UTC...INFORMATION
-----------------------------------------------
LOCATION...16.3N 79.0W
ABOUT 257 MILES... 321 KM...SOUTH SOUTHEAST OF GEORGE TOWN CAYMAN ISLANDS 
ABOUT 137 MIL</t>
  </si>
  <si>
    <t xml:space="preserve">
... HURRICANE AL TRACKS TOWARD THE YUCATAN...AS A CATEGORY TWO HURRICANE...
SUMMARY OF 0500 AM EDT...0900 UTC...INFORMATION
-----------------------------------------------
LOCATION...16.7N 80.0W
ABOUT 199 MILES... 321 KM...SOUTH SOUTHEAST OF GEORGE TOWN</t>
  </si>
  <si>
    <t xml:space="preserve">
... HURRICANE AL GAINS MOMENTUM AS A CATEGORY TWO HURRICANE...
SUMMARY OF 2300 PM EDT...0300 UTC...INFORMATION
-----------------------------------------------
LOCATION...17.1N 80.9W
ABOUT 184 MILES...296 KM...WEST-SOUTHWEST NEGRIL JAMAICA 
ABOUT 154 MIL</t>
  </si>
  <si>
    <t xml:space="preserve">
... HURRICANE AL CONTINUES ON A TRACK TOWARD COZUMEL...
SUMMARY OF 0500 AM EDT...0900 UTC...INFORMATION
-----------------------------------------------
LOCATION...17.7N 82.1W
ABOUT 250 MILES...401 KM...WEST-SOUTHWEST NEGRIL JAMAICA 
ABOUT 154 MILES...24</t>
  </si>
  <si>
    <t>AEMA Director contacts AL TAG/J3 to discuss hurricane response planning/operations.  AEMA Director states that they are making preliminary plans for possible Alex response operations. Suggests issuing warning orders to MACOMs for potential in-state respon</t>
  </si>
  <si>
    <t xml:space="preserve">
... HURRICANE AL MOVING NORTHWESTWARD...APPROACHING THE YUCATAN PENINSULA
TOMORROW...
SUMMARY OF 1100 AM EDT...1500 UTC...INFORMATION
-----------------------------------------------
LOCATION...18.3N 83.1W
ABOUT 129 MILES...208 KM...SOUTHWEST OF GEORGE </t>
  </si>
  <si>
    <t xml:space="preserve">
... HURRICANE AL MOVING NORTHWESTWARD...APPROACHING THE YUCATAN PENINSULA
TOMORROW...
SUMMARY OF 1700 AM EDT...2100 UTC...INFORMATION
-----------------------------------------------
LOCATION...19.0N 84.1W
ABOUT 179 MILES...288 KM...SOUTHWEST OF GEORGE </t>
  </si>
  <si>
    <t xml:space="preserve">Gulf Shores Police Department reports confrontation with twelve members of out-of-state outlaw motorcycle club(Road Vermin M/C) who were drunk and disorderly at a local bar.  Gulf Shores Police indicate that incident was handled with no need for arrests. </t>
  </si>
  <si>
    <t>SEOC LNO describes developing situation at Holman Prison in which inmates apparently intend to riot and take over the prison during the hurricane, followed by a mass escape assisted by external forces.  LNO states that DOC and State Troopers are confident</t>
  </si>
  <si>
    <t xml:space="preserve">
... HURRICANE AL THREATENS CANCUN...
SUMMARY OF 2300 AM EDT...0300 UTC...INFORMATION
-----------------------------------------------
LOCATION...19.9N 85.1W
ABOUT 141 MILES...228 KM...SOUTHWEST OF CANCUN MEXICO
ABOUT 245 MILES...395 KM...WEST-SOUTHWEST </t>
  </si>
  <si>
    <t xml:space="preserve">
... HURRICANE AL EYE JUST OFF THE TIP OF THE YUCATAN...
SUMMARY OF 0500 AM EDT...0900 UTC...INFORMATION
-----------------------------------------------
LOCATION...21.2N 86.2W
ABOUT 41 MILES...66 KM...EAST OF CANCUN MEXICO
ABOUT 67 MILES...109 KM...NORT</t>
  </si>
  <si>
    <t>The entire purpose of ths thread is to determine if the information (which will be received from multiple sources at different levels) is passed up-line to JFHQ JOC, and then subsequently assessed by various J-Staff elements. The location of the train der</t>
  </si>
  <si>
    <t>FTUS NCO from Det 1, Co A, 711 BSB is standing by at Grove Hill armory to support hurricane response operations. He reports that a north-bound Norfolk Southern train experienced a serious derailment between Grove Hill and Thomasville (to the north). Clark</t>
  </si>
  <si>
    <t xml:space="preserve">SEOC LNO calls JOC Chief with a "heads up" that a Norfolk Southern train has derailed approximately ten miles north of Grove Hill (Clarke County). The train was being "pushed" north to get it out of the hurricane impact area. Derailment involves multiple </t>
  </si>
  <si>
    <t xml:space="preserve">
... HURRICANE AL PASSES NORTH OF CANCUN...ENTERS THE GULF OF MEXICO...
SUMMARY OF 1100 AM EDT...1500 UTC...INFORMATION
-----------------------------------------------
LOCATION...22.0N 86.8W
ABOUT 58 MILES...94 KM...NORTH OF CANCUN MEXICO
ABOUT 120 MILE</t>
  </si>
  <si>
    <t>EMITS message requests capability assessment of potential Guard capabilities to assist with train derailment north of Grove Hill. Area, including US 43, is being evacuated. EMA wants to know viability of CST providing hazardous materials assistance. Addit</t>
  </si>
  <si>
    <t>EMITS message requests capability assessment of potential Guard capabilities to assist with train derailment north of Grove Hill. Request is to determine availability of CH-47 or UH-60 "Bambi Bucket" capability to help extinguish fires on railcars because</t>
  </si>
  <si>
    <t xml:space="preserve">Two vehicles convoy of generator mechanics traveling from Brundidge to Mobile to repair a 100kw generator. The convoy movement is being tracked by MTS. After reaching Greenville, AL from that point on, the convoy isn't visible on MTS and the JOC receives </t>
  </si>
  <si>
    <t xml:space="preserve">
... HURRICANE AL ...NOW A CATEGORY THREE...SHIFTS NORTHWARD...
SUMMARY OF 2300 PM EDT...0300 UTC...INFORMATION
-----------------------------------------------
LOCATION...24.7N 88.3W
ABOUT 261 MILES...421 KM...NORTH-NORTHWEST OF CANCUN MEXICO
ABOUT 392 </t>
  </si>
  <si>
    <t xml:space="preserve">
...HURRICANE AL MOVING TOWARD THE NEW ORLEANS...
SUMMARY OF 500 AM EDT...0900 UTC...INFORMATION
-----------------------------------------------
LOCATION...25.8N 88.8W
ABOUT 338 MILES...544 KM...SOUTH OF MOBILE ALABAMA
ABOUT 445 MILES...717 KM...WEST-NO</t>
  </si>
  <si>
    <t xml:space="preserve">
... HURRICANE AL SLOWS AND SHIFTS COURSE SLIGHTLY EASTWARD...
SUMMARY OF 1100 AM EDT...1500 UTC...INFORMATION
-----------------------------------------------
LOCATION...27.2N 89.0W
ABOUT 198 MILES...319 KM...SOUTH-SOUTHEAST OF NEW ORLEANS LOUISIANA
ABO</t>
  </si>
  <si>
    <t xml:space="preserve">
...HURRICANE AL NEAR LANDFALL...NORTHERLY COURSE PUSHING SLIGHTLY EASTWARD...
SUMMARY OF 500 PM EDT...2100 UTC...INFORMATION
-----------------------------------------------
LOCATION...28.2N 88.8W
ABOUT 141 MILES...228 KM...EAST-SOUTHEAST OF NEW ORLEANS</t>
  </si>
  <si>
    <t xml:space="preserve">Route request procedures by unit thru J-4  -Select another route due to debris, heavy traffic and an accident 
- Part II: Depending on the selected route an accident will occur producing heavy traffic, causing a route detour. If I-65 is the primary route </t>
  </si>
  <si>
    <t xml:space="preserve">Det 1, 1343rd in-conjunction with 1343rd (Chem Co) are tasked to support military operations in the Mobile/Gulf Shores area. Det 1 (4 military vehicles), must link-up with 1343rd Chem Co (6 military vehicles) and convoy to Fort Whiting, Mobile to conduct </t>
  </si>
  <si>
    <t>Evergreen Police Department reports that a citizen has walked into their office stating that a Soldier assaulted them in their vehicle at County Hwy 20 and I-65. Police Department states that it also appears the Soldier kicked in the right fender and ligh</t>
  </si>
  <si>
    <t>Hi I'm MAJ Fitzgerald the Assistant Police Chief with the Evergreen Police Department. I just had a citizen arrive at our headquarters wishing to file a complaint on an Army Soldier. He stated he was attempting to take I-85 South heading towards Mobile to</t>
  </si>
  <si>
    <t>Sergeant L. Green reports to higher (1-117 FA BN) that while conducting his contra flow mission on I-65 at Evergreen a vehicle refused to stop and almost struck him. He stated at which time he kicked the front end of their vehicle to get their attention .</t>
  </si>
  <si>
    <t xml:space="preserve">MAJ Berry (XO 1/117) to JTF-South - I just had one of my Soldiers contact me and he stated that he was at his assigned post conducting Contra flow Operations and vehicle refused to stop almost hitting him. He told me he kicked the front of the car to get </t>
  </si>
  <si>
    <t xml:space="preserve">
...HURRICANE AL APPROACHES THE GULF COAST...
SUMMARY OF 1100 PM EDT...0300 UTC...INFORMATION
-----------------------------------------------
LOCATION...29.2N 88.6W
ABOUT 102 MILES...164 KM...EAST-SOUTHEAST OF NEW ORLEANS LOUISIANA 
ABOUT 108 MILES...17</t>
  </si>
  <si>
    <t xml:space="preserve">A phone call from the wastewater treatment plant (WWTP) superintendent to the public works manager is made. The backup generator has just failed at the WWTP, and upon inspection, a new main rotor is required. He will put a call in to the supplier. In the </t>
  </si>
  <si>
    <t>KEANE</t>
  </si>
  <si>
    <t>HICKS</t>
  </si>
  <si>
    <t>TOMBERLIN</t>
  </si>
  <si>
    <t>HOWARD</t>
  </si>
  <si>
    <t>ALAN PETTY</t>
  </si>
  <si>
    <t>KAHL</t>
  </si>
  <si>
    <t>DENNIS</t>
  </si>
  <si>
    <t>BENTON</t>
  </si>
  <si>
    <t>JENNE</t>
  </si>
  <si>
    <t>117TH OPS</t>
  </si>
  <si>
    <t>POLLARD</t>
  </si>
  <si>
    <t>BFRS</t>
  </si>
  <si>
    <t>DONAHUE</t>
  </si>
  <si>
    <t>REAGAN</t>
  </si>
  <si>
    <t>MCLEOD</t>
  </si>
  <si>
    <t>GATE GUARD</t>
  </si>
  <si>
    <t xml:space="preserve">GOVERNOR'S OFFICE </t>
  </si>
  <si>
    <t>MCDONALD</t>
  </si>
  <si>
    <t>WHEELER</t>
  </si>
  <si>
    <t>HOSPITAL</t>
  </si>
  <si>
    <t>JOHNSON</t>
  </si>
  <si>
    <t>PERRY MCDONALD</t>
  </si>
  <si>
    <t>NAPIER</t>
  </si>
  <si>
    <t>MCDONALD/TOMBERLIN</t>
  </si>
  <si>
    <t xml:space="preserve">Due to the impending threat of Hurricane Al the Governor's of Texas, LA, MS has ordered a state of emergency for all of the respective Coastal areas.  Officials ordered a mandatory evacuation of visitors and special needs clients beginning at 9 a.m. Tuesday, 4 May. 
A phased evacuation of all residents begins Tuesday, May 4, 2010 at 8 a.m. 
</t>
  </si>
  <si>
    <t>The Department of Defense has ordered an evacuation of personnel, aircraft and ships from the Gulf of Mexico.  Some DoD aircraft will be made available to state and federal agencies until 24 hours from estimated landfall.</t>
  </si>
  <si>
    <t>Army National Guard CAT requests Alabama review resources available IOT support FL with 1X Med Trk Co and 1X DS/GS Maint Co.</t>
  </si>
  <si>
    <t>Army National Guard CAT requests Alabama review resources available IOT support TX with 1x Light/Medium Truck Company and 1x POL Co.</t>
  </si>
  <si>
    <t>Army National Guard CAT requests Alabama review resources available IOT support Tx and LA with unfilled EMAC Requests.</t>
  </si>
  <si>
    <t>Press Release:  AL Governor issues emergency proclamation for Hurricane Al, and requests federal assistance ahead of possible landfall in AL</t>
  </si>
  <si>
    <t>Receive notification from Governor's press office about proclamation</t>
  </si>
  <si>
    <t>NGB-PAO starts conference calls for updates</t>
  </si>
  <si>
    <t>AEMA Director issues a press release about the evacuation progress along I-65…."traffic is heavily congested, and moving along slowly".</t>
  </si>
  <si>
    <t>Receive media inquires about support of the National Guard</t>
  </si>
  <si>
    <t>Coordinate pay submission and pay dates for soldiers in SAD status (Wireless/LAN).</t>
  </si>
  <si>
    <t>Request Increase in Single Purchase Limit for TF GPC Cardholders from NGB-PARC.</t>
  </si>
  <si>
    <t xml:space="preserve">The Dauphin Island EOC has transferred Dauphin Island 911 switching over to Mobile Co. EOC and staff are evacuating.  </t>
  </si>
  <si>
    <t>Identify the GPC Cardholders within each TF and request IMPAC/GPC Convenience Checks.</t>
  </si>
  <si>
    <t xml:space="preserve">Washington County request ALNG to man and operate the following POD sites beginning at 0800 7 May 10.  Duration 6-10 days, POC is County ESF 7 Mr. Williams.
Chatom
National Guard Armory, 1020 St. Stephens Avenue
Labor Personnel: 20.  POD Equipment Needed:  None.  Security Personnel. None.  
Operational Hours: 12
Fruitdale
Fruitdale High School, Raycoker Road
Labor Personnel: 10-12.  POD Equipment Needed:  1X tent.  Security Personnel. 2.  
Operational Hours: 8-10
Leroy
Leroy High School, 26301 Highway 43
Labor Personnel: 20.  POD Equipment Needed:  1X forklift and operator.  
Security Personnel. None.  Operational Hours: 10
McIntosh 
McIntosh Elementary School, Highway 43
Labor Personnel: 20.  POD Equipment Needed:  None.  Security Personnel. None.  
Operational Hours: 8-10
Millry
Millry Baptist Church, 800 5th Avenue
Labor Personnel: 15.  POD Equipment Needed:  forklift operator.  
Security Personnel. None.  Operational Hours: 8
</t>
  </si>
  <si>
    <t xml:space="preserve">Mobile County request ALNG to man and operate the following LSA and POD sites beginning at 0800 7 May 10.  Duration 8 days, POC is County ESF 7 Mr. Manners.
County Logistics Staging Area
Mobile Bay Bears Stadium  6 QM  2 Security  1 Forklift Operator
County Distribution Sites
Bay Bears Stadium   12 QM  2 Security  1 Forklift Operator
Saraland K-Mart   12 QM  0 Security  1 Forklift Operator
Alma Bryant School (Bayou La Batre) 24 QM  4 Security  2 Forklift Operators
Prichard Stadium   12 QM  2 Security  1 Forklift Operator
Mount Vernon Park   12 QM  2 Security  1 Forklift Operator
Citronelle Industrial Park  12 QM  2 Security  1 Forklift Operator
Mobile Greyhound Park   12 QM  2 Security  2 Forklift Operators
Dauphin Island City Hall   6 QM  2 Security  0 Forklift Operator
Langon Park    12 QM  2 Security  1 Forklift Operator
Ladd-Peeples Memorial  Stadium 12 QM  2 Security  1 Forklift Operator
Equipment Requirements:
4-6K Forklifts 
14 + Forklifts for maintenance float 
Vehicles to transport soldiers to work areas
5 ton Cargo Trucks – 3 ea. To handle in and around delivery missions out of Staging Area
Fuel Trucks – 2 ea. To fuel military and civilian trucks at Staging Area
Command and Control
Per Task Force Plan  
</t>
  </si>
  <si>
    <t xml:space="preserve">Monroe County request ALNG to man and operate the following POD sites beginning at 0800 7 May 10.  Duration 8 days, POC is County ESF 7 Mr. Manucy.
Beatrice
Beatrice POD/VFD Station, 34 Robbins Street
Labor Personnel: 20.  POD Equipment Needed:  None.  
Security Personnel. 4.  Operational Hours: 12
Excel
Excel High School, 3010 Hwy 136 W
Labor Personnel: 20.  POD Equipment Needed:  2X Tents.  
Security Personnel. 2-4.  Operational Hours: 10
Frisco City
Frisco City, 200 School Street
Labor Personnel: 20.  POD Equipment Needed:  None.  
Security Personnel. 0.  Operational Hours: 8-10
Monroeville
Primary CSA and Resource Warehouse, 188 Sheffield Drive
Labor Personnel: 12.  POD Equipment Needed:  None.  
Security Personnel. 0.  Operational Hours: 12
</t>
  </si>
  <si>
    <t xml:space="preserve">Clarke County request ALNG to man and operate the following POD sites beginning at 0800 7 May 10.  Duration 6-10 days, POC is County ESF 7 Mr. Carter.
Grove Hill
National Guard Armory, 22511 Highway 84
Labor Personnel: 20.  POD Equipment Needed:  forklift operator.  
Security Personnel. 4.  Operational Hours: 12
Jackson
National Guard Armory, 2405 Coffeeville Road
Labor Personnel:  20.  POD Equipment Needed:  1X Pallet Jack.  
Security Personnel. 2.  Operational Hours: 12
Thomasville
National Guard Armory, 31822 Highway 43
Labor Personnel: 20.  POD Equipment Needed:  None.  
Security Personnel. 4.  Operational Hours: 12
</t>
  </si>
  <si>
    <t>Conecuh County request ALNG to man and operate the following POD sites beginning at 0800 7 May 10.  Duration 8 days, POC is County ESF 7 Mrs. Collins.
Evergreen
Evergreen Airport Middleton Fld, Highway 84 W.
Labor Personnel: 20.  POD Equipment Needed:  None.  
Security Personnel. 0.  Operational Hours: 12</t>
  </si>
  <si>
    <t>Provide information as to what armories are under construction.  Specifically in areas of the projected landfall, or planned staging areas.</t>
  </si>
  <si>
    <t>"X" armory is being renovated, and is not suitable for occupation before, during, or after land fall.  BPT coordinate with local/regional contractors for services at alternate locations.</t>
  </si>
  <si>
    <t xml:space="preserve">Determine survivability and sustainability of select armories.  As directed by state/federal authorities.  </t>
  </si>
  <si>
    <t>BPT send engineer assessment teams out to support JTF and or local authorities.</t>
  </si>
  <si>
    <t xml:space="preserve">Provide storm surge models for anticipated areas of landfall.  </t>
  </si>
  <si>
    <t>SA</t>
  </si>
  <si>
    <t>McLeod</t>
  </si>
  <si>
    <t>CFMO</t>
  </si>
  <si>
    <t>J-4</t>
  </si>
  <si>
    <t xml:space="preserve">Vehicle is Non-Mission Capable (NMC), and is needed to transport supplies </t>
  </si>
  <si>
    <t>Insure that each Field Maintenance Shop (FMS) SSL/BSL Stock is check for stock on hand</t>
  </si>
  <si>
    <t>Cannon</t>
  </si>
  <si>
    <t>Email/EMITS</t>
  </si>
  <si>
    <t>JOC J-4</t>
  </si>
  <si>
    <t>Ability to coordinate in-state availability as well neighboring states.</t>
  </si>
  <si>
    <t>McDonald</t>
  </si>
  <si>
    <t>How will DOL (J-4) section respond, when equipment not readily available within the state.</t>
  </si>
  <si>
    <t>TF-South/JOC (J-4)</t>
  </si>
  <si>
    <t>TF-South</t>
  </si>
  <si>
    <t>White Cell J-4</t>
  </si>
  <si>
    <t>Email/cell</t>
  </si>
  <si>
    <t>Enroute Convoy Request</t>
  </si>
  <si>
    <t>Convoy Commander</t>
  </si>
  <si>
    <t>Convoy request for 10 vehicles from 1343rd enroute to Fort Whiting, Mobile.</t>
  </si>
  <si>
    <t>Request for Alternative route, while traveling to Mobile. How is the detour route coordinated (unit thru DOL) and who approved (J-4/DOL)</t>
  </si>
  <si>
    <t xml:space="preserve">Route request procedures by unit thru J-4  -Select another route due to debris, heavy traffic and an accident 
- Part II: Depending on the selected route an accident will occur producing heavy traffic, causing a route detour. If I-65 is the primary route the accident will occur after reaching the City of Evergreen and before Barnett Crossroads. 
</t>
  </si>
  <si>
    <t>Det 1, 1343rd in-conjunction with 1343rd (Chem Co) are tasked to support military operations in the Mobile/Gulf Shores area. Det 1 (4 military vehicles), must link-up with 1343rd Chem Co (6 military vehicles) and convoy to Fort Whiting, Mobile to conduct military operations.</t>
  </si>
  <si>
    <t>TF-South, JOC J-4</t>
  </si>
  <si>
    <t>Approximately 5 pallets of MRE's were scattered during Hurricane Al.</t>
  </si>
  <si>
    <t>Approximately 5 pallets of MRE's were scattered during Hurricane AL.</t>
  </si>
  <si>
    <t>Request from TF south thru DOL (J-4) to USPF&amp;O (Food Service section). End results - Contract local vendor for meals</t>
  </si>
  <si>
    <t>What arrangement in accordance to DOL policy involves replacing MRE's reserve (replacement)?</t>
  </si>
  <si>
    <t>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t>
  </si>
  <si>
    <t xml:space="preserve">DOL (J-4), utilizes available asset, before buying from local vendor. </t>
  </si>
  <si>
    <t>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t>
  </si>
  <si>
    <t>Weather service?</t>
  </si>
  <si>
    <t xml:space="preserve">JOC </t>
  </si>
  <si>
    <t>Flash Flood Warning</t>
  </si>
  <si>
    <t>How the J-4 DOL respond to bulk product?</t>
  </si>
  <si>
    <t>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t>
  </si>
  <si>
    <t>JOC, JTF-South, All</t>
  </si>
  <si>
    <t>Exterior power sources are needed to provided electricity for a Nursing House and Medical Center facilities which are approximately 35,000 square feet.</t>
  </si>
  <si>
    <t>Ability to coordinate with neighboring states for Logistic Assistance.</t>
  </si>
  <si>
    <t>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t>
  </si>
  <si>
    <t>All units activated submit travel vouchers for identified soldiers.</t>
  </si>
  <si>
    <t>National Guard Bureau is requesting a spreadsheet which capture and track funding costs associated with the hurricane disaster.</t>
  </si>
  <si>
    <t>TF South are requesting 50 port-o-let for units.</t>
  </si>
  <si>
    <t>There are no military transportation assets available, provide commercial haul to deliver 50 tents (GP Medium) to Fort Whiting.</t>
  </si>
  <si>
    <t>On order, transition state active duty to federal active duty for pay purpose.</t>
  </si>
  <si>
    <t xml:space="preserve">Task Force South is requesting a Class A Agent.  </t>
  </si>
  <si>
    <t xml:space="preserve">We just received 100 pallets of bottle water, 100 cots, and 200 blankets.  We need a temporary storage site for these items.   </t>
  </si>
  <si>
    <t>A unit with 125 personnel is requesting one hot commercial meal per day.  Two restaurants are open in the area.</t>
  </si>
  <si>
    <t>Request 900 MREs, 100 cots, and 100 blankets to be preposition at Fort Whiting, Mobile AL.</t>
  </si>
  <si>
    <t>USPFO</t>
  </si>
  <si>
    <t>Therman</t>
  </si>
  <si>
    <t>Simcell (LEA)</t>
  </si>
  <si>
    <t>Sheriff Dept.</t>
  </si>
  <si>
    <t>Baldwin County Sheriff Department requests Guard assistance with ground evacuation of all trailer park residents along Dog River</t>
  </si>
  <si>
    <t>Wheeler</t>
  </si>
  <si>
    <t>White Cell</t>
  </si>
  <si>
    <t>Guard Officer</t>
  </si>
  <si>
    <t>2LT------------, I just heard the Monroeville Mayor make a public statement on FM 89.6 that our (Det 1, 778th Mn Co) Armory will be open for the duration of the storm. He also stated that this will be the primary distribution point for water and food. Just wanted to pass this along as I am a PL with the unit and this is the first I've heard of this.</t>
  </si>
  <si>
    <t>Simcell (City/County)</t>
  </si>
  <si>
    <t>The Jackson Medical Center (Jackson, AL) Administrator has contacted local armory and reports generator failure on pre-storm test. Requests Guards assistance to provide 1 each 100KW generator and support for duration of storm.</t>
  </si>
  <si>
    <t>Governors office inquires as to what packages/systems the Guard has to conduct Real-Time Imaging post landfall.</t>
  </si>
  <si>
    <t>RFI/Phone</t>
  </si>
  <si>
    <t>Whitecell-JTF South</t>
  </si>
  <si>
    <t>Admin NCO for Det 1, 1165 MP Co reports wind and tree damage to Armory. States there is a partially collapsed wall which is leaving the armory unsecure. Requests guidance about staying in the armory through the storm.</t>
  </si>
  <si>
    <t>Simcell - JTF South</t>
  </si>
  <si>
    <t xml:space="preserve">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t>
  </si>
  <si>
    <t xml:space="preserve">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t>
  </si>
  <si>
    <t>EOC requests SAR forces for Gulf Shores, Orange Beach, Dauphin Island, and Fort Morgan. Mission is to   assist with manning  security check points. Mission request is for 200 personnel. Anticipated mission duration is 72 hours. Request units be self sustaining</t>
  </si>
  <si>
    <t>JTF South sends Soldiers in vehicles or w/radio communication to each check point.</t>
  </si>
  <si>
    <t>Request generator supported light sets and barriers for security check points.</t>
  </si>
  <si>
    <t>MVA on I-65/I-85 interchange involving 3 vehicles (2 military LMTVs and 1 civilian tractor trailer).  4 military personnel injured and transported to Jackson Hospital.</t>
  </si>
  <si>
    <t>1 Soldier found HIV positive after a periodic health assessment (PHA) performed with medical detachment, from last IDT.</t>
  </si>
  <si>
    <t xml:space="preserve">Soldier is threatening another Soldier with a loaded weapon while performing POD support in Bay Minnette.  He has recently redeployed from Iraq after 13 months. </t>
  </si>
  <si>
    <t>Soldier's father calls the American Red Cross Shelters trying to contact his son who is deployed to Mobile area.  He wants to send a Red Cross message that his Mother has died suddenly.</t>
  </si>
  <si>
    <t>AEMA preliminary report indicates civilians getting sick after drinking from a National Guard water trailer (M112) VIC Dauphin Island</t>
  </si>
  <si>
    <t>AEMA preliminary report indicates civilians getting sick after drinking from a National Guard water trailer (M112) VIC Foley Courthouse</t>
  </si>
  <si>
    <t>Units request resupply of CL 75 CLS bags.  TF Med (JTF North) can not support.</t>
  </si>
  <si>
    <t>5-10 soldiers have become sick in the Orange Beach area, experiencing FLU like symptoms.</t>
  </si>
  <si>
    <t>Several, 25-30 soldiers have become sick in the Orange Beach area, experiencing dysentery, vomiting, and fever.</t>
  </si>
  <si>
    <t>1 Soldier needs MEDEVAC for multiple life threatening injuries from a sinlge vehicle MVA in the vicinity of Evergreen.</t>
  </si>
  <si>
    <t>1 Soldier found HIV positive after a physical performed with medical command, last week</t>
  </si>
  <si>
    <t>Soldier's mother calls the American Red Cross Shelters trying to contact her son who is deployed to Atmore.  She wants to send a Red Cross message that his Uncle has died suddenly.</t>
  </si>
  <si>
    <t>Soldier in VIC of Montgomery is experiencing severe dental pains from dental class 3 issue identified at the last dental exam.  Soldier must receive emergency treatment to resolve issue.</t>
  </si>
  <si>
    <t xml:space="preserve">JTF-S (TF Med) request resupply of CL VIII supplies (IV Fluids, bandages, and pharmaceutical 6505 items).  </t>
  </si>
  <si>
    <t>JTF N</t>
  </si>
  <si>
    <t>JTF S</t>
  </si>
  <si>
    <t>JTF-N</t>
  </si>
  <si>
    <t>J3</t>
  </si>
  <si>
    <t>Safety</t>
  </si>
  <si>
    <t>Chaplain</t>
  </si>
  <si>
    <t>J4</t>
  </si>
  <si>
    <t>J3 w/AVN</t>
  </si>
  <si>
    <t>Benton</t>
  </si>
  <si>
    <t>Grove Hill soldier reports significant train derailment</t>
  </si>
  <si>
    <t>Telephone</t>
  </si>
  <si>
    <t>FTUS NCO manning Grove Hill armory</t>
  </si>
  <si>
    <t>Grove Hill Train Derailment</t>
  </si>
  <si>
    <t>JTF-S should pass this information upline to JFHQ JOC.</t>
  </si>
  <si>
    <t>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t>
  </si>
  <si>
    <t>FTUS NCO from Det 1, Co A, 711 BSB is standing by at Grove Hill armory to support hurricane response operations. He reports that a north-bound Norfolk Southern train experienced a serious derailment between Grove Hill and Thomasville (to the north). Clarke County Sheriff's Department and local fire departments are responding. A hazardous materials release is suspected. NCO states that local officials indicate that Grove Hill and surrounding communities will likely be evacuated. He is requesting guidance if evacuation is required.</t>
  </si>
  <si>
    <t>SEOC LNO reports train derailment just north of Grove Hill</t>
  </si>
  <si>
    <t>Telephone or e-mail</t>
  </si>
  <si>
    <t>JOC Chief</t>
  </si>
  <si>
    <t>JOC Chief should notify TAG and key leaders, pertinent staff personnel and JTFs.</t>
  </si>
  <si>
    <t>SEOC LNO calls JOC Chief with a "heads up" that a Norfolk Southern train has derailed approximately ten miles north of Grove Hill (Clarke County). The train was being "pushed" north to get it out of the hurricane impact area. Derailment involves multiple tank cars of hazardous materials, including chlorine, anhydrous ammonia, and flourine. Local emergency responders are on scene; State Troopers and ADEM are en route. SEOC LNO states that EMA may request technical assistance from the CST.</t>
  </si>
  <si>
    <t>EMITS Request for Assistance for Train Derailment emergency response</t>
  </si>
  <si>
    <t>SEOC WC</t>
  </si>
  <si>
    <t>EMITS message requests capability assessment of potential Guard capabilities to assist with train derailment north of Grove Hill. Area, including US 43, is being evacuated. EMA wants to know viability of CST providing hazardous materials assistance. Additionally, EMA wants to determine availability of FLIRS-equipped R/W aircraft to locate "hot spots" in train, to assist in firefighting effort. There is extensive smoke as a result of multiple fires, which is why FLIR is being requested. State Trooper FLIR-equipped aircraft are currently tasked to other activities.</t>
  </si>
  <si>
    <t>SEOC LNO forwards report from DPS concerning train derailment north of Grove Hill</t>
  </si>
  <si>
    <t>SEOC LNO calls to report that DPS has just given a briefing on Grove Hill train derailment. DPS stated that the derailment involved a train consisting of four diesel-electric locomotives and roughly two hundred railcars of varying types. They stated that at least a third of the rolling stock had physically left the railroad tracks as a result of the derailment. The accident involved numerous tank cars containing hazardous materials, but there is no clear indication whether any of these cars are breached or in danger of breaching. The derailment involves multiple fires, most apparently involving rail cars carrying building materials (plywood) and bulk carpet scraps. Because of the fires, thesre is considerable amount of low-hanging smoke in the area, which is slowing the efforts of emergency responders to assess damages. Until hazards can be completely assessed, a mandatory evacuation is currently underway for the towns of Grove Hill, Fulton, Dickenson, and Thomasville. US 43 is closed, and all motorists are advised to avoid Clarke County because of all the evacuation-related traffic in the vicinity of the accident.</t>
  </si>
  <si>
    <t>JOC planners may determine that a more appropriate targeting/attack method would be linear slurry drops with fixed wing aircraft (like C-130s) rather than spot attacks with helicopters. JOC may determine if slurry-equipped aircraft are available for EMACS request.</t>
  </si>
  <si>
    <t>EMITS message requests capability assessment of potential Guard capabilities to assist with train derailment north of Grove Hill. Request is to determine availability of CH-47 or UH-60 "Bambi Bucket" capability to help extinguish fires on railcars because of difficulty reaching fires with conventional fire apparatus.</t>
  </si>
  <si>
    <t>The duty status of this mission should come into question, and the JAG probably brought into the discussion. This mission is received as an SAD mission, and will likely remain as such. While the train derailment occurred in the same timeframe (roughly) as the hurricane, it is not a direct result of the hurricane, thus SAD rather than T32.</t>
  </si>
  <si>
    <t>EMITS message requests thirty personnel to establish VCPs to prevent civilians from entering evacuated areas in the vicinity of Grove Hill. Mission is SAD, anticipated duration is four days. Element is required to be self-sustaining for duration of mission.</t>
  </si>
  <si>
    <t>Because of impending hurricane landfall and associated emergency response activities, the Governor has decided that populations evacuated from Grove Hill and surrounding communities will be managed with hurricane evacuees, and will not be allowed to return until train derailment can be completely assessed and mitigated, which will likely not happen until after the hurricane has passed.</t>
  </si>
  <si>
    <t>TF-Alabama, JOC J-4</t>
  </si>
  <si>
    <t xml:space="preserve">The A Co. 711th BSB has a Truck Trac 5 Ton, M931A1 in need of an Engine Assy, NSN 2815-01-374-7539, 
Location: Orange Beach
</t>
  </si>
  <si>
    <t>A Co. 711th BSB</t>
  </si>
  <si>
    <t xml:space="preserve">Stage &amp; BPT deploy 2 SAR teams consisting of 4ea 5tons 16 PAX to Mobile and Baldwin County EOC locations. POC will be Mr. Evens and Mr Raines  </t>
  </si>
  <si>
    <t>Baldwin County EMA Request 4 SAR boat teams to vicinity Point Clear, AL POC is Mr Raines</t>
  </si>
  <si>
    <t>2LT Jackson contacts 226 MEB on Armory opening inquiry. Monroeville Mayor makes a premature statement of an Armory opening on public radio.</t>
  </si>
  <si>
    <t>Should give PAO notification and let them make inquires with Mayors Office / Refer to State EMA</t>
  </si>
  <si>
    <t>Request 600 batteries for Manpack Radios (AN/PRC-150 or D Model SINCGARS) delivered to Fort Whiting in anticipation of manning security check points</t>
  </si>
  <si>
    <t>SSG Ronald, I just arrived at my Armory in Brewton after receiving a phone call from the Baldwin County Sheriff's Office and a tree has fallen over on our south wall. There is a gaping hole now in our armory about 4'X6' wide and it is leaving the armory unsecure. I'm requesting guidance on what I need to do because the storm is really getting bad out here? Do I need to stay in the armory and secure it. Sherriff's office stated it is going to be impossible to provide an extra patrol with all that is happing.</t>
  </si>
  <si>
    <t>Evergreen Police Department reports that a citizen has walked into their office stating that a Soldier assaulted them in their vehicle at County Hwy 20 and I-65. Police Department states that it also appears the Soldier kicked in the right fender and light of  the citizens car. Assistant Police Chief Fitzgerald wants to know if we have Soldiers in that area? He is on his way out to the scene where the alleged assault occurred.</t>
  </si>
  <si>
    <t>Hi I'm MAJ Fitzgerald the Assistant Police Chief with the Evergreen Police Department. I just had a citizen arrive at our headquarters wishing to file a complaint on an Army Soldier. He stated he was attempting to take I-85 South heading towards Mobile to pick up his elderly Father and a Soldier stopped him and yelled "you need to turn your ass around". He stated that the Soldier then kicked his car, causing damage. He further stated he then got out of his vehicle and approached the Soldier and the Soldier struck him with a closed hand in the face. I'm now on my way out to the scene and just wanted to give you heads up on what has occurred. I take it you have Soldier's in the area doing that lane reversal?</t>
  </si>
  <si>
    <t>MAJ Berry (XO 1/117) to JTF-South - I just had one of my Soldiers contact me and he stated that he was at his assigned post conducting Contra flow Operations and vehicle refused to stop almost hitting him. He told me he kicked the front of the car to get the distracted drivers attention. He further stated that the driver became irate and jumped out the car, approaching him fast. He stated that he had reasonable apprehension that the citizen was going to strike him so he struck the driver in the face first. He stated that the driver then punched him in the ear and SPC Turncoat had to pull the driver off of him. He said the driver then walked back to his vehicle and stated he would sue him and the US Army for every penny they have and left the scene. I told him to stand fast and I would have his Platoon Leader in route to his location. I will provide more information when 1LT Johnson arrives at the scene.</t>
  </si>
  <si>
    <t>Reporter from the Montgomery Advertiser who also states he is a freelance writer for the associated press wants  to speak with Army Public Affairs in reference to Soldiers arrest in Evergreen. He stated he has already spoken with the Evergreen Police Department, the alleged assaulted citizen, and two witnesses (Soldier and Convenient Store Owner). He stated that he wants the Army National Guard official position and statement before he goes to press with the story.</t>
  </si>
  <si>
    <t>Hi this MAJ Fitzgerald again with the Evergreen PD and I just wanted to advise you that I had to get 10-15 (arrest) with your Soldier. I have a unit in route to headquarters with your Soldier. When I arrived at the scene I took his statement and a statement from SPC Judas Turncoat. They both contradicted each other and SPC Turncoat advised that SGT Fitzgerald initiated the whole the incident. I had the convenient store owner at the corner state that she also saw the whole incident and only witnessed SGT Green striking the citizen. When I advised your Soldier he was being placed in custody, he said, "This is bullshit you can't arrest me I'm on Federal Orders working for the Army" and "You have absolutely no jurisdiction over me". I then attempted to affect an arrest and he pushed me. It then took an additional unit, SPC Turncoat, and myself to handcuff him. During the course of affecting an arrest on him he was maced, and struck several times with a collapsible baton to get him subdued. The media is now at Police Headquarters wanting a statement on what occurred.</t>
  </si>
  <si>
    <t>E-mail</t>
  </si>
  <si>
    <t>The JOC is tracking a two vehicle convoy on MTS until they reach the first rest stop in Greenville.</t>
  </si>
  <si>
    <t>Ability to use alternative means for tracking convoy, such as; (Call in check-points)</t>
  </si>
  <si>
    <t>Two vehicles convoy of generator mechanics traveling from Brundidge to Mobile to repair a 100kw generator. The convoy movement is being tracked by MTS. After reaching Greenville, AL from that point on, the convoy isn't visible on MTS and the JOC receives no response on MTS messenger. - No SAT phone available. - Unaware of personnel cellular phone.</t>
  </si>
  <si>
    <t xml:space="preserve">
... HURRICANE AL ...NOW A CATEGORY THREE...SHIFTS NORTHWARD...
SUMMARY OF 2300 PM EDT...0300 UTC...INFORMATION
-----------------------------------------------
LOCATION...24.7N 88.3W
ABOUT 261 MILES...421 KM...NORTH-NORTHWEST OF CANCUN MEXICO
ABOUT 392 MILES...631 KM...WEST-NORTHWEST OF HAVANA CUBA
ABOUT 412 MILES...664 KM...SOUTH OF MOBILE ALABAMA
MAXIMUM SUSTAINED WINDS...120 MPH...193 KM/HR
PRESENT MOVEMENT...NNW OR 334 DEGREES AT 14 MPH...23 KM/HR
MINIMUM CENTRAL PRESSURE...960 MB...28.35 INCHES
</t>
  </si>
  <si>
    <t xml:space="preserve">
...HURRICANE AL MOVING TOWARD THE NEW ORLEANS...
SUMMARY OF 500 AM EDT...0900 UTC...INFORMATION
-----------------------------------------------
LOCATION...25.8N 88.8W
ABOUT 338 MILES...544 KM...SOUTH OF MOBILE ALABAMA
ABOUT 445 MILES...717 KM...WEST-NORTHWEST OF HAVANA CUBA
ABOUT 546 MILES...879 KM...EAST-SOUTHEAST OF CORPUS CHRISTI TEXAS
MAXIMUM SUSTAINED WINDS...120 MPH...193 KM/HR
PRESENT MOVEMENT...NORTHERLY OR 351 DEGREES AT 16 MPH...26 KM/HR
MINIMUM CENTRAL PRESSURE...959 MB...28.32 INCHES
</t>
  </si>
  <si>
    <t>High sustained wind from Hurricane AL damaged TF-South Warehouse facility, scattering several pallets of MRE's (approximately 5 pallets). Once TF-South request additional MRE's from DOL (J-4). The 5 ton truck transporting the MRE's to TF-South, Driver try</t>
  </si>
  <si>
    <t>After Hurricane AL made land fall near the Gulf Coast area of Mobile. The local weather advisory reported a Flash Flood Warning for Escambia County Alabama. The Burnt Corn Creek between HWY 41 and 49 near the town of Brewton, is forecasted to crest nearly</t>
  </si>
  <si>
    <t xml:space="preserve">
...HURRICANE AL REMAINS A CATEGORY ONE HURRICANE...OVER SOUTHERN ALABAMA AND THE FLORIDA PANHANDLE...
SUMMARY OF 500 PM EDT...2100 UTC...INFORMATION
-----------------------------------------------
LOCATION...31.7N 87.6W
ABOUT 78 MILES...126 KM...NORTH-</t>
  </si>
  <si>
    <t>Request 900 MREs, 100 cots, and 100 blankets to be prepositioned at Fort Whiting, Mobile AL.</t>
  </si>
  <si>
    <t>INFO - KC-135 Crash</t>
  </si>
  <si>
    <t>Follow-Up Report on KC-135 Crash (from 117th Operations to Air ATAG)</t>
  </si>
  <si>
    <t>Initial Report of KC-135 Crash in Birmingham (soldier calls in to report that it is on the news)</t>
  </si>
  <si>
    <t>Follow-Up Report on KC-135 Crash (from 117th Operations to Air ATAG) concerning radioactive materials found on aircraft</t>
  </si>
  <si>
    <t xml:space="preserve">
...HURRICANE AL SLOWS NEAR MOBILE ALABAMA...
SUMMARY OF 1100 AM EDT...1500 UTC...INFORMATION
-----------------------------------------------
LOCATION...30.9N 88.1W
ABOUT 14 MILES...23 KM...NORTH OF MOBILE ALABAMA
ABOUT 134 MILES...216 KM...NORTHEAST OF NEW ORLEANS LOUISIANA 
ABOUT 145 MILES...232 KM...SOUTHWEST OF MONTGOMERY ALABAMA
MAXIMUM SUSTAINED WINDS...115 MPH...169 KM/HR
PRESENT MOVEMENT...NORTHERLY OR 23 DEGREES AT 9 MPH...14 KM/HR
MINIMUM CENTRAL PRESSURE 962 MB...28.41 INCHES
</t>
  </si>
  <si>
    <t xml:space="preserve">
...HURRICANE AL REMAINS A CATEGORY ONE HURRICANE...OVER SOUTHERN ALABAMA AND THE FLORIDA PANHANDLE...
SUMMARY OF 500 PM EDT...2100 UTC...INFORMATION
-----------------------------------------------
LOCATION...31.7N 87.6W
ABOUT 78 MILES...126 KM...NORTH-NORTHEAST OF MOBILE ALABAMA
ABOUT 87 MILES...140 KM...SOUTHWEST OF MONTGOMERY ALABAMA
ABOUT 132 MILES...213 KM...SOUTHEAST OF BIRMINGHAM ALABAMA 
MAXIMUM SUSTAINED WINDS...85 MPH...169 KM/HR
PRESENT MOVEMENT...NORTHERLY OR 39 DEGREES AT 9 MPH...14 KM/HR
MINIMUM CENTRAL PRESSURE 982 MB...29.0 INCHES
</t>
  </si>
  <si>
    <t>USPFO  Warehouse to push 20 pallets of MREs and 20 pallets of bottled water to Ft McClellan, AL (pre-positioning for soldier support).</t>
  </si>
  <si>
    <t>USPFO  Warehouse to push 20 pallets of MREs and 20 pallets of bottled water to Ft Whiting, Mobile, AL (pre-positioning for soldier support).</t>
  </si>
  <si>
    <t>JOC J4</t>
  </si>
  <si>
    <t>USPFO Warehouse SOP, SA only</t>
  </si>
  <si>
    <t>USPFO, S&amp;S</t>
  </si>
  <si>
    <t>Army National Guard CAT requests Alabama review resources available, specifically UH 60/CH 47 BN and BDE level multipurpose purpose  task forces.</t>
  </si>
  <si>
    <t>JIEE or Email</t>
  </si>
  <si>
    <t>ARNG CAT</t>
  </si>
  <si>
    <t>AEMA Director contacts AL TAG/J3 to discuss hurricane response planning/operations.  AEMA Director states that they are making preliminary plans for possible Alex response operations. Suggests issuing warning orders to MACOMs for potential in-state response operations.</t>
  </si>
  <si>
    <t>AL J3</t>
  </si>
  <si>
    <t>AEMA Contacts JOC</t>
  </si>
  <si>
    <t xml:space="preserve">AL Governor issues declares State of Emergency </t>
  </si>
  <si>
    <t>EMITS</t>
  </si>
  <si>
    <t>SERT (AL)Team</t>
  </si>
  <si>
    <t>Army National Guard CAT requests Alabama review resources available IOT support MSNG 3X UH60.</t>
  </si>
  <si>
    <t>BPT establish ONE LSA Brookley Field, Mobile, requires 20 PAX, 24hrs operations duration of support TBD.</t>
  </si>
  <si>
    <t>BPT establish and staff 15 PODs at Mobile and Baldwin counties</t>
  </si>
  <si>
    <t>Provide support to SERT (AL)LOG Chief in SEOC (AL)</t>
  </si>
  <si>
    <t>TF South gets notification of pending activation</t>
  </si>
  <si>
    <t>Provide meteorological services to SEOC (AL)</t>
  </si>
  <si>
    <t>Provide SAR Planner to SEOC (AL) ESF 9</t>
  </si>
  <si>
    <t>BPT support Aviation assets to assist with SAR</t>
  </si>
  <si>
    <t>BPT provide Comms to affected areas EOCs</t>
  </si>
  <si>
    <t>BPT to provide 3000 Soldiers for security operations in South and Central Alabama; locations TBD.  Request units be self sustaining.</t>
  </si>
  <si>
    <t>USPFO - ADP requests a 30 KW generator to be positioned at the USPFO building to maintain computer connectivity for AL Nat Guard.</t>
  </si>
  <si>
    <t>BPT provide Engineer assets for re-entry and debris operations  in affected counties.</t>
  </si>
  <si>
    <t>DOT through AEMA requests information on availability of 100 soldiers and 50 vehicles for assistance in implementing the I-65 Lane Reversal Contingency Plan.</t>
  </si>
  <si>
    <t xml:space="preserve">AEMA Teleconference </t>
  </si>
  <si>
    <t>9</t>
  </si>
  <si>
    <t>Governor Orders Evacuation of Dauphin Island and Gulf Shores</t>
  </si>
  <si>
    <t>Landfall</t>
  </si>
  <si>
    <t>JTF-S</t>
  </si>
  <si>
    <t>Director AEMA</t>
  </si>
  <si>
    <t>MISSION</t>
  </si>
  <si>
    <t>AEMA ESF 7</t>
  </si>
  <si>
    <t>AEMA ESF 9</t>
  </si>
  <si>
    <t>AEMA ESF 5</t>
  </si>
  <si>
    <t>White Cell - AEMA</t>
  </si>
  <si>
    <t>AEMA ESF 13</t>
  </si>
  <si>
    <t>AEMA requests dispatch of NG LNOs to County EOCs  by 1200 19 May 2009.</t>
  </si>
  <si>
    <t>Baldwin County Sheriff requests 250 Soldiers for site security and traffic control. Soldiers will right seat ride with local Law Enforcement personnel</t>
  </si>
  <si>
    <t>Mobile County Sheriff requests 250 Soldiers for site security and traffic control. Soldiers will right seat ride with local Law Enforcement personnel</t>
  </si>
  <si>
    <t>AEMA Preparations for JTF Standup</t>
  </si>
  <si>
    <t>AEMA ESF ___</t>
  </si>
  <si>
    <t xml:space="preserve">Establish and run LSA Greyhound Park Mobile, AL </t>
  </si>
  <si>
    <t>Request aviation for aerial assessment of affect AO.  20 PAX</t>
  </si>
  <si>
    <t xml:space="preserve">Deploy 3ea 100KW Gen to Mobile County Hospitals, Mobile Infirmary, Mobile Womens and Childrens, Spring Hill Dialysis Center. </t>
  </si>
  <si>
    <t xml:space="preserve">Deploy 3ea 100KW Gen to Baldwin County Hospital, Thomas (Fairhope), Foley (South Baldwin), Foley Dialysis Center, Foley. </t>
  </si>
  <si>
    <t>Provide 15 soldiers to assist with loading and orderly evacuation of 85 patients at Thomas Hospital in Fairhope due to power/water outages. Mission duration is 12 hrs</t>
  </si>
  <si>
    <t>Provide 25 soldiers to assist with loading and orderly evacuation 150 patients at Springhill Medical Center in Mobile due to power/water outages. Mission duration is 12 hrs</t>
  </si>
  <si>
    <t>Provide 10 soldiers to assist with the loading and evacuation of 40 patients at South Baldwin Regional Center in Foley due to power/water outages. Mission duration is 12 hrs</t>
  </si>
  <si>
    <t>Provide 15 Soldiers to assist with evacuating 60 patients at Mercy Medical in Daphne due to power/water outages. Mission duration 12 hrs</t>
  </si>
  <si>
    <t xml:space="preserve">Transport food, water, and ice from LSA Brookley Field to LSA's located in Mobile and Baldwin Counties.  Commodities to move are 400 Pallets of MRE, 500 Pallets of water, 100 Pallets of Ice, this will be a LOG Push mission daily.  Mission duration is TBD.    </t>
  </si>
  <si>
    <t>Presidential Disaster Declaration</t>
  </si>
  <si>
    <t>White Cell thru AEMA</t>
  </si>
  <si>
    <t>AEMA request NG assistance in providing fuel trucks, and recovery vehicles to assist stranded evacuees along Hwy 43 between Salco and Jackson.</t>
  </si>
  <si>
    <t>AEMA officials report 70% successful evacuation for Mobile and Baldwin counties.</t>
  </si>
  <si>
    <t>AEMA requests rotary wing assets for Governor and State Officials to observe storm damage.  Positioned NLT 1800 19 May 2009.  Duration 7 days.  Expect 12-15 pax per sortie.</t>
  </si>
  <si>
    <t>White Cell - Mobile EOC/JTF-S</t>
  </si>
  <si>
    <t>Mobile County EOC reports the Mobile Convention and Visitor Center has 2500 people waiting to be evacuated and water/food supplies are low.  Request is for immediate transportation</t>
  </si>
  <si>
    <t>AEMA issues mission for 200 personnel to assist with sandbagging in Mobile; anticipate mission duration of 24 hours.</t>
  </si>
  <si>
    <t>INFO</t>
  </si>
  <si>
    <t>P McDonald</t>
  </si>
  <si>
    <t>NG LNO's to State EOC by 0700 4 May 10</t>
  </si>
  <si>
    <t xml:space="preserve">LNO to SEOC </t>
  </si>
  <si>
    <t>Not Injected - MSEL Planning Info only</t>
  </si>
  <si>
    <t>J-1 / Safety - Begin statewide push on Hurricane and Tornado</t>
  </si>
  <si>
    <t>J-1 / Strength - Review J-1 / Medical, Avn/Trans, EN, MP, LG and SIG/IT Personnel Assets</t>
  </si>
  <si>
    <t>J-4  / Class I - Review MRE DOS, ensure sufficient 2 DOS per JTF</t>
  </si>
  <si>
    <t>J-4  / Class III - Link up with SPDOF and verify that fuel contracts listed are valid</t>
  </si>
  <si>
    <t>J-4  / Class IX - Verify status of CL IX push package.  Verify maint status of equipement</t>
  </si>
  <si>
    <t>J-4  / Class V - Review requirements with FMARNGTC ATP.  Verify sufficient on hand</t>
  </si>
  <si>
    <t>J-4  / Class VII - Review initial density report.  Determine shortages and X-Level</t>
  </si>
  <si>
    <t>J-4  / Class VIII - Review quantities available, specifically IV fluids for CLS Bags</t>
  </si>
  <si>
    <t>J-4 / Class II - Inventory DERT, note shortages and makeup shortages</t>
  </si>
  <si>
    <t>J-4 / Misc Funding - Review available funds for use during contingency operations.  Monitor funding levels.</t>
  </si>
  <si>
    <t>J-4 / Transportation - Prepare to issue convoy orders to affected units to strike sector.  Verify status of enablers</t>
  </si>
  <si>
    <t>117 ARW - Inventory DR assets</t>
  </si>
  <si>
    <t>20 SF - Place SAR Tm on Alert, ID additional 20th Volunteers, Pre-Mission Checks on J-4 / Transportation and critical log</t>
  </si>
  <si>
    <t>EOC/JOC - Place units on REDCON 3 
BPT activate FOSA at MAFB</t>
  </si>
  <si>
    <t>J-1 / Medical - Review Out of State Personnel Assets</t>
  </si>
  <si>
    <t>J-1 / Strength - Review Out of State Personnel Assets</t>
  </si>
  <si>
    <t>J-4  / Class IX - Continue to take necessary action to bring DSCA centric equipment to FMC</t>
  </si>
  <si>
    <t>20 SF - Dispatch LNO to State JOC, Cooridnate with 131st AVN</t>
  </si>
  <si>
    <t>AEMA SEOC - Alert Alabama Mutual Aid System and County Liaisons</t>
  </si>
  <si>
    <t>AEMA SEOC -Activate Logistics Staging at Maxwell AFB</t>
  </si>
  <si>
    <t>AEMA SEOC -Activate Resource Contracts for Security, Food, Ice and Water</t>
  </si>
  <si>
    <t>AEMA SEOC -Begin Opening Shelters</t>
  </si>
  <si>
    <t>AEMA SEOC -Begin Public Information Briefings</t>
  </si>
  <si>
    <t>AEMA SEOC -Begin Twice Daily Situation Updates</t>
  </si>
  <si>
    <t>AEMA SEOC -Participate in FEMA and Hurricane Liaison Team Conference Calls</t>
  </si>
  <si>
    <t>AEMA SEOC -Request Shelter Generators</t>
  </si>
  <si>
    <t>AEMA SEOC -SEOC Activates at Level Three</t>
  </si>
  <si>
    <t>AEMA SEOC -Voluntary Evacuation Planning Initiated</t>
  </si>
  <si>
    <t>EOC/JOC - Begin attending AL EMA &amp; NGB Teleconferences
Assume ABS 3</t>
  </si>
  <si>
    <t>J-1 / Family Readiness - Publish POC list to state for FRG Coord down range</t>
  </si>
  <si>
    <t>J-1 / Medical - Initial Roster of CLS Qualified personnel</t>
  </si>
  <si>
    <t>J-1 / Strength - Initial Battle Roster for first look at possible cross leveling</t>
  </si>
  <si>
    <t>LNO'S - ALERT LNOs</t>
  </si>
  <si>
    <t xml:space="preserve"> J-6 - Alert JISCC</t>
  </si>
  <si>
    <t>AEMA SEOC - Begin Incident Action Plan</t>
  </si>
  <si>
    <t>AEMA SEOC - Deploy Communications Vans</t>
  </si>
  <si>
    <t>AEMA SEOC - Deploy County Liaisons</t>
  </si>
  <si>
    <t>AEMA SEOC - Establish Unified Command</t>
  </si>
  <si>
    <t>AEMA SEOC - Initiate Voluntary Evacuations</t>
  </si>
  <si>
    <t>AEMA SEOC - Plan Back-Up Communications</t>
  </si>
  <si>
    <t>AEMA SEOC - Receive FEMA Emergency Response Team</t>
  </si>
  <si>
    <t>AEMA SEOC -SEOC Activates at Level Two</t>
  </si>
  <si>
    <t>EOC/JOC - Request JET TM 1 from NGB JOC; activate JTF South JOC</t>
  </si>
  <si>
    <t>J-1 / Family Readiness - Alert Orders to units</t>
  </si>
  <si>
    <t>J-1 / Medical - Alert Orders to units</t>
  </si>
  <si>
    <t>J-1 / Safety - Alert Orders to units</t>
  </si>
  <si>
    <t>J-1 / Strength - Alert Orders to units / Request Battle Rosters</t>
  </si>
  <si>
    <t>LNO'S - Dispatch LNOs to AL EMA; Dispatched LOG Cell to EMA JOC</t>
  </si>
  <si>
    <t>167 TSC - 122d dispatches LNO's to JTFHQ</t>
  </si>
  <si>
    <t>20 SF - SAR Tm and additional assets report to HQ 20, Birmingham. Equipment pool assembles equipment</t>
  </si>
  <si>
    <t>AEMA SEOC - Establish County Liaisons</t>
  </si>
  <si>
    <t>AEMA SEOC - Mandatory Evacuation Plan Implemented</t>
  </si>
  <si>
    <t>AEMA SEOC - Open Shelters</t>
  </si>
  <si>
    <t>AEMA SEOC - Position Logistics Commodities</t>
  </si>
  <si>
    <t>AEMA SEOC - Pre-Position Resources (Agency, Mutual Aid, EMAC)</t>
  </si>
  <si>
    <t>AEMA SEOC - SEOC Activates at Level One</t>
  </si>
  <si>
    <t>EOC/JOC - Assume ABS 2; Conduct link up with DCO and EPLOs; place initial units on REDCON 2</t>
  </si>
  <si>
    <t>J-1 / Family Readiness - Initial Warning Order for extra FRG support</t>
  </si>
  <si>
    <t>J-1 / Medical - Advance Party placed on orders</t>
  </si>
  <si>
    <t>J-1 / Safety - Begin statewide push on Water J-1 / Safety, Disease, Animals, etc.</t>
  </si>
  <si>
    <t>J-1 / Strength - Advance Party placed on orders</t>
  </si>
  <si>
    <t>J-4 / Class I - Release 2 DOS MRE to JTF units
M-M-M</t>
  </si>
  <si>
    <t>J-4 / Class II - Release DERT</t>
  </si>
  <si>
    <t>J-4 / Class III - All JTF vehicles are filled up using unit assets.  Fill tankers after recording starting balance</t>
  </si>
  <si>
    <t>J-4 / Class IX - Release CL IX push package to FMSs within potential strike sector</t>
  </si>
  <si>
    <t>J-4 / Class V - Issue basic load 5.56/9mm to JTF units</t>
  </si>
  <si>
    <t>J-4 / Class VIII - Issue IV bags/fill CLS bags for JTF units</t>
  </si>
  <si>
    <t>J-4 / Transportation - Verify Trafficability of convoy routes.  Conduct 'net call' for MTS systems</t>
  </si>
  <si>
    <t>LNO'S - Attend teleconferences and liaison</t>
  </si>
  <si>
    <t xml:space="preserve">167 TSC - Units report to Homestation and begin mission planning and PCC/PCIs </t>
  </si>
  <si>
    <t>187 FW - Monitor situation/Prepare for JOC tasking, as required</t>
  </si>
  <si>
    <t>20 SF - Mission Planning and Equipment prep</t>
  </si>
  <si>
    <t>EOC/JOC - Place initial units on REDCON 1</t>
  </si>
  <si>
    <t>J-4 / Transportation - Monitor Convoy Movements using MTS</t>
  </si>
  <si>
    <t>J-6 - Deploy JISCC</t>
  </si>
  <si>
    <t>LNO'S - Liaison</t>
  </si>
  <si>
    <t>117 ARW - Place CAT personnel on stand-by</t>
  </si>
  <si>
    <t>187 FW - Implement HurCon 2 Checklist (CEMP 10-2)</t>
  </si>
  <si>
    <t>20 SF - SAR Tm and 131 mission planning and rehearsals. 20th TOC operational 24/7</t>
  </si>
  <si>
    <t>AEMA SEOC - Evacuations Completed</t>
  </si>
  <si>
    <t>EOC/JOC - Assume ABS 1</t>
  </si>
  <si>
    <t xml:space="preserve">J-1 / Family Readiness -  State contact made with unit POCs in the projected path </t>
  </si>
  <si>
    <t>J-1 / Medical - Place units on State Orders</t>
  </si>
  <si>
    <t>J-1 / Safety - Push J-1 / Safety issues with mission to units on movement and equipment maint</t>
  </si>
  <si>
    <t>J-1 / Strength - Place units on State Orders</t>
  </si>
  <si>
    <t>J-6 - Publish Initial Phone Book</t>
  </si>
  <si>
    <t>167 TSC - Units begin movement to predesignated locations</t>
  </si>
  <si>
    <t>187 FW - Implement HurCon 1 Checklist (CEMP 10-2)</t>
  </si>
  <si>
    <t>20 SF - SAR Tm and 131 on call from TF South. BPT provide additional assets as needed</t>
  </si>
  <si>
    <t>J-1 / Medical - Push CLS assets with FLEs</t>
  </si>
  <si>
    <t xml:space="preserve">J-1 / Strength - Push FLEs out to safe zones </t>
  </si>
  <si>
    <t>167 TSC - Units OPCON to assigned JTF/TF</t>
  </si>
  <si>
    <t>187 FW - Monitor situation</t>
  </si>
  <si>
    <t>AEMA SEOC - Begin County SITREP Calls</t>
  </si>
  <si>
    <t>AEMA SEOC - Continue FEMA Conference Calls</t>
  </si>
  <si>
    <t>AEMA SEOC - Deploy Resources</t>
  </si>
  <si>
    <t>AEMA SEOC - Establish Recovery Section</t>
  </si>
  <si>
    <t>AEMA SEOC - Execute Receiving and Distribution Logistics System</t>
  </si>
  <si>
    <t>AEMA SEOC - Identify Electrical Generator Requirements</t>
  </si>
  <si>
    <t>AEMA SEOC - Integrate FEMA Emergency Response Team (ERT), Unified Command Plan</t>
  </si>
  <si>
    <t>AEMA SEOC - SEOC Operational</t>
  </si>
  <si>
    <t>AEMA SEOC - Statewide Damage Assessment</t>
  </si>
  <si>
    <t>187 FW - Implement Recovery checklist/Respond to JOC tasking</t>
  </si>
  <si>
    <t>EOC/JOC - Place Follow-on Forces at REDCON 2</t>
  </si>
  <si>
    <t xml:space="preserve">J-1 / Family Readiness -  State contact made with unit POCs in the path </t>
  </si>
  <si>
    <t>J-1 / Medical - Re-Supply and/or CLS push to field</t>
  </si>
  <si>
    <t>J-1 / Safety -Safety Officers on ground to assess safe or unsafe areas</t>
  </si>
  <si>
    <t>J-1 / Strength -Strength Reports</t>
  </si>
  <si>
    <t>J-4 / Class I - Verify feeding contracts are still valid after landfall.
Release MREs as needed
A-M-A</t>
  </si>
  <si>
    <t>J-4 / Class III - Monitor fuel usage during operations.  X-Level additional fuel assets where needed.</t>
  </si>
  <si>
    <t>J-4 / Class IX - Monitor Slant Reports for NMC vehicles.  Take action to assist</t>
  </si>
  <si>
    <t>J-4 / Class VII - Monitor usage and expenditure, X-Level additional equipment as necessary.</t>
  </si>
  <si>
    <t>J-4 / Class VIII - Monitor CL VIII usage, determine consumption rate, prep for resupply where needed.</t>
  </si>
  <si>
    <t>Time</t>
  </si>
  <si>
    <t>The State Emergency Response Team (SERT) is recalled to the State Emergency Operations Center (SEOC (AL)) and activated at Level 1 effective XXXXXXXXX.</t>
  </si>
  <si>
    <t>Jenne</t>
  </si>
  <si>
    <t>Company commander requests guidance on soldier</t>
  </si>
  <si>
    <t>Phone Call</t>
  </si>
  <si>
    <t>JTF-S White Cell (subordinnate commander)</t>
  </si>
  <si>
    <t>JTF-S WC</t>
  </si>
  <si>
    <t>226 MEB</t>
  </si>
  <si>
    <t>Holman Prison Blues</t>
  </si>
  <si>
    <t>Gulf Shores police report confrontation with motorcycle gang</t>
  </si>
  <si>
    <t>E-Mail</t>
  </si>
  <si>
    <t>SEOC Department of Public Safety LNO</t>
  </si>
  <si>
    <t>SEOC LNO</t>
  </si>
  <si>
    <t>JOC Message Center</t>
  </si>
  <si>
    <t>SEOC LNO calls in "heads up" notification that DOC may request Guard assistance at Holman Prison</t>
  </si>
  <si>
    <t>J-3</t>
  </si>
  <si>
    <t>Armored cars stolen in Mobile</t>
  </si>
  <si>
    <t>SEOC requests contingency study on providing security assistance at Holman Prison</t>
  </si>
  <si>
    <t>EMITS request to provide security assistance to Holman Prison</t>
  </si>
  <si>
    <t>Request is for company-sized element (100 -150 personnel) to establish VCPs, roadblocks and blocking positions on external perimeter to prevent external forces from entering prison compound and providing assistance to prisoners.  Force must be configured to physically stop vehicles (including armored cars).  Request indicates potential for follow-on mission within prison to assist guards in physically segregating prisoners.  Status is SAD; anticipated duration is 72 hours.</t>
  </si>
  <si>
    <t>ENDEX</t>
  </si>
  <si>
    <t>Hicks</t>
  </si>
  <si>
    <t>Use of Total Force (Interstate), EMAC, funding</t>
  </si>
  <si>
    <t>Civil/Military relations &amp; procurement of Kosher MRE’s</t>
  </si>
  <si>
    <t>A Battalion commander reports his unit chaplain cannot be contacted. As a replacement he wants to bring with the unit his civilian pastor to do the chaplain work</t>
  </si>
  <si>
    <t>Request to pre-position a chaplain at a Red Cross shelter where people are already gathering.  Need: for religious services and spiritual presence</t>
  </si>
  <si>
    <t>An Army unit needs a chaplain because their chaplain is deployed. Closest available ARNG chaplain lives in the Florida panhandle and is in the FL guard.  Can he be used and how?</t>
  </si>
  <si>
    <t>Overnight, looters break into the chaplain van stealing communion wine and cases of MRE’s including Kosher and Hallal MRE’s (For Jewish &amp; Muslim soldiers)</t>
  </si>
  <si>
    <t>Baptist Home for the Elderly request a UMT (unit ministry team) to help evacuate members to another location.  UMT team are Baptists and want to help.</t>
  </si>
  <si>
    <t>A pre-positioned Chaplain Assistant (CA) begins uncontrollable vomiting</t>
  </si>
  <si>
    <t>A retired ARNG chaplain offers his church to house a UMT; the local unit Commander knows the pastor and makes the request to Joint Force Chaplain.</t>
  </si>
  <si>
    <t>Joint Force Chaplain cannot get to HQ due to reverse traffic issues on I-65. In his absence, who is second in command at HQ.  Second highest grade? Officer or Enlisted, ANG or ARNG?</t>
  </si>
  <si>
    <t>An Air Force Active Duty Chaplain is stranded in a shelter and volunteers to offer his assistance to the Guard in the hurricane aftermath. Can he be used?</t>
  </si>
  <si>
    <t>Jewish civilians at the Red Cross shelter have no kosher food and have ask the ARNG chaplain for assistance in obtaining some of theirs. Can these be given to the civilians and how can they be obtained?</t>
  </si>
  <si>
    <t>Evaluate request on four-fold test with interface with J-4</t>
  </si>
  <si>
    <t xml:space="preserve">JF Chaplain deny his help and refer him to his own
  base and chain of command.
</t>
  </si>
  <si>
    <t>Second highest grade should be contacted</t>
  </si>
  <si>
    <t>JF chaplain should deny request; Chaplain should be with his troops.</t>
  </si>
  <si>
    <t>Contact Medical and work backfill for CA</t>
  </si>
  <si>
    <t>Evaluate request according the four-fold protocol</t>
  </si>
  <si>
    <t>Contact MP’s;  Request re-supply from J-4</t>
  </si>
  <si>
    <t>Contact J-1 to work issue</t>
  </si>
  <si>
    <t>Evaluate on basis of NGB four-fold test</t>
  </si>
  <si>
    <t>Deny request &amp; cover with chaplain from another unit</t>
  </si>
  <si>
    <t>White Cell Chaplian</t>
  </si>
  <si>
    <t>Followup to Chaplian inject for shelter and looters.</t>
  </si>
  <si>
    <t>Marshall Co EOC requests Arab and Albertville armories opened to DP expected to begin arriving 2100hrs 5 May 2009.</t>
  </si>
  <si>
    <t>AEMA requests activating 1300 additional Guardsmen for initial hurricane response force.</t>
  </si>
  <si>
    <t>BPT to provide airlift of Gov and his key staff for aerial assessment on or about 6 May 10</t>
  </si>
  <si>
    <t xml:space="preserve">
...HURRICANE AL SLOWS NEAR MOBILE ALABAMA...
SUMMARY OF 1100 AM EDT...1500 UTC...INFORMATION
-----------------------------------------------
LOCATION...30.9N 88.1W
ABOUT 14 MILES...23 KM...NORTH OF MOBILE ALABAMA
ABOUT 134 MILES...216 KM...NORTHEAST OF</t>
  </si>
  <si>
    <t>After Hurricane AL made landfall near the gulf coast area of Mobile. The local area Emergency Manager(EM) reported minor damage to a nursing home and a medical center in Pritchard, Alabama. Both the nursing home and medical center are without electricity.</t>
  </si>
  <si>
    <t>Transport food, water, and ice from LSA Brookley Field to LSA's located in Mobile and Baldwin Counties.  Commodities to move are 400 Pallets of MRE, 500 Pallets of water, 100 Pallets of Ice, this will be a LOG Push mission daily.  Mission duration is TBD.</t>
  </si>
  <si>
    <t>Baldwin County request ALNG to man and operate the following POD sites beginning at 0800 7 May 10.  Duration 7 days, POC is County ESF 7 Mr. Bouie.
Bay Minette
First Baptist Church of Bay Minette, 1201 Hand Avenue
Labor Personnel: 10-12.  POD Equipment Needed:  1X tent.  Security Personnel. None.  
Operational Hours: 8-10
Daphne
Daphne Civic Center, 2603 Highway 98
Labor Personnel: 40.  POD Equipment Needed:  None.  Security Personnel. None.  
Operational Hours: 12
Elberta
Elberta Fire Department, 13120 Illinois Street
Labor Personnel: 12.  POD Equipment Needed:  None.  Security Personnel. None.  
Operational Hours: 10
Fairhope
Fairhope - Volanta Ball Park, Volanta Ave.
Labor Personnel: 40.  POD Equipment Needed:  None.  Security Personnel. None.  
Operational Hours: 12
Foley
Tanger Factory Outlet Center, 2601 McKenzie Street
Labor Personnel: 40.  POD Equipment Needed:  1X tent, 1X light set.  Security Personnel. None.  Operational Hours: 12
Gulf Shores
Sports Complex, 19025 Oak Road West
Labor Personnel: 40.  POD Equipment Needed:  forklift operator.  
Security Personnel. None.  Operational Hours: 12</t>
  </si>
  <si>
    <t xml:space="preserve">Escambia County request ALNG to man and operate the following POD sites beginning at 0800 7 May 10.  Duration 8 days, POC is County ESF 7 Mrs. Evans.
Brewton
Old North Brewton Elem School Bldg, 41960 Highway 31 North
Labor Personnel: 40.  POD Equipment Needed:  None.  
Security Personnel. 0.  Operational Hours: 12
East Brewton
Ridge Road Baptist Church, 3600 Ridge Road
Labor Personnel: 20.  POD Equipment Needed:  None.  
Security Personnel. 0.  Operational Hours: 8-10
</t>
  </si>
  <si>
    <t>City Official Request</t>
  </si>
  <si>
    <t>JOC</t>
  </si>
  <si>
    <t xml:space="preserve">County EOC generator in working time to fix unknown </t>
  </si>
  <si>
    <t>Should refer this request to State EOC</t>
  </si>
  <si>
    <r>
      <t>SimCell</t>
    </r>
    <r>
      <rPr>
        <sz val="10"/>
        <color indexed="10"/>
        <rFont val="Arial"/>
        <family val="2"/>
      </rPr>
      <t xml:space="preserve"> (LEA)</t>
    </r>
  </si>
  <si>
    <t>Sheriff Deputy</t>
  </si>
  <si>
    <t>Sheriff deputy is Guards M-day officer requests evacuation assistance</t>
  </si>
  <si>
    <t>Mayor wants a National Guard presence in a low impacted area Sees national guard in all the cities but hers</t>
  </si>
  <si>
    <t>Refer request to state, PAO may be invovled to prepare a response in advance for the media</t>
  </si>
  <si>
    <t xml:space="preserve">Phone </t>
  </si>
  <si>
    <t>White Cell - JTF South</t>
  </si>
  <si>
    <t>Hospital</t>
  </si>
  <si>
    <t>JTF South</t>
  </si>
  <si>
    <t>Emergency Room Entrance Blocked. Hospital Administrator askes for help to clear route</t>
  </si>
  <si>
    <t xml:space="preserve">JTF should call in report and JOC call state EOC </t>
  </si>
  <si>
    <t>RFA</t>
  </si>
  <si>
    <t>Deployed LNO</t>
  </si>
  <si>
    <t xml:space="preserve">LNO Deployed and has been using personal Cell phone. Requests Cell phone activation/ purchase/ issuance </t>
  </si>
  <si>
    <t>J6 should be involved for solution. Personal Cell phonoe use for missions should not be used if possible.</t>
  </si>
  <si>
    <t>Rental car request</t>
  </si>
  <si>
    <t xml:space="preserve">LNO Deployed and has been tasked with an LNO mission and asking for rental car authorization  </t>
  </si>
  <si>
    <t>State policy prevals.  Military vehicles my be used for missions but this mission the Vehicles will be sitting a county EOCs</t>
  </si>
  <si>
    <t>SIR should be developed/ NGB notified/ TAG/ PAO/  CCIR tracking established</t>
  </si>
  <si>
    <t>JTF</t>
  </si>
  <si>
    <t>Need NLWS for security mission</t>
  </si>
  <si>
    <t>MRE request</t>
  </si>
  <si>
    <t xml:space="preserve"> HMMWV Roll over</t>
  </si>
  <si>
    <t>SIR</t>
  </si>
  <si>
    <t>Hydroplane into ditch due to high speed of travel and bad road conditions.  Soldiers hurt</t>
  </si>
  <si>
    <t>HMMWV Roll over Report</t>
  </si>
  <si>
    <r>
      <t xml:space="preserve">SimCell                            </t>
    </r>
    <r>
      <rPr>
        <sz val="10"/>
        <color indexed="10"/>
        <rFont val="Arial"/>
        <family val="2"/>
      </rPr>
      <t xml:space="preserve"> (NEWS Agency)</t>
    </r>
  </si>
  <si>
    <t>Local NEWS Reporter</t>
  </si>
  <si>
    <t>Accident of HMMWV and ask if trend due to second accident</t>
  </si>
  <si>
    <t>NEWS interview request</t>
  </si>
  <si>
    <r>
      <t xml:space="preserve">SimCell                           </t>
    </r>
    <r>
      <rPr>
        <sz val="10"/>
        <color indexed="10"/>
        <rFont val="Arial"/>
        <family val="2"/>
      </rPr>
      <t xml:space="preserve"> (NEWS Agency)</t>
    </r>
  </si>
  <si>
    <t>JTF/ JOC</t>
  </si>
  <si>
    <t>Asking for NEWS interview/ Human intrest story</t>
  </si>
  <si>
    <t>Armory Sanitation Backing up</t>
  </si>
  <si>
    <t>RFI/ Phone</t>
  </si>
  <si>
    <t>JOC, CFMO</t>
  </si>
  <si>
    <t>Armory used as staging area has no water or sanitation</t>
  </si>
  <si>
    <t>Phone / SIR</t>
  </si>
  <si>
    <t>local thug at gun point forces the surrender of weapon from Private while on guard duty. No one hurt Weapon and 10 rounds taken.</t>
  </si>
  <si>
    <t>Need Sandbags for damning and Road Barriers for Traffic control</t>
  </si>
  <si>
    <t>NGB</t>
  </si>
  <si>
    <t>Set up event and Share with NGB</t>
  </si>
  <si>
    <t>Request for JET</t>
  </si>
  <si>
    <t>JIEE</t>
  </si>
  <si>
    <t>Does the JOC need a JET or PARRT</t>
  </si>
  <si>
    <t>DCO</t>
  </si>
  <si>
    <t>Set NGB Confrenece call up</t>
  </si>
  <si>
    <t>Sharing of NGB Battle Rhythm with other impacted States</t>
  </si>
  <si>
    <t>Kahl</t>
  </si>
  <si>
    <t>A phone call from the wastewater treatment plant (WWTP) superintendent to the public works manager is made. The backup generator has just failed at the WWTP, and upon inspection, a new main rotor is required. He will put a call in to the supplier. In the meantime, the equalization basin is starting to become full and raw sewage will need to be discharged to the river. Superintendent calls local EM Director to advise.</t>
  </si>
  <si>
    <t>A second phone call from the WWTP superintendent to the EM Director is made. The generator parts supplier was called but they do not have the generator part in stock. Due to the storm, the delivery time will be delayed by at least 1-2 days.</t>
  </si>
  <si>
    <t>A news station reports that additional flooding and power outages continue to plague the city. At this time, police  and deputy sheriffs are evacuating residents from flooded areas to designated shelters.</t>
  </si>
  <si>
    <t>A phone call from the WTP to the water utility manager states that the treatment chemicals are running low.  Shipments have been delayed due to the storm.  Utility manager alerts EM Director to potential situation.</t>
  </si>
  <si>
    <t>Multiple news stations summarize the events occurring in the area during the storm (water shortage, evacuation, flooding, power outages, etc.).</t>
  </si>
  <si>
    <t>simcell-SEOC</t>
  </si>
  <si>
    <t>AEMA</t>
  </si>
  <si>
    <t>J35</t>
  </si>
  <si>
    <t>LNO Request</t>
  </si>
  <si>
    <t>Email Emits message'  AEMA SEOC Request ALNG Provide LNO to Mobile and Baldwin Cty EMAs.  Report to County EOC</t>
  </si>
  <si>
    <t>Messer</t>
  </si>
  <si>
    <t>SASO</t>
  </si>
  <si>
    <t>SASO Request</t>
  </si>
  <si>
    <t>EOC contacts 122CSG</t>
  </si>
  <si>
    <t>EOC contacts Troop Command</t>
  </si>
  <si>
    <t xml:space="preserve">Email Emits message'  AEMA SEOC Request ALNG Provide SASO to MAFB </t>
  </si>
  <si>
    <t>SEOC Log Cell</t>
  </si>
  <si>
    <t>SEOC Log Cell Request</t>
  </si>
  <si>
    <t>Email Emits message'  AEMA SEOC Request ALNG Provide SEOC Log Cell to Clanton Al.</t>
  </si>
  <si>
    <t>simcell-citizen</t>
  </si>
  <si>
    <t>citizen</t>
  </si>
  <si>
    <t>Message Center</t>
  </si>
  <si>
    <t>Report of Accident</t>
  </si>
  <si>
    <t>EOC RFIs MACOMS regarding report of accident/vehicles on road</t>
  </si>
  <si>
    <t>Citizen:  I am a retired ARNG member and I just say one of your Humvee's run a stop sign and hit a mini van, and flipped it and it ran off the road.  I didn't see anyone get out of either vehicle.  I have called 911, just thought you guys wanted to know.</t>
  </si>
  <si>
    <t>MVC/ Fatality</t>
  </si>
  <si>
    <t>Unannounced media at front gate</t>
  </si>
  <si>
    <t>Simcell - Gate Guard</t>
  </si>
  <si>
    <t>Gate Guard</t>
  </si>
  <si>
    <t>MSG CTR</t>
  </si>
  <si>
    <t>MSG CTR informs AFP officer &amp; PAO</t>
  </si>
  <si>
    <t>Some media has just arrived wanting to talk with TAG about upcoming hurricane and what the Guard is going to do.</t>
  </si>
  <si>
    <t>Bachus</t>
  </si>
  <si>
    <t>Simcell-Gate Guard</t>
  </si>
  <si>
    <t>I just witnessed an accident at the gate in which a large truck  was hit by a civilian car. What should I do?</t>
  </si>
  <si>
    <t>MSG CTR reports to J3/ who calls 911?</t>
  </si>
  <si>
    <t>J1</t>
  </si>
  <si>
    <t>simcell-EOC</t>
  </si>
  <si>
    <t>EOC</t>
  </si>
  <si>
    <t>J1 informs TAG &amp; J3</t>
  </si>
  <si>
    <t xml:space="preserve">Just received notification that several Soldiers were involved in an attack and several were injured or  killed currently waiting on their status. NOK processed started. </t>
  </si>
  <si>
    <t>MSG CTR/TAG</t>
  </si>
  <si>
    <t>MSG CTR informs TAG/Sr. Staff/JOC</t>
  </si>
  <si>
    <t xml:space="preserve">The Governor of Alabama has issued a declaration of emergency for Mobile, Baldwin and surrounding counties.  </t>
  </si>
  <si>
    <t>Governor orders Contra-flow of I-65</t>
  </si>
  <si>
    <t>email</t>
  </si>
  <si>
    <t>FRAGO to 62nd Troop Command</t>
  </si>
  <si>
    <t>Contra Flow</t>
  </si>
  <si>
    <t>simcell_LNO</t>
  </si>
  <si>
    <t>SEOC/LNO</t>
  </si>
  <si>
    <t>WARNO to 62nd Troop Command</t>
  </si>
  <si>
    <t>SEOC</t>
  </si>
  <si>
    <t xml:space="preserve">
...FIRST TROPICAL STORM OF THE SEASON...AL NEARS THE COAST OF NICARAGUA...
SUMMARY OF 1100 AM EDT...1500 UTC...INFORMATION
-----------------------------------------------
LOCATION...14.9N 74.9W
ABOUT 220 MILES...354 KM...SOUTH SOUTHEAST OF KINGSTON JAMAICA 
ABOUT 280 MILES...450 KM...NORTH OF BARRANQUILLA COLUMBIA 
ABOUT 510 MILES...820 KM...NORTHEAST OF PANAMA CITY PANAMA
MAXIMUM SUSTAINED WINDS...45 MPH...39 KM/HR
PRESENT MOVEMENT...WNW OR 276 DEGREES AT 15 MPH...24 KM/HR
MINIMUM CENTRAL PRESSURE...999 MB...29.5 INCHES
</t>
  </si>
  <si>
    <t xml:space="preserve">
...TROPICAL STORM AL STRENGTHENS AS IT NEARS THE COAST OF NICARAGUA...
SUMMARY OF 1700 AM EDT...2100 UTC...INFORMATION
-----------------------------------------------
LOCATION...15.30 N 76.20 W
ABOUT 188 MILES...303 KM...167 DEGREES...SOUTH-SOUTHEAST OF KINGSTON JAMAICA 
ABOUT 312 MILES...502 KM...343 DEGREES...NORTH-NORTHWEST OF BARRANQUILLA COLUMBIA 
MAXIMUM SUSTAINED WINDS...60 MPH...99 KM/HR
PRESENT MOVEMENT...WESTERLY OR 275 DEGREES AT 10 MPH...16 KM/HR
MINIMUM CENTRAL PRESSURE...997 MB...29.44 INCHES
</t>
  </si>
  <si>
    <t xml:space="preserve">
...AL BECOMES A HURRICANE AS IT NEARS THE NORTH COAST OF NICARAGUA...
SUMMARY OF 1100 PM EDT...0300 UTC...INFORMATION
-----------------------------------------------
LOCATION...15.50 N 77.10 W
ABOUT 172 MILES...277 KM...SOUTH SOUTHEAST OF KINGSTON JAMAICA 
ABOUT 366 MILES...589 KM...NORTH-NORTHWEST OF CARTAGENA COLUMBIA 
MAXIMUM SUSTAINED WINDS...85 MPH...137 KM/HR
PRESENT MOVEMENT...WNW OR 284 DEGREES AT 12 MPH...19 KM/HR
MINIMUM CENTRAL PRESSURE...980 MB...28.94 INCHES
</t>
  </si>
  <si>
    <t xml:space="preserve">
...AL REMAINS A CAT 1 HURRICANE MOVING EAST TO WEST...SOUTH OF JAMAICA...GAINING STRENGTH...
SUMMARY OF 0500 AM EDT...0900 UTC...INFORMATION
-----------------------------------------------
LOCATION...15.90 N 78.10 W
ABOUT 159 MILES... 255 KM... SOUTH NEGRIL JAMAICA 
ABOUT 317 MILES... 510 KM... SOUTHEAST OF GEORGE TOWN CAYMAN ISLANDS 
ABOUT 375 MILES... 604 KM... EAST-NORTHEAST OF PUERTO CABEZAS NICARAGUA 
MAXIMUM SUSTAINED WINDS...85 MPH...137 KM/HR
PRESENT MOVEMENT...WNW OR 282 DEGREES AT 12 MPH...19 KM/HR
MINIMUM CENTRAL PRESSURE...979 MB...28.91 INCHES
</t>
  </si>
  <si>
    <t xml:space="preserve">
... HURRICANE AL TRACKS TOWARD THE YUCATAN...
SUMMARY OF 1100 AM EDT...0900 UTC...INFORMATION
-----------------------------------------------
LOCATION...16.3N 79.0W
ABOUT 257 MILES... 321 KM...SOUTH SOUTHEAST OF GEORGE TOWN CAYMAN ISLANDS 
ABOUT 137 MILES... 222 KM...SOUTH OF NEGRIL JAMAICA 
MAXIMUM SUSTAINED WINDS...85 MPH...137 KM/HR
PRESENT MOVEMENT...WNW OR 284 DEGREES AT 12 MPH...19 KM/HR
MINIMUM CENTRAL PRESSURE...977 MB...28.85 INCHES
</t>
  </si>
  <si>
    <t>INJECT DTG</t>
  </si>
  <si>
    <t xml:space="preserve">
... HURRICANE AL TRACKS TOWARD THE YUCATAN...AS A CATEGORY TWO HURRICANE...
SUMMARY OF 0500 AM EDT...0900 UTC...INFORMATION
-----------------------------------------------
LOCATION...16.7N 80.0W
ABOUT 199 MILES... 321 KM...SOUTH SOUTHEAST OF GEORGE TOWN CAYMAN ISLANDS 
ABOUT 150 MILES... 241 KM...NEGRIL JAMAICA 
MAXIMUM SUSTAINED WINDS...105 MPH...169 KM/HR
PRESENT MOVEMENT...WNW OR 292 DEGREES AT 12 MPH...19 KM/HR
MINIMUM CENTRAL PRESSURE...968 MB...28.59 INCHES
</t>
  </si>
  <si>
    <t xml:space="preserve">
... HURRICANE AL GAINS MOMENTUM AS A CATEGORY TWO HURRICANE...
SUMMARY OF 2300 PM EDT...0300 UTC...INFORMATION
-----------------------------------------------
LOCATION...17.1N 80.9W
ABOUT 184 MILES...296 KM...WEST-SOUTHWEST NEGRIL JAMAICA 
ABOUT 154 MILES...249 KM...SOUTH-SOUTHEAST OF GEORGE TOWN CAYMAN ISLANDS 
MAXIMUM SUSTAINED WINDS...105 MPH...169 KM/HR
PRESENT MOVEMENT...WNW OR 292 DEGREES AT 15 MPH...24 KM/HR
MINIMUM CENTRAL PRESSURE...963 MB...28.44 INCHES
</t>
  </si>
  <si>
    <t xml:space="preserve">
... HURRICANE AL CONTINUES ON A TRACK TOWARD COZUMEL...
SUMMARY OF 0500 AM EDT...0900 UTC...INFORMATION
-----------------------------------------------
LOCATION...17.7N 82.1W
ABOUT 250 MILES...401 KM...WEST-SOUTHWEST NEGRIL JAMAICA 
ABOUT 154 MILES...249 KM...SOUTH-SOUTHEAST OF GEORGE TOWN CAYMAN ISLANDS 
MAXIMUM SUSTAINED WINDS...105 MPH...169 KM/HR
PRESENT MOVEMENT...WNW OR 294 DEGREES AT 14 MPH...23 KM/HR
MINIMUM CENTRAL PRESSURE...960 MB...28.35 INCHES
</t>
  </si>
  <si>
    <t xml:space="preserve">
... HURRICANE AL MOVING NORTHWESTWARD...APPROACHING THE YUCATAN PENINSULA
TOMORROW...
SUMMARY OF 1100 AM EDT...1500 UTC...INFORMATION
-----------------------------------------------
LOCATION...18.3N 83.1W
ABOUT 129 MILES...208 KM...SOUTHWEST OF GEORGE TOWN CAYMAN ISLANDS 
ABOUT 290 MILES...466 KM...SOUTHEAST OF COZUMEL MEXICO
ABOUT 339 MILES...545 KM...EAST-NORTHEAST OF BELIZE CITY BELIZE
MAXIMUM SUSTAINED WINDS...120 MPH...193 KM/HR
PRESENT MOVEMENT...WNW OR 303 DEGREES AT 14 MPH...23 KM/HR
MINIMUM CENTRAL PRESSURE...956 MB...28.23 INCHES
</t>
  </si>
  <si>
    <t xml:space="preserve">
... HURRICANE AL MOVING NORTHWESTWARD...APPROACHING THE YUCATAN PENINSULA
TOMORROW...
SUMMARY OF 1700 AM EDT...2100 UTC...INFORMATION
-----------------------------------------------
LOCATION...19.0N 84.1W
ABOUT 179 MILES...288 KM...SOUTHWEST OF GEORGE TOWN CAYMAN ISLANDS 
ABOUT 229 MILES...367 KM...SOUTHEAST OF COZUMEL MEXICO
ABOUT 287 MILES...463 KM...EAST-NORTHEAST OF BELIZE CITY BELIZE
MAXIMUM SUSTAINED WINDS...120 MPH...193 KM/HR
PRESENT MOVEMENT...WNW OR 307 DEGREES AT 15 MPH...24 KM/HR
MINIMUM CENTRAL PRESSURE...953 MB...28.14 INCHES
</t>
  </si>
  <si>
    <t xml:space="preserve">
... HURRICANE AL THREATENS CANCUN...
SUMMARY OF 2300 AM EDT...0300 UTC...INFORMATION
-----------------------------------------------
LOCATION...19.9N 85.1W
ABOUT 141 MILES...228 KM...SOUTHWEST OF CANCUN MEXICO
ABOUT 245 MILES...395 KM...WEST-SOUTHWEST OF GEORGE TOWN CAYMAN ISLANDS 
ABOUT 261 MILES...421 KM...NORTHEAST OF BELIZE CITY BELIZE
MAXIMUM SUSTAINED WINDS...120 MPH...193 KM/HR
PRESENT MOVEMENT...WNW OR 306 DEGREES AT 20 MPH...32 KM/HR
MINIMUM CENTRAL PRESSURE...952 MB...28.11 INCHES
</t>
  </si>
  <si>
    <t xml:space="preserve">
... HURRICANE AL EYE JUST OFF THE TIP OF THE YUCATAN...
SUMMARY OF 0500 AM EDT...0900 UTC...INFORMATION
-----------------------------------------------
LOCATION...21.2N 86.2W
ABOUT 41 MILES...66 KM...EAST OF CANCUN MEXICO
ABOUT 67 MILES...109 KM...NORTHEAST COZUMEL MEXICO 
ABOUT 94 MILES...152 KM...WEST-SOUTHWEST OF THE WESTERN TIP OF CUBA
MAXIMUM SUSTAINED WINDS...105 MPH...168 KM/HR
PRESENT MOVEMENT...WNW OR 316 DEGREES AT 12 MPH...19 KM/HR
MINIMUM CENTRAL PRESSURE...955 MB...28.20 INCHES
</t>
  </si>
  <si>
    <t xml:space="preserve">
... HURRICANE AL PASSES NORTH OF CANCUN...ENTERS THE GULF OF MEXICO...
SUMMARY OF 1100 AM EDT...1500 UTC...INFORMATION
-----------------------------------------------
LOCATION...22.0N 86.8W
ABOUT 58 MILES...94 KM...NORTH OF CANCUN MEXICO
ABOUT 120 MILES...193 KM...WEST OF THE WESTERN TIP OF CUBA
MAXIMUM SUSTAINED WINDS...105 MPH...169 KM/HR
PRESENT MOVEMENT...WNW OR 314 DEGREES AT 15 MPH...24 KM/HR
MINIMUM CENTRAL PRESSURE...960 MB...28.35 INCHES
</t>
  </si>
  <si>
    <t xml:space="preserve">
... HURRICANE AL SLOWS AND SHIFTS COURSE SLIGHTLY EASTWARD...
SUMMARY OF 1100 AM EDT...1500 UTC...INFORMATION
-----------------------------------------------
LOCATION...27.2N 89.0W
ABOUT 198 MILES...319 KM...SOUTH-SOUTHEAST OF NEW ORLEANS LOUISIANA
ABOUT 383 MILES...617 KM...WEST OF CLEARWATER FLORIDA
ABOUT 516 MILES...831 KM...EAST OF CORPUS CHRISTI TEXAS
MAXIMUM SUSTAINED WINDS...120 MPH...193 KM/HR
PRESENT MOVEMENT...NORTHERLY OR 360 DEGREES AT 12 MPH...19 KM/HR
MINIMUM CENTRAL PRESSURE 950 MB...28.05 INCHES
</t>
  </si>
  <si>
    <t xml:space="preserve">
...HURRICANE AL NEAR LANDFALL...NORTHERLY COURSE PUSHING SLIGHTLY EASTWARD...
SUMMARY OF 500 PM EDT...2100 UTC...INFORMATION
-----------------------------------------------
LOCATION...28.2N 88.8W
ABOUT 141 MILES...228 KM...EAST-SOUTHEAST OF NEW ORLEANS LOUISIANA 
ABOUT 175 MILES...283 KM...SOUTH OF MOBILE ALABAMA 
ABOUT 367 MILES...591 KM...WEST OF CLEARWATER FLORIDA
MAXIMUM SUSTAINED WINDS...125 MPH...193 KM/HR
PRESENT MOVEMENT...NORTHERLY OR 7 DEGREES AT 12 MPH...19 KM/HR
MINIMUM CENTRAL PRESSURE 948 MB...27.99 INCHES
</t>
  </si>
  <si>
    <t xml:space="preserve">
...HURRICANE AL APPROACHES THE GULF COAST...
SUMMARY OF 1100 PM EDT...0300 UTC...INFORMATION
-----------------------------------------------
LOCATION...29.2N 88.6W
ABOUT 102 MILES...164 KM...EAST-SOUTHEAST OF NEW ORLEANS LOUISIANA 
ABOUT 108 MILES...174 KM...SOUTH-SOUTHWEST OF MOBILE ALABAMA 
MAXIMUM SUSTAINED WINDS...130 MPH...209 KM/HR
PRESENT MOVEMENT...NORTHERLY OR 12 DEGREES AT 10 MPH...16 KM/HR
MINIMUM CENTRAL PRESSURE 945 MB...27.91 INCHES
</t>
  </si>
  <si>
    <t xml:space="preserve">
...HURRICANE AL LANDFALL IMMINENT BETWEEN BILOXI AND MOBILE...
SUMMARY OF 500 AM EDT...0900 UTC...INFORMATION
-----------------------------------------------
LOCATION...30.1N 88.4W
ABOUT 46 MILES...73 KM...SOUTH-SOUTHWEST OF MOBILE ALABAMA
ABOUT 100 MILES...162KM...EAST OF NEW ORLEANS LOUISIANA 
MAXIMUM SUSTAINED WINDS...145 MPH...233 KM/HR
PRESENT MOVEMENT...NORTHERLY OR 19 DEGREES AT 10 MPH...16 KM/HR
MINIMUM CENTRAL PRESSURE 944 MB...27.88 INCHES
</t>
  </si>
  <si>
    <t>At the request of Governor Riley, the Alabama Adjutant General has directed the Joint Force Headquarters make preparations to fully activate and deploy a Joint Task Force in support of emergency response in the region of the Hurricane AL impact area. The JTF will be tasked with Defense Support to Civilian Authorities and other specific missions as identified by the Alabama Emergency Management Division. The JFHQ will prepare an Operations Order that outlines primary mission assignments, responsibilities and parameters.  JTF personnel should report to their assigned armory / staging area for immediate RSOI and deployment to the JOA.</t>
  </si>
  <si>
    <t>SUBJECT</t>
  </si>
  <si>
    <t>INJECTED BY</t>
  </si>
  <si>
    <t>STORYLINE/THREAD</t>
  </si>
  <si>
    <t>INJECT MODE</t>
  </si>
  <si>
    <t>SEND FROM (Simulated)</t>
  </si>
  <si>
    <t>SEND TO</t>
  </si>
  <si>
    <t>IMPLEMENTER (Actual Narrative)</t>
  </si>
  <si>
    <t>BACKGROUND INFORMATION</t>
  </si>
  <si>
    <t>Master Scenario Events List (MSEL)</t>
  </si>
  <si>
    <t>ESF</t>
  </si>
  <si>
    <t>DESCRIPTION</t>
  </si>
  <si>
    <t>EXPECTED ACTION</t>
  </si>
  <si>
    <t>NOTES/REMARKS</t>
  </si>
  <si>
    <t>MSEL NUMBER</t>
  </si>
  <si>
    <t>Hurricane Scenario</t>
  </si>
  <si>
    <t>5, 15</t>
  </si>
  <si>
    <t>DATE</t>
  </si>
  <si>
    <t>Email</t>
  </si>
  <si>
    <t>JOC, All</t>
  </si>
  <si>
    <t>Keane</t>
  </si>
  <si>
    <t>Inject Author</t>
  </si>
  <si>
    <t>Simcell - National Hurricane Center</t>
  </si>
  <si>
    <t>RFI</t>
  </si>
  <si>
    <t>Each Task Force</t>
  </si>
  <si>
    <t>TF S2</t>
  </si>
  <si>
    <t>JOC, J2</t>
  </si>
  <si>
    <t>Weather Update/Storm Track</t>
  </si>
  <si>
    <t>J2 Provides latest Weather and Storm Track to the TFs</t>
  </si>
  <si>
    <t>Weather RFI from Task Force to J2</t>
  </si>
  <si>
    <t>Houlton</t>
  </si>
  <si>
    <t>RFI for PIR, Collection Plan, Report Formats, and reporting requirements</t>
  </si>
  <si>
    <t>J2 provided current PIR, Collection Plan, Report Formats, and reporting requirements to each TF.</t>
  </si>
  <si>
    <t>RFI to lay baseline reporting requirements of each TF, time reports are due to the J2…</t>
  </si>
  <si>
    <t xml:space="preserve">On 01 May, 0400 HRS CDT, The National Hurricane Center issues Tropical Depression Advisory "One".  Current Location 14.5 N 74.1 W Max Sustained Wind 30mph  </t>
  </si>
  <si>
    <t>Tropical Depression One Forms</t>
  </si>
  <si>
    <t>Tropical Storm Al Update 2</t>
  </si>
  <si>
    <t>Tropical Storm Al Update 3</t>
  </si>
  <si>
    <t>Tropical Storm Al Update 4</t>
  </si>
  <si>
    <t>Tropical Storm Al Update 5</t>
  </si>
  <si>
    <t>Tropical Storm Al Update 6</t>
  </si>
  <si>
    <t>Tropical Storm Al Update 7</t>
  </si>
  <si>
    <t>Tropical Storm Al Update 8</t>
  </si>
  <si>
    <t>Tropical Storm Al Update 9</t>
  </si>
  <si>
    <t>Tropical Storm Al Update 10</t>
  </si>
  <si>
    <t>Tropical Storm Al Update 11</t>
  </si>
  <si>
    <t>Tropical Storm Al Update 12</t>
  </si>
  <si>
    <t>Tropical Storm Al Update 13</t>
  </si>
  <si>
    <t>Tropical Storm Al Update 14</t>
  </si>
  <si>
    <t>Tropical Storm Al Update 15</t>
  </si>
  <si>
    <t>Tropical Storm Al Update 16</t>
  </si>
  <si>
    <t>Tropical Storm Al Update 17</t>
  </si>
  <si>
    <t>Tropical Storm Al Update 18</t>
  </si>
  <si>
    <t>Tropical Storm Al Update 19</t>
  </si>
  <si>
    <t>Tropical Storm Al Update 20</t>
  </si>
  <si>
    <t>Tropical Storm Al Update 21</t>
  </si>
  <si>
    <t>Tropical Storm Al Update 22</t>
  </si>
  <si>
    <t>Tropical Storm Al Update 23</t>
  </si>
  <si>
    <t>Phone</t>
  </si>
  <si>
    <t xml:space="preserve">At the request of the FL, MS and AL governors, the President has approved a Major Disaster Declaration for all counties affected by Hurricane AL in Florida, Mississippi and Alabama.  Both the National Response Framework (NRF) and the Stafford Act have been activated.  Representatives from the Federal Emergency Management Agency will begin coordinating Federal-level support to affected states.
</t>
  </si>
  <si>
    <t>ESF 5</t>
  </si>
  <si>
    <t>ESF 1</t>
  </si>
  <si>
    <t>ESF 7</t>
  </si>
  <si>
    <t>ESF 13</t>
  </si>
  <si>
    <t>ESF 9</t>
  </si>
  <si>
    <t>STATUS</t>
  </si>
  <si>
    <t>Ready to Inject</t>
  </si>
  <si>
    <t>Injected</t>
  </si>
  <si>
    <t>Deferred</t>
  </si>
  <si>
    <t>Deleted</t>
  </si>
  <si>
    <t>Omitted</t>
  </si>
  <si>
    <t>Telephone Call</t>
  </si>
  <si>
    <t>STATE SURGEON</t>
  </si>
  <si>
    <t>MED DET</t>
  </si>
  <si>
    <t>1 Soldier found HIV positive in the 226th MEB after a periodic health assessment (PHA) performed by the medical detachment, from 10-11 Apr 10 SRP in Mobile.</t>
  </si>
  <si>
    <t>SPS MED</t>
  </si>
  <si>
    <t>SPS MED &amp; J1</t>
  </si>
  <si>
    <t>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t>
  </si>
  <si>
    <t>P. MCDONALD</t>
  </si>
  <si>
    <t>JOC MSG CTR</t>
  </si>
  <si>
    <t>SEOC LNO/P MCDONALD</t>
  </si>
  <si>
    <t>JOC-AVN</t>
  </si>
  <si>
    <t>At 0939 hours LTC Small , ARNG CAT, contacted MAJ Davis @ 334.273.3547 after several attempts to other numbers provided by SGT Vice.  He is to advise.  At 1114 hours, MAJ Davis advises TAG-AL requests a 48 hour hold before approving the EMAC request.</t>
  </si>
  <si>
    <t>At 1107 hours, MAJ Johns, MS-JOC- Battle Capt,  contacted CW5 Fontenot, AVN, he said to send EMAC request ALNG can support 3 UH60 out of Mobile because they are having to relocate due to impeding storm.</t>
  </si>
  <si>
    <t>At 1711 hours, CAPT Manson, DCSOPS NAVOPS, advised  MAJ Davis, AL-JOC that DoD assets were available through DCO.</t>
  </si>
  <si>
    <t xml:space="preserve">At 0923 hours LTC Small, ARNG CAT, contacted MSG Woodall @ 334.213.7748 and he took message and would have someone return our call.  At 1007 hours called MSG Woodall and advised no one had called.  Left another message.  At 1114 hours MAJ Davis, AL JOC returned call and received request.  Will advise. At 1715 hours, MAJ Davis advises TAG will concur with request but requests a 48 hours delay for the EMAC request. </t>
  </si>
  <si>
    <t>Inject called in on schedule. Monitoring of JOC message traffic indicates that information apparently did not make it outside of 226 MEB.</t>
  </si>
  <si>
    <t>Identify assets to be used for haul</t>
  </si>
  <si>
    <t>Request will come from TFSAL</t>
  </si>
  <si>
    <t>MVA on I-65/I-85 interchange involving 3 vehicles (2 military LMTVs and 1 civilian tractor trailer).  4 military SM injured and transported to Jackson Hospital.</t>
  </si>
  <si>
    <t>Potential Food Poisoning (MREs)</t>
  </si>
  <si>
    <t>30 soldiers have become sick in the Mobile area, experiencing nausea, vomiting, diarrhea, and abdominal cramping.  SMs started showing symptoms within 1 hour of eating lunch (MREs).  All personnel had consumed the MRE dairy shakes.</t>
  </si>
  <si>
    <t>J4 issue MRE guidance and possible recall.  J1 track LODs.  Medical initiate PM actions. Safety review.</t>
  </si>
  <si>
    <t>Combined with MSEL # 145</t>
  </si>
  <si>
    <t>Changed to a Sexual Assualt Inject</t>
  </si>
  <si>
    <t>A SM from JTF South was brought to sick call this morning by battle buddy.  SM was badley beaten and raped around 0200 by a fellow soldier.  TF MED (JTFS) has stabilized the SM injuries and  completed initial mental health evaluation.  TF MED is requesting SM be evacuated back to HOR (Birmingham) by MEDEVAC to complete follow up medical care.</t>
  </si>
  <si>
    <t xml:space="preserve">A SM from JTF South was brought to sick call this morning by battle buddy.  SM was badley beaten and raped around 0200 by a fellow soldier.  </t>
  </si>
  <si>
    <t>Moved Up to 5/5/10.  CL VIII Resupply Request (75 CLS Bags)</t>
  </si>
  <si>
    <t>Dental Emeergency in Montgomery (JOC - 1 pax)</t>
  </si>
  <si>
    <t>JFHQAL</t>
  </si>
  <si>
    <t>WJXT, Channel 25, NBC Affiliate for Birmingham, News Anchor Alan Genae sent a fax to the JFHQ requesting to know "Where is the National Guard?"</t>
  </si>
  <si>
    <t xml:space="preserve">
...HURRICANE AL LANDFALL IMMINENT BETWEEN BILOXI AND MOBILE...
SUMMARY OF 1000 PM EDT...0200 UTC...INFORMATION
-----------------------------------------------
LOCATION...30.1N 88.4W
ABOUT 46 MILES...73 KM...SOUTH-SOUTHWEST OF MOBILE ALABAMA
ABOUT 100 MI</t>
  </si>
  <si>
    <t xml:space="preserve">At approximately 2200, Alabama Power shut down the Joseph M. Farley Nuclear Power Plant in Dothan as a precaution.  It is expected to be back on-line 4 hours after Hurricane Al passes through the area.  The Electric grid is suffering brown out conditions </t>
  </si>
  <si>
    <t xml:space="preserve">On 04 May, 0400 HRS CDT, The National Hurricane Center issues Tropical Depression Advisory "One".  Current Location 14.5 N 74.1 W Max Sustained Wind 30mph  </t>
  </si>
  <si>
    <t>Reporter from the Montgomery Advertiser who also states he is a freelance writer for the associated press wants  to speak with Army Public Affairs in reference to Soldiers arrest in Evergreen. He stated he has already spoken with the Evergreen Police Department</t>
  </si>
  <si>
    <t>Hi this MAJ Fitzgerald again with the Evergreen PD and I just wanted to advise you that I had to get 10-15 (arrest) with your Soldier. I have a unit in route to headquarters with your Soldier. When I arrived at the scene I took his statement and a statement of witness</t>
  </si>
  <si>
    <t>167 TSC - Implement CEMP 10-2 Annex B</t>
  </si>
  <si>
    <t>167 FW - Inventory DR assets/Prepare to respond to JOC tasking</t>
  </si>
  <si>
    <t>OBJ. (SA, RFA, RFI, NGA - Action that generates planning or activity)</t>
  </si>
  <si>
    <t>Weather</t>
  </si>
  <si>
    <t>AEMA SA/RFI</t>
  </si>
  <si>
    <t xml:space="preserve">Weather and Threat related </t>
  </si>
  <si>
    <t>AEMA Mission Tasker</t>
  </si>
  <si>
    <t>JFHQ Staff</t>
  </si>
  <si>
    <t>JTF/Task Force/ DRU RFI/RFA</t>
  </si>
  <si>
    <t>EMAC Related</t>
  </si>
  <si>
    <t xml:space="preserve">INITIATED BY </t>
  </si>
  <si>
    <t>NARRATIVE</t>
  </si>
  <si>
    <t>SAO is anticipating relocating airlift support at remote locations within the State.  There is an immediate need to top off 4 HEMIT 2500 gallon tankers with JP-8 fuel in support of this mission.  Please advise on procedure to obtain fuel.</t>
  </si>
  <si>
    <t>AEMA has determined that there may be a requirement to use high water vehicles in support of possible evacuation and SAR missions. AEMA has inquired to the ALNG about the availability of HMMWVs and Cargo Trucks that could be used in high water conditions if necessary to carry personnel, light cargo and emergency supplies.  The SEOC wants to know the availability of high water vehicles in the ALNG by types.</t>
  </si>
  <si>
    <t>4 HEMIT 2500 gallon tankers with JP-8 fuel</t>
  </si>
  <si>
    <t>In anticipation of possible missions ISO high water operations, the SEOC requires information on the maximum depth of water military vehicles can ford .  (fording capabilities)</t>
  </si>
  <si>
    <t>NGA</t>
  </si>
  <si>
    <t xml:space="preserve">... AT 5 AM AST...0900Z...AL BECOMES A HURRICANE AS IT NEARS THE NORTH COAST OF NICARAGUALOCATION...15.90 N 78.10 W
ABOUT 159 MILES... 255 KM... SOUTH NEGRIL JAMAICA 
ABOUT 375 MILES... 604 KM... EAST-NORTHEAST OF PUERTO CABEZAS NICARAGUA 
MAXIMUM SUSTAINED WINDS...85 MPH...137 KM/HR
PRESENT MOVEMENT...WNW OR 275 DEGREES AT 12 MPH...19 KM/HR
</t>
  </si>
  <si>
    <t>5/5/2013  10:100:00 AM</t>
  </si>
  <si>
    <t xml:space="preserve">Availability of HMMWVs and Cargo Trucks </t>
  </si>
  <si>
    <t>Provide 2 each 44 PAX busses to transport up to 80 PAX in 711 BSB and 3 buses to transport up to 120 PAX in 877 Engr Bde.  Request buses be provided pre-landfall if possible so they can be positioned as necessary.</t>
  </si>
  <si>
    <t>Bus Support Request</t>
  </si>
  <si>
    <t>5/62013  2:00:00 PM</t>
  </si>
  <si>
    <t>5/6/2013  23:15 AM</t>
  </si>
  <si>
    <t>Mobile Police Department reports incident where three armored cars were stolen from a Brinks Company parking lot in Mobile.  Report states that parking lot guard and vehicle dispatcher were overpowered by five armed men at approximately 2300.  Three armor</t>
  </si>
  <si>
    <t>167 FW - Implement HurCon 3 Checklist (CEMP 10-2)</t>
  </si>
  <si>
    <t>5/7/2013  22:15:00 AM</t>
  </si>
  <si>
    <t xml:space="preserve">AEMA may have requirements to perform SAR in water levels that exceeds operational depths of high water vehicles or in areas inappropriate for using high water vehicles that will require boats. AEMA would request information on availability of boats in the NG for SAR missions.   </t>
  </si>
  <si>
    <t>Sick Soldier</t>
  </si>
  <si>
    <t xml:space="preserve">The A Co. 711th BSB has a Truck Trac 5 Ton, M931A1 in need of an Engine Assy, NSN 2815-01-374-7539, Vehicle is Non-Mission Capable (NMC), and is needed to transport supplies 
Location: Orange Beach
</t>
  </si>
  <si>
    <t>Baldwin</t>
  </si>
  <si>
    <t>Need additional help of at least 10 people to assist with the loading and evacuation of 40 patients at South Baldwin Regional Center in Foley due to power/water outages. Mission duration is 12 hrs</t>
  </si>
  <si>
    <t xml:space="preserve">Mobile </t>
  </si>
  <si>
    <t>Need  15 people to assist with loading and orderly evacuation of 85 patients at Thomas Hospital in Fairhope due to power/water outages. Mission duration is 12 hrs</t>
  </si>
  <si>
    <t>JTF Tarpon TC - Issue WARN ORDER 1, CMC Prep</t>
  </si>
  <si>
    <t>JTF Tarpon - Stand up CMC with FTUS, Coordinate with other JTFs for handoff and receipt of subordinate units, issue WARN ORD 2</t>
  </si>
  <si>
    <t>187 FW - Issue BPT deploy order to 122d ASG and alert LNOs</t>
  </si>
  <si>
    <t>187 FW - Implement HURCON 4 Checklist/Identify personnel for JOC tasking</t>
  </si>
  <si>
    <t xml:space="preserve">Stage &amp; BPT deploy 2 SAR teams consisting of 4ea 5 ton 16 PAX to Mobile and Baldwin County EOC locations. POC will be Mr. Evens and Mr Raines  </t>
  </si>
  <si>
    <t>Baldwin County Sheriff requests 250 security personel for site security and traffic control. Soldiers will right seat ride with local Law Enforcement personnel</t>
  </si>
  <si>
    <t>BPT Mission</t>
  </si>
  <si>
    <t>EMITS or Email</t>
  </si>
  <si>
    <t>BPT establish LSA Brookley Field, Mobile, requires 20 PAX, 24hrs operations duration of support TBD.</t>
  </si>
  <si>
    <t>EMAIL</t>
  </si>
  <si>
    <t>BPT</t>
  </si>
  <si>
    <t>USPFO Pre-Position</t>
  </si>
  <si>
    <t xml:space="preserve">BPT establish and staff 15 PODs </t>
  </si>
  <si>
    <t>AEMA White Cell</t>
  </si>
  <si>
    <t xml:space="preserve">State Emergency Operations Center (SEOC (AL)) and activated at Level 1 </t>
  </si>
  <si>
    <t>The State Emergency Response Team (SERT) is recalled to the State Emergency Operations Center (SEOC (AL)) and activated at Level 1 effective 0900 6 May 2013.</t>
  </si>
  <si>
    <t>NGB-JOC</t>
  </si>
  <si>
    <t>BPT Provide 3000 Soldiers</t>
  </si>
  <si>
    <t xml:space="preserve"> ISO high water operations</t>
  </si>
  <si>
    <t xml:space="preserve">Mobile County requests support with one SAR team  to extract civilians trapped at Dauphin Island Parkway because of rising water (High Water Evac) </t>
  </si>
  <si>
    <t>Mobile</t>
  </si>
  <si>
    <t>Coordinate J8/USPFO Continuity of Operations Plan (COOP) to relocate J8 functions in the event of loss of power.</t>
  </si>
  <si>
    <t xml:space="preserve">White Cell </t>
  </si>
  <si>
    <t>COOP</t>
  </si>
  <si>
    <t>AEMA ESF 6</t>
  </si>
  <si>
    <t>AL Officials order mandatory evacuations for Mobile and Baldwin counties.  Voluntary evacuations recommended for citizens living in mobile homes for the following counties:  Washington, Clarke, Monroe, Conecuh, Escambia, Covington, Geneva, and Houston.</t>
  </si>
  <si>
    <t>CONTRA FLOW Support</t>
  </si>
  <si>
    <t>Roll over accident</t>
  </si>
  <si>
    <t xml:space="preserve">Monroe County request ALNG to man and operate the following POD sites beginning at 0800 7 May 13.  Duration 8 days, POC is County ESF 7 Mr. Manucy.
Beatrice
Beatrice POD/VFD Station, 34 Robbins Street
Labor Personnel: 20.  POD Equipment Needed:  None.  
Security Personnel. 4.  Operational Hours: 12
Excel
Excel High School, 3010 Hwy 136 W
Labor Personnel: 20.  POD Equipment Needed:  2X Tents.  
Security Personnel. 2-4.  Operational Hours: 10
Frisco City
Frisco City, 200 School Street
Labor Personnel: 20.  POD Equipment Needed:  None.  
Security Personnel. 0.  Operational Hours: 8-10
Monroeville
Primary CSA and Resource Warehouse, 188 Sheffield Drive
Labor Personnel: 12.  POD Equipment Needed:  None.  
Security Personnel. 0.  Operational Hours: 12
</t>
  </si>
  <si>
    <t>Washington County Damage Report</t>
  </si>
  <si>
    <t>Baldwin County Damage Report</t>
  </si>
  <si>
    <t>Roadway mostly blocked; Downed trees, Dowed power lines, debris  - SR 59 south of Robertsdale (Baldwin County)</t>
  </si>
  <si>
    <t>Roadway partially blocked; Debris, trees, disabled vehicles, flooding - 1-10 west of Milepost 52</t>
  </si>
  <si>
    <t xml:space="preserve">Debris is blocking I-10 in Loxley and Spanish Fort area. </t>
  </si>
  <si>
    <t>Need support of  25  to assist with loading and orderly evacuation 150 patients at Springhill Medical Center in Mobile due to power/water outages. Mission duration is 12 hrs</t>
  </si>
  <si>
    <t>Provide 15 support personnel to assist with evacuating 60 patients at Mercy Medical in Daphne due to power/water outages. Mission duration 12 hrs</t>
  </si>
  <si>
    <t>Mobile County EOC reports three large barges have broken loose from their moorings and are floating free and threaten the I-10 tunnel and US-98 Bridge near 30.69 N 88.03 W</t>
  </si>
  <si>
    <t>Damage Report</t>
  </si>
  <si>
    <t>Mobile Power outage</t>
  </si>
  <si>
    <t xml:space="preserve">AEMA has established initial contact with Baldwin Co. via 800MHz radio.  Initial reports indicate that the majority of Baldwin Co. is currently without power.  Efforts are being made to conduct an initial assessment of the effects of the Hurricane. </t>
  </si>
  <si>
    <t>Baldwin Power outage</t>
  </si>
  <si>
    <t>SATCOM</t>
  </si>
  <si>
    <t>Monroe County Damage Report</t>
  </si>
  <si>
    <t>Clarke County Damage Report</t>
  </si>
  <si>
    <t>Mobile County Damage Report</t>
  </si>
  <si>
    <t>Community of McIntosh - all structures destroyed</t>
  </si>
  <si>
    <t>Unconfirmed: Many homes reported destroyed</t>
  </si>
  <si>
    <t>Robertsdale reports wind gust of 80 mph. 90% of homes and business are destroyed or severely damaged</t>
  </si>
  <si>
    <t>Flooding being reported along the Tombigbee River.</t>
  </si>
  <si>
    <t>Mobile Home Park in Whatley Destroyed</t>
  </si>
  <si>
    <t>Damage to bridges on SR 3 &amp; 59 at Chacaloochee Bay is reported from storm surge.</t>
  </si>
  <si>
    <t>Reports that the community of Fairhope is totally destroyed.  All routes in to the area are blocked or washed out. Hwy 98 and SR 104 are impassable.</t>
  </si>
  <si>
    <t>Alabama Power reports approximately 250,000 residents are without power</t>
  </si>
  <si>
    <t>Monroe</t>
  </si>
  <si>
    <t xml:space="preserve">Washington </t>
  </si>
  <si>
    <t>Clarke</t>
  </si>
  <si>
    <t>RFA Two NC Teams</t>
  </si>
  <si>
    <t>Mobile Downtown Airport is reported to be mostly flooded and severe damage to all structures at the airport.</t>
  </si>
  <si>
    <t>MISSON</t>
  </si>
  <si>
    <t>AEMA requests coordinated search and recovery/damage assessment forces to canvas remote rural areas of Baldwin County.  Baldwin County hopes to determine damage to rural areas and extend support to those people who live away from major population centers.  This region has sparse population and houses are spread out and obscured by foliage preventing successful aerial reconnaissance. In addition to establishing contact with county residents cut off by the communications outage, Baldwin officials will disperse information on where to go for shelter and aid if required.</t>
  </si>
  <si>
    <t>SR 193 along Mobile Bay is washed out of numerous areas and is impassable</t>
  </si>
  <si>
    <t>Mobile Damage Report</t>
  </si>
  <si>
    <t>EOC requests ground SAR forces for Gulf Shores, Orange Beach, Dauphin Island, and Fort Morgan. Mission is to assist local law enforcement departments, fire departments, and other agencies in locating potential survivors trapped in wreckage. Mission request is for one hundred personnel.  Anticipated mission duration is 72 hours.</t>
  </si>
  <si>
    <t>The Gulf Shores Fire Chief reports that Jack Edwards Airport has suffered additional building collapses due to the strong winds.  The Incident Commander would like to accomplish a door to door search for the injured.  This effort will require a large quantity of manpower due to the large area that needs covered.  Gulf Shores Fire Dept requests Baldwin County EOC coordinate manpower and aviation support to accomplish this task.</t>
  </si>
  <si>
    <t>EMITA</t>
  </si>
  <si>
    <t>At the request of the Governor, the Alabama Adjutant General has directed the Joint Force Headquarters make preparations to fully activate and deploy a Joint Task Force in support of emergency response in the region of the Hurricane Alex impact area. Th</t>
  </si>
  <si>
    <t>AEMA requests dispatch of NG LNOs to County EOCs  by 1200 06 May 2013.</t>
  </si>
  <si>
    <t xml:space="preserve">At the request of the AL governor, the President has approved a Major Disaster Declaration for all counties affected by Hurricane Alex in Alabama.  Both the National Response Framework (NRF) and the Stafford Act have been activated.  </t>
  </si>
  <si>
    <t xml:space="preserve">2LT------------, I just heard the Monroeville Mayor make a public statement on FM 89.6 that our (Det 1, 778th Mn Co) Armory will be open for the duration of the storm. He also stated that this will be the primary distribution point for water and food. </t>
  </si>
  <si>
    <t>EOC requests local security patrols for Gulf Shores, Orange Beach, Dauphin Island, and Fort Morgan.  MISSION in support of local law enforcement agencies. Mobile patrols to prevent looting and other unlawful activities.   Request is for 150 personnel.  Expected mission duration is 96 hours</t>
  </si>
  <si>
    <t>I-10 west bound from FL blocked with 15 car vehicle accident as people are trying to reenter the Mobile area.</t>
  </si>
  <si>
    <t>All building the in the Theodore Industrial Park are reported to be destroyed. There is an unconfirmed report of fire and HazMat spill causing a dangerous cloud. The direction of the toxic cloud is unknown at the is time.</t>
  </si>
  <si>
    <t xml:space="preserve">Storm surge is reported to have traveled up in the Chacaloochee Bay and caused serious damage to boats and home of the waterfront.  </t>
  </si>
  <si>
    <t>5/8/2013  16:39:00 PM</t>
  </si>
  <si>
    <t xml:space="preserve">TF Tarpon continue - DSCA operations </t>
  </si>
  <si>
    <t>After Hurricane Al made landfall near the Gulf Coast area of Mobile. The local area Emergency Manager (EM) reported a damaged bridge on Hwy 193 north of Dauphin Island. Without a temporary bridge, Dauphin Island has no means to rescue civilian and transport to shelters. How will DOL (J-4) section respond, when equipment not readily available within the state.</t>
  </si>
  <si>
    <t>Extensive damage to Armory located at 550 Fairwood Blvd, Fairhope, AL Complete damage assessment pending engineer assessment</t>
  </si>
  <si>
    <t>Escambia County Damage Report</t>
  </si>
  <si>
    <t>Sumter County POD Request</t>
  </si>
  <si>
    <t xml:space="preserve">AEMA Requests aviation search and rescue mission for large area defined as I-65 MP 39 to MP 47, north to Monroe County line, east to Escambia County line, west to .Alabama Highway 59. Area is sparsely populated by extensively damaged. EOC wants aerial search and surveillance to locate persons who might need assistance. Need to be ready to provide immediate assistance by air, medevac injured persons if required.  </t>
  </si>
  <si>
    <t>This should likely become a joint CAP/Guard mission, with CAP doing search and surveillance function and Guard standing by with aircraft to insert (AL)personnel and conduct medevac. C2 issue is whether the mission will be controlled by JTF-South, or whether it will become a stand-alone functional TF.</t>
  </si>
  <si>
    <t>Air SAR Support</t>
  </si>
  <si>
    <t>Mobile County EOC requests assistance for Security of County Electric Facilities</t>
  </si>
  <si>
    <t>Security Force Request</t>
  </si>
  <si>
    <t>Three hundred displaced civilians are staying in the armory.   Two women in their early twenties have claimed that they were raped in the armory; one is a National Guard spouse whose husband has been mobilized to JFHQ in Montgomery.</t>
  </si>
  <si>
    <t>CCIR/MED Assault at NG Armory.</t>
  </si>
  <si>
    <t xml:space="preserve">Mobile Co. EOC forwards report of the status of temporary shelters in Mobile Co. These public shelters are housing residents and tourists displaced by the loss of their homes and hotels.  Shelter Managers report:
The arrival of supplies and manpower from the American Red Cross and Salvation Army have done much to improve shelter conditions.  The Southern Baptist Convention is establishing feeding operations through a series of mobile kitchens.
BC Morgan High School
Capacity:  407
Status:  Full to capacity 
Williams Elementary School
Capacity: 390
Status:  Full to capacity 
Eanes Middle School
Capacity: 358
Status:  Full to capacity </t>
  </si>
  <si>
    <t xml:space="preserve">Mobile Co. Sheriffs Office is reporting that a small, but vocal group of citizens has begun loudly voicing their dissatisfaction with Federal, State, and County response efforts.  Members of this group out are actively seeking out media and comparing response efforts to the government response to Hurricane Katrina. 
MCSO suspects that this group may be elements of a local dissident group that titles itself the “Alabama Minutemen 25” (AM-25) This group is a separatist group that believe themselves to be direct descendants of a first generation colonial governor.  They are made up of several extended families numbering between 20 and 30 members total.  Most of the members live within a “compound” in close proximity to the City of Mobile.     </t>
  </si>
  <si>
    <t>Civil Unrest</t>
  </si>
  <si>
    <t xml:space="preserve">MCSO request security reinforcements(20) at BC Morgan High School, Temp shelter where group is demonstrating and causing civil unrest.  The shelter is at capacity and the group is attempting to enter and cause problems. </t>
  </si>
  <si>
    <t>SAR Support</t>
  </si>
  <si>
    <r>
      <t>SimCell</t>
    </r>
    <r>
      <rPr>
        <b/>
        <sz val="10"/>
        <color indexed="10"/>
        <rFont val="Arial"/>
        <family val="2"/>
      </rPr>
      <t xml:space="preserve"> (City/County)</t>
    </r>
  </si>
  <si>
    <r>
      <t>SimCell</t>
    </r>
    <r>
      <rPr>
        <b/>
        <sz val="10"/>
        <color indexed="10"/>
        <rFont val="Arial"/>
        <family val="2"/>
      </rPr>
      <t xml:space="preserve"> (LEA)</t>
    </r>
  </si>
  <si>
    <r>
      <t xml:space="preserve">SimCell                            </t>
    </r>
    <r>
      <rPr>
        <b/>
        <sz val="10"/>
        <color indexed="10"/>
        <rFont val="Arial"/>
        <family val="2"/>
      </rPr>
      <t xml:space="preserve"> (NEWS Agency)</t>
    </r>
  </si>
  <si>
    <r>
      <t xml:space="preserve">SimCell                           </t>
    </r>
    <r>
      <rPr>
        <b/>
        <sz val="10"/>
        <color indexed="10"/>
        <rFont val="Arial"/>
        <family val="2"/>
      </rPr>
      <t xml:space="preserve"> (NEWS Agency)</t>
    </r>
  </si>
  <si>
    <r>
      <t xml:space="preserve">A local news station reports that there are major flooding and power outages throughout the </t>
    </r>
    <r>
      <rPr>
        <b/>
        <u/>
        <sz val="10"/>
        <rFont val="Arial"/>
        <family val="2"/>
      </rPr>
      <t>(named)</t>
    </r>
    <r>
      <rPr>
        <b/>
        <sz val="10"/>
        <rFont val="Arial"/>
        <family val="2"/>
      </rPr>
      <t xml:space="preserve"> city.  </t>
    </r>
  </si>
  <si>
    <r>
      <t xml:space="preserve">A fax from </t>
    </r>
    <r>
      <rPr>
        <b/>
        <u/>
        <sz val="10"/>
        <rFont val="Arial"/>
        <family val="2"/>
      </rPr>
      <t>(named)</t>
    </r>
    <r>
      <rPr>
        <b/>
        <sz val="10"/>
        <rFont val="Arial"/>
        <family val="2"/>
      </rPr>
      <t xml:space="preserve"> Hospital’s administrator to all hospital administrators in </t>
    </r>
    <r>
      <rPr>
        <b/>
        <u/>
        <sz val="10"/>
        <rFont val="Arial"/>
        <family val="2"/>
      </rPr>
      <t>(named)</t>
    </r>
    <r>
      <rPr>
        <b/>
        <sz val="10"/>
        <rFont val="Arial"/>
        <family val="2"/>
      </rPr>
      <t xml:space="preserve">  City notifies them that the beds are full. </t>
    </r>
    <r>
      <rPr>
        <b/>
        <u/>
        <sz val="10"/>
        <rFont val="Arial"/>
        <family val="2"/>
      </rPr>
      <t>(named)</t>
    </r>
    <r>
      <rPr>
        <b/>
        <sz val="10"/>
        <rFont val="Arial"/>
        <family val="2"/>
      </rPr>
      <t xml:space="preserve"> hospital will need to redirect incoming ambulances to other hospitals, and they require help in coordinating the pati</t>
    </r>
  </si>
  <si>
    <t>Shelter Status</t>
  </si>
  <si>
    <t>AEMA requests generators (nine) for City Hall, Police Station, and Fire Department in Grove Hill</t>
  </si>
  <si>
    <t>After Hurricane AL made land fall near the Gulf Coast area of Mobile. The local weather advisory reported a Flash Flood Warning for Escambia County Alabama. The Burnt Corn Creek between HWY 41 and 49 near the town of Brewton.</t>
  </si>
  <si>
    <t>Bibb County POD Support</t>
  </si>
  <si>
    <t>Labor Personnel: 10.  POD Equipment Needed:  None.  Security Personnel. None.  Operational Hours: 10</t>
  </si>
  <si>
    <t>MED Issue</t>
  </si>
  <si>
    <t xml:space="preserve">Dallas County POD </t>
  </si>
  <si>
    <t>Coordinate Class A Agent functions in the event GPC is not available (Convenience Checks).</t>
  </si>
  <si>
    <t>J8 Coordination</t>
  </si>
  <si>
    <t>Choctaw County Damage Report</t>
  </si>
  <si>
    <t xml:space="preserve">Road flooded along Ararat Rd, most of road is unpassable </t>
  </si>
  <si>
    <t>The Incident Commander  requests Mobile County EOC coordinate manpower for the movement of the bodies of the deceased to DMORT holding areas.  Personnel provided should be both physically and mentally sound enough to endure this difficult task.  Covered vehicle support is required for accomplishment of this mission out of respect for the dead.</t>
  </si>
  <si>
    <t>Personnel Required – 10</t>
  </si>
  <si>
    <t>Inject Entry (JOC, JTF-N/S, DRU, AEMA, Staff, Leadership, Other)</t>
  </si>
  <si>
    <t>Company commander has a soldier who is a prison guard at Holman Prison.  Soldier states that he has been directed to remain at prison and not to report to Guard.  Indicates rumors of potential inmate takeover and mass escape during hurricane.  Soldier/guard needs guidence</t>
  </si>
  <si>
    <t>EMail</t>
  </si>
  <si>
    <t>SAD Pay</t>
  </si>
  <si>
    <t>BPT coordinate transition of contracts (From state to federal or federal to state status).</t>
  </si>
  <si>
    <t>USPFO/State Comptroller</t>
  </si>
  <si>
    <t>Contract Transition</t>
  </si>
  <si>
    <t>BPT coordinate transition of payroll (From state to federal or federal to state status).</t>
  </si>
  <si>
    <t>Payroll</t>
  </si>
  <si>
    <t xml:space="preserve">BPT support forward deployed TFs with contracting officer. </t>
  </si>
  <si>
    <t>J4/8</t>
  </si>
  <si>
    <t>Contract Officer</t>
  </si>
  <si>
    <t>FEMA Region JFO ERT-A will deploy to AEMA on 18 May about 1200, FEMA Region 9 DCO will serve as JFO-AL DCO</t>
  </si>
  <si>
    <t>FEMA Deployment</t>
  </si>
  <si>
    <t xml:space="preserve"> Increase in  Limit for TF GPC Cardholders </t>
  </si>
  <si>
    <t>The local area Emergency Manager (EM), Fire Department and local police Department reported due to the high wind sustained by Hurricane AL many trees, and other debris has hindered many routes in Southwest Alabama. JTF-South requests authority and funding to purchase fifty chainsaws. JTF-South requests authority and funding to purchase fifty chainsaws for route clearance operations. States that they have already located vendors who are temporarily holding chainsaws out of inventory, awaiting Guard purchase.</t>
  </si>
  <si>
    <t xml:space="preserve"> White Cell JTF-S</t>
  </si>
  <si>
    <t>Emergency Room Entrance Blocked. Hospital Administrator is requesting help to clear route</t>
  </si>
  <si>
    <t>Montgomery News requests Storm interview/ Human intrest story</t>
  </si>
  <si>
    <t xml:space="preserve">DMORT holding areas. </t>
  </si>
  <si>
    <t>JTF-S (TF Med) request resupply of CL VIII supplies</t>
  </si>
  <si>
    <t>AEMA issues local security mission for Mobile area shopping centers to prevent looting.  Security mission is in support of Mobile Police Department</t>
  </si>
  <si>
    <t>Monroe Security support</t>
  </si>
  <si>
    <t>Mobile POD Support</t>
  </si>
  <si>
    <t>Cullman County EOC requests transport of 65 pallets of bottled water from Wal Mart distribution center to Monroe Co EOC.</t>
  </si>
  <si>
    <t>Transport Request</t>
  </si>
  <si>
    <t xml:space="preserve">A representative from the NBC National Network has contacted the Alabama JFHQ and is requesting for one of its anchors to interview the Alabama Adjutant General on NBC Nightly News.  NBC is willing to pre-record the interview to coordinate with the Adjutant General's busy schedule.  </t>
  </si>
  <si>
    <t>Media Request</t>
  </si>
  <si>
    <t>PAO</t>
  </si>
  <si>
    <t>AEMA requests AVN support. Tornado touched down in Centreville. 12 Homes and businesses severely damaged or destroyed. SR 25 is blocked by debris.  2 people killed, 3 injured.</t>
  </si>
  <si>
    <r>
      <rPr>
        <b/>
        <sz val="12"/>
        <color rgb="FF000000"/>
        <rFont val="Arial"/>
        <family val="2"/>
      </rPr>
      <t>117</t>
    </r>
    <r>
      <rPr>
        <b/>
        <vertAlign val="superscript"/>
        <sz val="12"/>
        <color rgb="FF000000"/>
        <rFont val="Arial"/>
        <family val="2"/>
      </rPr>
      <t>th</t>
    </r>
    <r>
      <rPr>
        <b/>
        <sz val="12"/>
        <color rgb="FF000000"/>
        <rFont val="Arial"/>
        <family val="2"/>
      </rPr>
      <t xml:space="preserve"> ARW RAT</t>
    </r>
    <r>
      <rPr>
        <sz val="12"/>
        <color rgb="FF000000"/>
        <rFont val="Arial"/>
        <family val="2"/>
      </rPr>
      <t xml:space="preserve"> </t>
    </r>
  </si>
  <si>
    <t>AIR support request</t>
  </si>
  <si>
    <t xml:space="preserve">JTF-S  request additonal supply of 25 complete light sets to support LSA and POD missions.  </t>
  </si>
  <si>
    <t>Phone call</t>
  </si>
  <si>
    <t xml:space="preserve">Assistant Police Chief Fitzgerald reports that Soldier questioned at scene has no signs of physical injury and has given a conflicting report. Fitzgerald states that SPC Judas Turncoat who was with SGT Green confirms the citizens statement. </t>
  </si>
  <si>
    <t xml:space="preserve">NGA
</t>
  </si>
  <si>
    <t>ole in</t>
  </si>
  <si>
    <t xml:space="preserve">Convoy traveling south bound on Hwy 13 from Jackson, Alabama to Orange Beach, Alabama. A Hemmit transporting diesel front left tire, blow out, causing it to slam into a guide rail near Saraland, Alabama. The incident caused an object to puncture a hole in oil reservoir. </t>
  </si>
  <si>
    <t>Chaplain request</t>
  </si>
  <si>
    <t xml:space="preserve">County EOC generator not working time to fix unknown </t>
  </si>
  <si>
    <t>Funding Transition</t>
  </si>
  <si>
    <t>2LT Jackson contacts JFHQ on Armory opening inquiry. Monroeville Mayor makes a premature statement of an Armory opening on public radio.</t>
  </si>
  <si>
    <t>Armory assessment</t>
  </si>
  <si>
    <t xml:space="preserve"> Request for Assistance for Train Derailment emergency response</t>
  </si>
  <si>
    <t xml:space="preserve">SEOC LNO calls to report that DPS has just given a briefing on Grove Hill train derailment. DPS stated that the derailment involved a train consisting of four diesel-electric locomotives and roughly two hundred railcars of varying types. </t>
  </si>
  <si>
    <t>FEMA Update</t>
  </si>
  <si>
    <t>Units request resupply of CL 75 CLS bags.</t>
  </si>
  <si>
    <t>JTF-187 FW - FTUS Hurricane Tracking</t>
  </si>
  <si>
    <t>TF Tarpon - Telecon with Unit Commanders, Issue verbal WARN ORDER</t>
  </si>
  <si>
    <t>TF Tarpon - Issue OPORD, Determine staging areas and service station distro points, draw fly away boxes,  REDCON 1, deploy FWD elements</t>
  </si>
  <si>
    <t>TF Tarpon - Movement to staging areas, JTF handoff and receipt complete</t>
  </si>
  <si>
    <t xml:space="preserve">TF Tarpon - REDCON 2, Telecon with CDRS and FTUS staff, prep 2 buses for issue to TF units, initiate units movements for classes of supply draw, and MTS test with state, </t>
  </si>
  <si>
    <t>BPT to provide 3000 Security personnel security operations in South and Central Alabama; locations TBD.  Request units be self sustaining.</t>
  </si>
  <si>
    <t>BPT provide staffing at the SOSA warehouse, Montgomery AL</t>
  </si>
  <si>
    <t>SEOC requests a contingency study to determine if they can provide security assistance to Holman Prison at same time hurricane response operations are underway.  Potential security assistance requirement is for approximately a company-s</t>
  </si>
  <si>
    <t>Escambia County request (10) support person to operate the following POD sites beginning at 0800 8 May 13.  Duration 8 days, POC is County ESF 7 Mrs. Evans.
Brewton
Old North Brewton Elem School Bldg, 41960 Highway 31 North
Labor Personnel: 40.  POD Equipment N</t>
  </si>
  <si>
    <t>Baldwin County request (30) personnel  to man and operate the following POD sites beginning at 0800 7 May 10.  Duration 7 days, POC is County ESF 7 Mr. Bouie.
Bay Minette
First Baptist Church of Bay Minette, 1201 Hand Avenue
Labor Personnel: 10-12.  POD Equipment N</t>
  </si>
  <si>
    <t>State Troopers request 50 security personnel to assist with traffic flow on I-65 North of Montgomery (MM 179) to North of Birmingham (MM 282)</t>
  </si>
  <si>
    <t>Dallas County request  personnel  to man and operate the following POD sites beginning at 1400 21 May 09.  Duration 4-8 days, POC is County ESF 7 Mr. Dudley.
Orrville
Orrville Community, 463 Academy Street
Labor Personnel: 20.  POD Equipment Needed:  None.  Security Personnel. None.  
Operational Hours: 10Sardis
Sardis VFD, 8176 County Road 30
Labor Personnel: 20.  POD Equipment Needed:  1X Pallet Jack, 1X Tent.  
Security Personnel. None.  Operational Hours: 12
Selma
Craig Field Airport &amp; Industrial Auth, 218 Ave J
Labor Personnel: 40.  POD Equipment Needed:  None.  Security Personnel. 6.  
Operational Hours: 12</t>
  </si>
  <si>
    <t>Bibb County request  personnel to man and operate the following POD sites beginning at 1600 21 May 09.  Duration 4-7 days, POC is County ESF 7 Mr. Bradford.Brent
County Engineer Shop, Alabama Highway 5
Labor Personnel: 20.  POD Equipment Needed:  None.  Security Personnel. 0.  
Operational Hours: 12
Centreville
Bibb County High School, 220 Birmingham Road (HWY 219)
Labor Personnel: 40.  POD Equipment Needed:  None.  Security Personnel. 3.  
Operational Hours: 12
Randolph
Randolph Elementary School, 7259 Alabama Highway 36
Labor Personnel: 20.  POD Equipment Needed:  Forklift Operator.  
Security Personnel. 2.  Operational Hours: 10
West Blocton
West Blocton High School, 4734 Truman Aldrich Parkway
Labor Personnel: 40.  POD Equipment Needed:  None.  Security Personnel. 6.  
Operational Hours: 12</t>
  </si>
  <si>
    <t>Sumter County request support (25) personnel to man and operate the following POD site beginning at 1200 9 May 13.  Sumter County High School  902 4th Ave.
 York AL 36925Duration 4-8 days, POC is County ESF 7 Mr. Sanders.</t>
  </si>
  <si>
    <t>Washington County requests personnel  to man and operate the following POD sites beginning at 0800 7 May 10.  Duration 6-10 days, POC is County ESF 7 Mr. Williams.
Chatom
National Guard Armory, 1020 St. Stephens Avenue
Labor Personnel: 20.  POD Equipment Needed</t>
  </si>
  <si>
    <t xml:space="preserve">Mobile County request personnel to man and operate the following LSA and POD sites beginning at 0800 07 May 13.  Duration 8 days, POC is County ESF 7 Mr. Manners.
County Logistics Staging Area
Mobile Bay Bears Stadium  6 QM  2 Security  1 Forklift Operator
County Distribution Sites
Bay Bears Stadium   12 Labor  2 Security  1 Forklift Operator
Saraland K-Mart   12 Labor  0 Security  1 Forklift Operator
Alma Bryant School (Bayou La Batre) 24 QM  4 Security  2 Forklift Operators
Prichard Stadium   12 Labor  2 Security  1 Forklift Operator
Mount Vernon Park   12 Labor 2 Security  1 Forklift Operator
Citronelle Industrial Park  12 Labor  2 Security  1 Forklift Operator
Mobile Greyhound Park   12 Labor  2 Security  2 Forklift Operators
Dauphin Island City Hall   6 Labor  2 Security  0 Forklift Operator
Langon Park    12 Labor  2 Security  1 Forklift Operator
Ladd-Peeples Memorial  Stadium 12 Labor  2 Security  1 Forklift Operator
Equipment Requirements:
4-6K Forklifts 
14 + Forklifts for maintenance float 
Vehicles to transport soldiers to work areas
5 ton Cargo Trucks – 3 ea. To handle in and around delivery missions out of Staging Area
Fuel Trucks – 2 ea. To fuel military and civilian trucks at Staging Area
Command and Control
Per Task Force Plan  
</t>
  </si>
  <si>
    <t xml:space="preserve">Clarke County request  to man and operate the following POD sites beginning at 0800 7 May 13.  Duration 6-10 days, POC is County ESF 7 Mr. Carter.
Grove Hill
National Guard Armory, 22511 Highway 84
Labor Personnel: 20.  POD Equipment Needed:  forklift operator.  
Security Personnel. 4.  Operational Hours: 12
Jackson
National Guard Armory, 2405 Coffeeville Road
Labor Personnel:  20.  POD Equipment Needed:  1X Pallet Jack.  
Security Personnel. 2.  Operational Hours: 12
Thomasville
National Guard Armory, 31822 Highway 43
Labor Personnel: 20.  POD Equipment Needed:  None.  
Security Personnel. 4.  Operational Hours: 12
</t>
  </si>
  <si>
    <t>Conecuh County request personnel  to man and operate the following POD sites beginning at 0800 8 May 13.  Duration 8 days, POC is County ESF 7 Mrs. Collins.
Evergreen
Evergreen Airport Middleton Fld, Highway 84 W.
Labor Personnel: 20.  POD Equipment Needed:  N</t>
  </si>
  <si>
    <t>White Cell JTF-Tarpon</t>
  </si>
  <si>
    <t>1 Soldier found Pregnant after a physical performed with medical command, last week</t>
  </si>
  <si>
    <t>Deny request &amp; cover with chaplain from another unit. A Battalion commander reports his unit chaplain cannot be contacted. As a replacement he wants to bring with the unit his civilian pastor to do the chaplain work</t>
  </si>
  <si>
    <t>Status of Armories</t>
  </si>
  <si>
    <t>J2</t>
  </si>
  <si>
    <t>Evacuation order Request</t>
  </si>
  <si>
    <t>White Cell JTF-Tarpon - Advise TF Units of REDCON 3 Status</t>
  </si>
  <si>
    <t xml:space="preserve">White Cell JTF-Tarpon - Assumes REDCON 4 and prepares to execute JFHQ OPLAN 10-200.  </t>
  </si>
  <si>
    <t xml:space="preserve">White Cell JTF-Tarpon - Begin initial preparation for standing up JTF-S staff and the IEF. </t>
  </si>
  <si>
    <t xml:space="preserve">White Cell JTF-Tarpon - Establish communications with Baldwin and Mobile Counties </t>
  </si>
  <si>
    <t>White Cell JTF-Tarpon - Issue Warning Order to all subordinate units</t>
  </si>
  <si>
    <t>White Cell JTF-Tarpon - Test alert roster for key personnel TPFDD to JTF-S</t>
  </si>
  <si>
    <t>White Cell JTF-Tarpon -  issues warning order to respective MEB units TBP to activate and deploy Zone 2 LNOs</t>
  </si>
  <si>
    <t>White Cell JTF-Tarpon - Activate and dispatch Zone 1 LNOs to Baldwin and Mobile County EMAs</t>
  </si>
  <si>
    <t>White Cell JTF-Tarpon - activates support pax for JTF-S (B/711 BSB, 1165th MP CO, 690th CM CO, 31 NSC)</t>
  </si>
  <si>
    <t>White Cell JTF-Tarpon - conduct COMMS check with SAR and COMMS TM</t>
  </si>
  <si>
    <t>White Cell JTF-Tarpon - cross talks with all TPFDD JTF-S IEF Units – BP to mobilize</t>
  </si>
  <si>
    <t>White Cell JTF-Tarpon - issues Warning Order to members of HQ, 226 MEB TBP to mobilize as JTF-S</t>
  </si>
  <si>
    <t>White Cell JTF-Tarpon - Receive OPORD from JFHQ directing mobilization of JTF-S IEF (HQ-1-167 IN,  A/1-167 IN, 1203 EN (-) IEF, HQ 711 BSB,  A/711 BSB, 280th CBCS ICEv3)</t>
  </si>
  <si>
    <t xml:space="preserve">White Cell JTF-Tarpon - SAR and COMMS move to staging Areas </t>
  </si>
  <si>
    <t xml:space="preserve">White Cell JTF-Tarpon - 1-117 detached from 226 MEB, attached to 62nd Troop Command – BP to conduct Contra Flow
</t>
  </si>
  <si>
    <t>White Cell JTF-Tarpon - Apportioned units activated.
B/711 BSB, 1165th MP CO  690th CM CO 31 NSC</t>
  </si>
  <si>
    <t>White Cell JTF-Tarpon - IEFs activated (HQ-1-167 IN,  A/1-167 IN, 1203 EN (-) IEF, HQ 711 BSB,  A/711 BSB, 280th CBCS ICEv3)</t>
  </si>
  <si>
    <t xml:space="preserve">White Cell JTF-Tarpon - issue movement orders to:
HQ-1-167 IN  A/1-167 In  1203 EN (-) IEF
</t>
  </si>
  <si>
    <t xml:space="preserve">White Cell JTF-Tarpon - Issue warning order to remainder of JTF-S TPFDD units – BP to execute REDCON 2 (B/1-167, C/1-167,  D/1-167,  167 FSC, 1203 EN BN, 161 MED BN, 186 EN CO,  1151st EN CO, 1152 FFT, 1153 FFT,  1312 EN DET, 781 TSC, 127 MED CO, 778 MNT CO)
</t>
  </si>
  <si>
    <t xml:space="preserve">White Cell JTF-Tarpon - receives FRAGO to acitvate as JTF-S </t>
  </si>
  <si>
    <t>White Cell JTF-Tarpon - Zone 2 LNOs activated and ordered to county EMAs (Clark,  Washington, Escambia-711th BSB)</t>
  </si>
  <si>
    <t>White Cell White Cell JTF-Tarpon</t>
  </si>
  <si>
    <t>White Cell White Cell JTF-Tarpon gets notification of pending activation</t>
  </si>
  <si>
    <t xml:space="preserve">White Cell JTF-Tarpon - Movement to Staging Areas REDCON 2 Status </t>
  </si>
  <si>
    <t xml:space="preserve">White Cell JTF-Tarpon - Apportioned units REDCON 1 (B/711 BSB, 1165th MP CO,  690th CM CO,  31 NSC)
</t>
  </si>
  <si>
    <t xml:space="preserve">White Cell JTF-Tarpon - IEFs REDCON 1 (HQ-1-167 IN,  A/1-167 IN,  1203 EN (-) IEF, HQ 711 BSB,  A/711 BSB, 280th CBCS ICEv3)
</t>
  </si>
  <si>
    <t>White Cell JTF-Tarpon - JTF South units  (Staged / RSOI)  (Receive / Conduct EMA Missions) REDCON 1</t>
  </si>
  <si>
    <t>White Cell JTF-Tarpon - receive copy of Movement plans from respective MACOMS for remainder of JTF–S units (B/1-167, C/1-167,  D/1-167,  167 FSC, 1203 EN BN, 161 MED BN, 186 EN CO,  1151st EN CO, 1152 FFT, 1153 FFT,  1312 EN DET, 781 TSC, 127 MED CO, 778 MNT CO)</t>
  </si>
  <si>
    <t xml:space="preserve">White Cell JTF-Tarpon - IEF and Augmentation Forces conduct movement and close at RON Sites NLT H-24
</t>
  </si>
  <si>
    <t xml:space="preserve">White Cell JTF-Tarpon -1-117 FA BPT  Conduct Contra Flow under C2 of 62nd Troop Command until mission completion
</t>
  </si>
  <si>
    <t>White Cell JTF-Tarpon -coordinate with respective MACOMS tasking units to JTF-S</t>
  </si>
  <si>
    <t>White Cell JTF-Tarpon -establish communication with all activated units – units remain under C2 of MACOM</t>
  </si>
  <si>
    <t xml:space="preserve">White Cell JTF-Tarpon -Issue FRAGO to activate remaining JTF-S TPFDD units (B/1-167, C/1-167,  D/1-167,  167 FSC, 1203 EN BN, 161 MED BN, 186 EN CO,  1151st EN CO, 1152 FFT, 1153 FFT,  1312 EN DET, 781 TSC, 127 MED CO, 778 MNT CO)
</t>
  </si>
  <si>
    <t xml:space="preserve">White Cell JTF-Tarpon -  remaining Forces at REDCON 2
</t>
  </si>
  <si>
    <t xml:space="preserve">White Cell JTF-Tarpon - Contra Flow ENDEX 1-117 FA moves to RON Sites – Consolidates and reorganizes – Detached from 62nd Troop Command and attached to JTF-S – REDCON 1
</t>
  </si>
  <si>
    <t>White Cell JTF-Tarpon - IEF and Augmentation Forces at REDCON 1</t>
  </si>
  <si>
    <t xml:space="preserve">White Cell JTF-Tarpon - Movement in the AOR is limited to mission essential only.
</t>
  </si>
  <si>
    <t xml:space="preserve">White Cell JTF-Tarpon - 1-117 FA Conducts Contra Flow under C2 of 62nd Troop Command </t>
  </si>
  <si>
    <t>White Cell JTF-Tarpon - 1-117 FA, BP to Move to designed AOR</t>
  </si>
  <si>
    <t>White Cell JTF-Tarpon - Conduct DSCA Operations (RSOI) REDCON 1</t>
  </si>
  <si>
    <t xml:space="preserve">White Cell JTF-Tarpon - O/O BP to conduct damage assessment
</t>
  </si>
  <si>
    <t>White Cell JTF-Tarpon - O/O BP to conduct debris removal</t>
  </si>
  <si>
    <t>White Cell JTF-Tarpon - O/O BP to conduct SAR</t>
  </si>
  <si>
    <t>White Cell JTF-Tarpon - Conduct DSCA Operations (RSOI &amp; Initiate Sustainment Operations)                    REDCON 1</t>
  </si>
  <si>
    <t>White Cell  JTF-Tarpon</t>
  </si>
  <si>
    <t xml:space="preserve">Request 100 -150 personnel to establish VCPs, roadblocks and blocking positions on external perimeter to prevent external forces from entering prison compound and providing assistance to prisoners.  Force must be configured </t>
  </si>
  <si>
    <t>RFI to lay baseline reporting requirements of each TF, time reports are due to the J2…J2 provided current PIR, Collection Plan, Report Formats, and reporting requirements to each TF.</t>
  </si>
  <si>
    <t>White  Cell</t>
  </si>
  <si>
    <t xml:space="preserve"> JTF-Tarpon reports loss of 4 Node Centers due to storm damage and requests two NC teams from JTF North ISO JTF South communication operations.</t>
  </si>
  <si>
    <t xml:space="preserve"> White Cell JTF-Tarpon</t>
  </si>
  <si>
    <t>Baldwin County Sheriff Department requests  assistance with ground evacuation of all trailer park residents along Dog River</t>
  </si>
  <si>
    <t xml:space="preserve">Mobile County Sheriff requests 250 personnell for site security and traffic control. </t>
  </si>
  <si>
    <t xml:space="preserve">Baldwin County request Support personnel to man and operate the following POD sites beginning at 0800 08 May 13.  Duration 7 days, POC is County ESF 7 Mr. Bouie. Bay Minette
First Baptist Church of Bay Minette, 1201 Hand Avenue
Labor Personnel: 10-12.  POD Equipment Needed:  1X tent.  Security Personnel. None.  
Operational Hours: 8-10
Daphne
Daphne Civic Center, 2603 Highway 98
Labor Personnel: 40.  POD Equipment Needed:  None.  Security Personnel. None.  
Operational Hours: 12Elberta
Elberta Fire Department, 13120 Illinois Street
Labor Personnel: 12.  POD Equipment Needed:  None.  Security Personnel. None.  
Operational Hours: 10
Fairhope
Fairhope - Volanta Ball Park, Volanta Ave.
Labor Personnel: 40.  POD Equipment Needed:  None.  Security Personnel. None.  
Operational Hours: 12
Foley
Tanger Factory Outlet Center, 2601 McKenzie Street
Labor Personnel: 40.  POD Equipment Needed:  1X tent, 1X light set.  Security Personnel. None.  Operational Hours: 12
Gulf Shores
Sports Complex, 19025 Oak Road West
Labor Personnel: 40.  POD Equipment Needed:  forklift operator.  
Security Personnel. None.  Operational Hours: 12
</t>
  </si>
  <si>
    <t>Baldwin POD Support</t>
  </si>
</sst>
</file>

<file path=xl/styles.xml><?xml version="1.0" encoding="utf-8"?>
<styleSheet xmlns="http://schemas.openxmlformats.org/spreadsheetml/2006/main">
  <numFmts count="4">
    <numFmt numFmtId="164" formatCode="[$-409]d\-mmm\-yy;@"/>
    <numFmt numFmtId="165" formatCode="m/d/yy\ h:mm;@"/>
    <numFmt numFmtId="166" formatCode="[$-F400]h:mm:ss\ AM/PM"/>
    <numFmt numFmtId="167" formatCode="[$-409]m/d/yy\ h:mm\ AM/PM;@"/>
  </numFmts>
  <fonts count="31">
    <font>
      <sz val="10"/>
      <name val="Arial"/>
    </font>
    <font>
      <sz val="8"/>
      <name val="Arial"/>
      <family val="2"/>
    </font>
    <font>
      <sz val="10"/>
      <name val="Arial"/>
      <family val="2"/>
    </font>
    <font>
      <b/>
      <sz val="14"/>
      <name val="Arial"/>
      <family val="2"/>
    </font>
    <font>
      <b/>
      <sz val="16"/>
      <color indexed="9"/>
      <name val="Arial"/>
      <family val="2"/>
    </font>
    <font>
      <sz val="10"/>
      <color indexed="10"/>
      <name val="Arial"/>
      <family val="2"/>
    </font>
    <font>
      <b/>
      <sz val="10"/>
      <name val="Arial"/>
      <family val="2"/>
    </font>
    <font>
      <sz val="10"/>
      <color indexed="8"/>
      <name val="Arial"/>
      <family val="2"/>
    </font>
    <font>
      <sz val="10"/>
      <name val="Arial"/>
      <family val="2"/>
    </font>
    <font>
      <i/>
      <sz val="10"/>
      <color indexed="10"/>
      <name val="Arial"/>
      <family val="2"/>
    </font>
    <font>
      <b/>
      <u/>
      <sz val="10"/>
      <name val="Arial"/>
      <family val="2"/>
    </font>
    <font>
      <sz val="8"/>
      <color indexed="81"/>
      <name val="Tahoma"/>
      <family val="2"/>
    </font>
    <font>
      <b/>
      <sz val="8"/>
      <color indexed="81"/>
      <name val="Tahoma"/>
      <family val="2"/>
    </font>
    <font>
      <b/>
      <sz val="8"/>
      <name val="Arial"/>
      <family val="2"/>
    </font>
    <font>
      <b/>
      <sz val="14"/>
      <color indexed="9"/>
      <name val="Arial"/>
      <family val="2"/>
    </font>
    <font>
      <sz val="10"/>
      <color indexed="9"/>
      <name val="Arial"/>
      <family val="2"/>
    </font>
    <font>
      <sz val="10"/>
      <color indexed="60"/>
      <name val="Arial"/>
      <family val="2"/>
    </font>
    <font>
      <sz val="8"/>
      <name val="Arial"/>
      <family val="2"/>
    </font>
    <font>
      <sz val="14"/>
      <name val="Arial"/>
      <family val="2"/>
    </font>
    <font>
      <sz val="11"/>
      <color rgb="FF006100"/>
      <name val="Calibri"/>
      <family val="2"/>
      <scheme val="minor"/>
    </font>
    <font>
      <b/>
      <sz val="10"/>
      <color indexed="9"/>
      <name val="Arial"/>
      <family val="2"/>
    </font>
    <font>
      <b/>
      <sz val="11"/>
      <color rgb="FF006100"/>
      <name val="Calibri"/>
      <family val="2"/>
      <scheme val="minor"/>
    </font>
    <font>
      <b/>
      <i/>
      <sz val="10"/>
      <color indexed="10"/>
      <name val="Arial"/>
      <family val="2"/>
    </font>
    <font>
      <b/>
      <sz val="10"/>
      <color indexed="8"/>
      <name val="Arial"/>
      <family val="2"/>
    </font>
    <font>
      <b/>
      <sz val="10"/>
      <color indexed="60"/>
      <name val="Arial"/>
      <family val="2"/>
    </font>
    <font>
      <b/>
      <sz val="10"/>
      <color indexed="10"/>
      <name val="Arial"/>
      <family val="2"/>
    </font>
    <font>
      <b/>
      <sz val="10.5"/>
      <name val="Consolas"/>
      <family val="3"/>
    </font>
    <font>
      <sz val="12"/>
      <color rgb="FF000000"/>
      <name val="Arial"/>
      <family val="2"/>
    </font>
    <font>
      <b/>
      <sz val="12"/>
      <color rgb="FF000000"/>
      <name val="Arial"/>
      <family val="2"/>
    </font>
    <font>
      <b/>
      <vertAlign val="superscript"/>
      <sz val="12"/>
      <color rgb="FF000000"/>
      <name val="Arial"/>
      <family val="2"/>
    </font>
    <font>
      <b/>
      <sz val="14"/>
      <color theme="0"/>
      <name val="Arial"/>
      <family val="2"/>
    </font>
  </fonts>
  <fills count="19">
    <fill>
      <patternFill patternType="none"/>
    </fill>
    <fill>
      <patternFill patternType="gray125"/>
    </fill>
    <fill>
      <patternFill patternType="solid">
        <fgColor indexed="18"/>
        <bgColor indexed="64"/>
      </patternFill>
    </fill>
    <fill>
      <patternFill patternType="solid">
        <fgColor indexed="62"/>
        <bgColor indexed="64"/>
      </patternFill>
    </fill>
    <fill>
      <patternFill patternType="solid">
        <fgColor indexed="13"/>
        <bgColor indexed="64"/>
      </patternFill>
    </fill>
    <fill>
      <patternFill patternType="solid">
        <fgColor indexed="9"/>
        <bgColor indexed="64"/>
      </patternFill>
    </fill>
    <fill>
      <patternFill patternType="solid">
        <fgColor indexed="43"/>
        <bgColor indexed="64"/>
      </patternFill>
    </fill>
    <fill>
      <patternFill patternType="solid">
        <fgColor indexed="26"/>
        <bgColor indexed="64"/>
      </patternFill>
    </fill>
    <fill>
      <patternFill patternType="solid">
        <fgColor rgb="FFC6EFCE"/>
      </patternFill>
    </fill>
    <fill>
      <patternFill patternType="solid">
        <fgColor indexed="44"/>
        <bgColor indexed="64"/>
      </patternFill>
    </fill>
    <fill>
      <patternFill patternType="solid">
        <fgColor indexed="10"/>
        <bgColor indexed="64"/>
      </patternFill>
    </fill>
    <fill>
      <patternFill patternType="solid">
        <fgColor indexed="51"/>
        <bgColor indexed="64"/>
      </patternFill>
    </fill>
    <fill>
      <patternFill patternType="solid">
        <fgColor indexed="36"/>
        <bgColor indexed="64"/>
      </patternFill>
    </fill>
    <fill>
      <patternFill patternType="solid">
        <fgColor indexed="55"/>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rgb="FF7030A0"/>
        <bgColor indexed="64"/>
      </patternFill>
    </fill>
    <fill>
      <patternFill patternType="solid">
        <fgColor rgb="FFFFC000"/>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right/>
      <top/>
      <bottom style="medium">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top style="medium">
        <color indexed="64"/>
      </top>
      <bottom/>
      <diagonal/>
    </border>
    <border>
      <left style="medium">
        <color indexed="64"/>
      </left>
      <right/>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thin">
        <color indexed="64"/>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4">
    <xf numFmtId="0" fontId="0" fillId="0" borderId="0"/>
    <xf numFmtId="0" fontId="8" fillId="0" borderId="0"/>
    <xf numFmtId="0" fontId="2" fillId="0" borderId="0"/>
    <xf numFmtId="0" fontId="19" fillId="8" borderId="0" applyNumberFormat="0" applyBorder="0" applyAlignment="0" applyProtection="0"/>
  </cellStyleXfs>
  <cellXfs count="230">
    <xf numFmtId="0" fontId="0" fillId="0" borderId="0" xfId="0"/>
    <xf numFmtId="0" fontId="2" fillId="0" borderId="1" xfId="0" applyFont="1" applyFill="1" applyBorder="1" applyAlignment="1">
      <alignment horizontal="left" vertical="center" wrapText="1"/>
    </xf>
    <xf numFmtId="49" fontId="2" fillId="0" borderId="1" xfId="0" applyNumberFormat="1" applyFont="1" applyFill="1" applyBorder="1" applyAlignment="1">
      <alignment horizontal="left" vertical="center" wrapText="1"/>
    </xf>
    <xf numFmtId="0" fontId="3" fillId="0" borderId="1" xfId="0" applyFont="1" applyFill="1" applyBorder="1" applyAlignment="1" applyProtection="1">
      <alignment horizontal="center" vertical="center" wrapText="1"/>
    </xf>
    <xf numFmtId="49" fontId="3" fillId="0" borderId="1" xfId="0" applyNumberFormat="1" applyFont="1" applyFill="1" applyBorder="1" applyAlignment="1" applyProtection="1">
      <alignment horizontal="center" vertical="center" wrapText="1"/>
    </xf>
    <xf numFmtId="0" fontId="3" fillId="0" borderId="1" xfId="0" applyFont="1" applyFill="1" applyBorder="1" applyAlignment="1">
      <alignment horizontal="center" vertical="center" wrapText="1"/>
    </xf>
    <xf numFmtId="0" fontId="3" fillId="0" borderId="2" xfId="0" applyFont="1" applyFill="1" applyBorder="1" applyAlignment="1">
      <alignment horizontal="center" vertical="center" wrapText="1"/>
    </xf>
    <xf numFmtId="0" fontId="0" fillId="0" borderId="2" xfId="0" applyFill="1" applyBorder="1" applyAlignment="1">
      <alignment horizontal="left" vertical="center" wrapText="1"/>
    </xf>
    <xf numFmtId="0" fontId="0" fillId="0" borderId="0" xfId="0" applyBorder="1"/>
    <xf numFmtId="0" fontId="3" fillId="0" borderId="0" xfId="0" applyFont="1" applyBorder="1" applyAlignment="1">
      <alignment horizontal="center" vertical="center" wrapText="1"/>
    </xf>
    <xf numFmtId="0" fontId="0" fillId="0" borderId="1" xfId="0" applyFill="1" applyBorder="1" applyAlignment="1">
      <alignment horizontal="left" vertical="center" wrapText="1"/>
    </xf>
    <xf numFmtId="0" fontId="4" fillId="2" borderId="3" xfId="0" applyFont="1" applyFill="1" applyBorder="1" applyAlignment="1">
      <alignment horizontal="left" vertical="center"/>
    </xf>
    <xf numFmtId="0" fontId="4" fillId="2" borderId="3" xfId="0" applyFont="1" applyFill="1" applyBorder="1" applyAlignment="1">
      <alignment horizontal="left" vertical="center" wrapText="1"/>
    </xf>
    <xf numFmtId="0" fontId="4" fillId="2" borderId="4" xfId="0" applyFont="1" applyFill="1" applyBorder="1" applyAlignment="1">
      <alignment horizontal="left" vertical="center"/>
    </xf>
    <xf numFmtId="0" fontId="4" fillId="2" borderId="4" xfId="0" applyFont="1" applyFill="1" applyBorder="1" applyAlignment="1">
      <alignment horizontal="left" vertical="center" wrapText="1"/>
    </xf>
    <xf numFmtId="49" fontId="2" fillId="0" borderId="1" xfId="0" applyNumberFormat="1" applyFont="1" applyFill="1" applyBorder="1" applyAlignment="1">
      <alignment horizontal="center" vertical="center" wrapText="1"/>
    </xf>
    <xf numFmtId="0" fontId="3" fillId="0" borderId="5" xfId="0" applyFont="1" applyBorder="1" applyAlignment="1">
      <alignment horizontal="center" vertical="center" wrapText="1"/>
    </xf>
    <xf numFmtId="0" fontId="0" fillId="0" borderId="6" xfId="0" applyBorder="1"/>
    <xf numFmtId="164" fontId="3" fillId="0" borderId="1" xfId="0" applyNumberFormat="1" applyFont="1" applyFill="1" applyBorder="1" applyAlignment="1" applyProtection="1">
      <alignment horizontal="center" vertical="center" wrapText="1"/>
    </xf>
    <xf numFmtId="164" fontId="2" fillId="0" borderId="1" xfId="0" applyNumberFormat="1" applyFont="1" applyFill="1" applyBorder="1" applyAlignment="1">
      <alignment horizontal="left" vertical="center" wrapText="1"/>
    </xf>
    <xf numFmtId="165" fontId="3" fillId="0" borderId="1" xfId="0" applyNumberFormat="1" applyFont="1" applyFill="1" applyBorder="1" applyAlignment="1" applyProtection="1">
      <alignment horizontal="center" vertical="center" wrapText="1"/>
    </xf>
    <xf numFmtId="165" fontId="2" fillId="0" borderId="1" xfId="0" applyNumberFormat="1" applyFont="1" applyFill="1" applyBorder="1" applyAlignment="1">
      <alignment horizontal="left" vertical="center" wrapText="1"/>
    </xf>
    <xf numFmtId="0" fontId="4" fillId="2" borderId="7" xfId="0" applyFont="1" applyFill="1" applyBorder="1" applyAlignment="1">
      <alignment horizontal="center" vertical="center"/>
    </xf>
    <xf numFmtId="0" fontId="4" fillId="2" borderId="8" xfId="0" applyFont="1" applyFill="1" applyBorder="1" applyAlignment="1">
      <alignment horizontal="center" vertical="center"/>
    </xf>
    <xf numFmtId="0" fontId="0" fillId="0" borderId="0" xfId="0" applyAlignment="1">
      <alignment wrapText="1"/>
    </xf>
    <xf numFmtId="0" fontId="14" fillId="3" borderId="1" xfId="0" applyFont="1" applyFill="1" applyBorder="1" applyAlignment="1" applyProtection="1">
      <alignment horizontal="center" vertical="top" wrapText="1"/>
    </xf>
    <xf numFmtId="14" fontId="14" fillId="3" borderId="1" xfId="0" applyNumberFormat="1" applyFont="1" applyFill="1" applyBorder="1" applyAlignment="1" applyProtection="1">
      <alignment horizontal="center" vertical="top" wrapText="1"/>
    </xf>
    <xf numFmtId="166" fontId="14" fillId="3" borderId="1" xfId="0" applyNumberFormat="1" applyFont="1" applyFill="1" applyBorder="1" applyAlignment="1" applyProtection="1">
      <alignment horizontal="center" vertical="top" wrapText="1"/>
    </xf>
    <xf numFmtId="165" fontId="14" fillId="3" borderId="1" xfId="0" applyNumberFormat="1" applyFont="1" applyFill="1" applyBorder="1" applyAlignment="1" applyProtection="1">
      <alignment horizontal="center" vertical="top" wrapText="1"/>
    </xf>
    <xf numFmtId="0" fontId="14" fillId="3" borderId="1" xfId="0" applyFont="1" applyFill="1" applyBorder="1" applyAlignment="1">
      <alignment horizontal="center" vertical="top" wrapText="1"/>
    </xf>
    <xf numFmtId="49" fontId="14" fillId="3" borderId="1" xfId="0" applyNumberFormat="1" applyFont="1" applyFill="1" applyBorder="1" applyAlignment="1" applyProtection="1">
      <alignment horizontal="center" vertical="top" wrapText="1"/>
    </xf>
    <xf numFmtId="0" fontId="2" fillId="0" borderId="1" xfId="0" applyFont="1" applyFill="1" applyBorder="1" applyAlignment="1">
      <alignment horizontal="center" vertical="top" wrapText="1"/>
    </xf>
    <xf numFmtId="14" fontId="2" fillId="0" borderId="1" xfId="0" applyNumberFormat="1" applyFont="1" applyFill="1" applyBorder="1" applyAlignment="1">
      <alignment horizontal="center" vertical="top" wrapText="1"/>
    </xf>
    <xf numFmtId="166" fontId="2" fillId="0" borderId="1" xfId="0" applyNumberFormat="1" applyFont="1" applyFill="1" applyBorder="1" applyAlignment="1">
      <alignment horizontal="center" vertical="top" wrapText="1"/>
    </xf>
    <xf numFmtId="165" fontId="16" fillId="0" borderId="1" xfId="0" applyNumberFormat="1" applyFont="1" applyFill="1" applyBorder="1" applyAlignment="1">
      <alignment horizontal="center" vertical="top" wrapText="1"/>
    </xf>
    <xf numFmtId="0" fontId="2" fillId="4"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Fill="1" applyBorder="1" applyAlignment="1">
      <alignment horizontal="center" vertical="top" wrapText="1"/>
    </xf>
    <xf numFmtId="0" fontId="2" fillId="0" borderId="1" xfId="0" applyFont="1" applyBorder="1" applyAlignment="1">
      <alignment horizontal="center" vertical="top" wrapText="1"/>
    </xf>
    <xf numFmtId="165" fontId="2" fillId="0" borderId="1" xfId="0" applyNumberFormat="1" applyFont="1" applyFill="1" applyBorder="1" applyAlignment="1">
      <alignment horizontal="center" vertical="top" wrapText="1"/>
    </xf>
    <xf numFmtId="49" fontId="2" fillId="0" borderId="1" xfId="0" applyNumberFormat="1" applyFont="1" applyFill="1" applyBorder="1" applyAlignment="1">
      <alignment horizontal="center" vertical="top" wrapText="1"/>
    </xf>
    <xf numFmtId="166" fontId="16" fillId="0" borderId="1" xfId="0" applyNumberFormat="1" applyFont="1" applyFill="1" applyBorder="1" applyAlignment="1">
      <alignment horizontal="center" vertical="top" wrapText="1"/>
    </xf>
    <xf numFmtId="0" fontId="5" fillId="0" borderId="1" xfId="0" applyFont="1" applyFill="1" applyBorder="1" applyAlignment="1">
      <alignment horizontal="center" vertical="top" wrapText="1"/>
    </xf>
    <xf numFmtId="0" fontId="2" fillId="5" borderId="1" xfId="0" applyFont="1" applyFill="1" applyBorder="1" applyAlignment="1">
      <alignment horizontal="center" vertical="top" wrapText="1"/>
    </xf>
    <xf numFmtId="0" fontId="7" fillId="5" borderId="1" xfId="0" applyFont="1" applyFill="1" applyBorder="1" applyAlignment="1">
      <alignment horizontal="center" vertical="top" wrapText="1"/>
    </xf>
    <xf numFmtId="49" fontId="2" fillId="5" borderId="1" xfId="0" applyNumberFormat="1" applyFont="1" applyFill="1" applyBorder="1" applyAlignment="1">
      <alignment horizontal="center" vertical="top" wrapText="1"/>
    </xf>
    <xf numFmtId="165" fontId="2" fillId="5" borderId="1" xfId="0" applyNumberFormat="1" applyFont="1" applyFill="1" applyBorder="1" applyAlignment="1">
      <alignment horizontal="center" vertical="top" wrapText="1"/>
    </xf>
    <xf numFmtId="14" fontId="2" fillId="4" borderId="1" xfId="0" applyNumberFormat="1" applyFont="1" applyFill="1" applyBorder="1" applyAlignment="1">
      <alignment horizontal="center" vertical="top" wrapText="1"/>
    </xf>
    <xf numFmtId="166" fontId="2" fillId="4" borderId="1" xfId="0" applyNumberFormat="1" applyFont="1" applyFill="1" applyBorder="1" applyAlignment="1">
      <alignment horizontal="center" vertical="top" wrapText="1"/>
    </xf>
    <xf numFmtId="165" fontId="2" fillId="4" borderId="1" xfId="0" applyNumberFormat="1" applyFont="1" applyFill="1" applyBorder="1" applyAlignment="1">
      <alignment horizontal="center" vertical="top" wrapText="1"/>
    </xf>
    <xf numFmtId="49" fontId="2" fillId="4" borderId="1" xfId="0" applyNumberFormat="1" applyFont="1" applyFill="1" applyBorder="1" applyAlignment="1">
      <alignment horizontal="center" vertical="top" wrapText="1"/>
    </xf>
    <xf numFmtId="166" fontId="16" fillId="4" borderId="1" xfId="0" applyNumberFormat="1" applyFont="1" applyFill="1" applyBorder="1" applyAlignment="1">
      <alignment horizontal="center" vertical="top" wrapText="1"/>
    </xf>
    <xf numFmtId="165" fontId="16" fillId="4" borderId="1" xfId="0" applyNumberFormat="1" applyFont="1" applyFill="1" applyBorder="1" applyAlignment="1">
      <alignment horizontal="center" vertical="top" wrapText="1"/>
    </xf>
    <xf numFmtId="0" fontId="5" fillId="4" borderId="1" xfId="0" applyFont="1" applyFill="1" applyBorder="1" applyAlignment="1">
      <alignment horizontal="center" vertical="top" wrapText="1"/>
    </xf>
    <xf numFmtId="0" fontId="2" fillId="5" borderId="1" xfId="0" applyNumberFormat="1" applyFont="1" applyFill="1" applyBorder="1" applyAlignment="1" applyProtection="1">
      <alignment horizontal="center" vertical="top" wrapText="1"/>
    </xf>
    <xf numFmtId="0" fontId="6" fillId="4" borderId="1" xfId="0" applyFont="1" applyFill="1" applyBorder="1" applyAlignment="1">
      <alignment horizontal="center" vertical="top" wrapText="1"/>
    </xf>
    <xf numFmtId="0" fontId="2" fillId="0" borderId="1" xfId="1" applyFont="1" applyFill="1" applyBorder="1" applyAlignment="1">
      <alignment horizontal="center" vertical="top" wrapText="1"/>
    </xf>
    <xf numFmtId="0" fontId="15" fillId="0" borderId="1" xfId="0" applyFont="1" applyBorder="1" applyAlignment="1">
      <alignment horizontal="center" vertical="top" wrapText="1"/>
    </xf>
    <xf numFmtId="165" fontId="2" fillId="0" borderId="1" xfId="0" applyNumberFormat="1" applyFont="1" applyBorder="1" applyAlignment="1">
      <alignment horizontal="center" vertical="top" wrapText="1"/>
    </xf>
    <xf numFmtId="166" fontId="2" fillId="0" borderId="1" xfId="0" applyNumberFormat="1" applyFont="1" applyBorder="1" applyAlignment="1">
      <alignment horizontal="center" vertical="top" wrapText="1"/>
    </xf>
    <xf numFmtId="0" fontId="6" fillId="0" borderId="1" xfId="0" applyFont="1" applyBorder="1" applyAlignment="1">
      <alignment horizontal="center" vertical="top" wrapText="1"/>
    </xf>
    <xf numFmtId="0" fontId="2" fillId="0" borderId="1" xfId="0" applyNumberFormat="1" applyFont="1" applyFill="1" applyBorder="1" applyAlignment="1">
      <alignment horizontal="center" vertical="top" wrapText="1"/>
    </xf>
    <xf numFmtId="0" fontId="6" fillId="0" borderId="0" xfId="0" applyFont="1"/>
    <xf numFmtId="0" fontId="1" fillId="0" borderId="1" xfId="0" applyFont="1" applyBorder="1" applyAlignment="1">
      <alignment horizontal="left" vertical="top" wrapText="1"/>
    </xf>
    <xf numFmtId="167" fontId="1" fillId="0" borderId="1" xfId="0" applyNumberFormat="1" applyFont="1" applyBorder="1" applyAlignment="1">
      <alignment horizontal="left" vertical="top" wrapText="1"/>
    </xf>
    <xf numFmtId="0" fontId="1" fillId="0" borderId="0" xfId="0" applyFont="1" applyAlignment="1">
      <alignment horizontal="left" vertical="top" wrapText="1"/>
    </xf>
    <xf numFmtId="167" fontId="1" fillId="0" borderId="0" xfId="0" applyNumberFormat="1" applyFont="1" applyAlignment="1">
      <alignment horizontal="left" vertical="top" wrapText="1"/>
    </xf>
    <xf numFmtId="0" fontId="13" fillId="0" borderId="1" xfId="0" applyFont="1" applyBorder="1" applyAlignment="1">
      <alignment horizontal="left" vertical="top" wrapText="1"/>
    </xf>
    <xf numFmtId="167" fontId="13" fillId="0" borderId="1" xfId="0" applyNumberFormat="1" applyFont="1" applyBorder="1" applyAlignment="1">
      <alignment horizontal="left" vertical="top" wrapText="1"/>
    </xf>
    <xf numFmtId="0" fontId="13" fillId="0" borderId="1" xfId="0" applyFont="1" applyBorder="1" applyAlignment="1">
      <alignment horizontal="left" vertical="top"/>
    </xf>
    <xf numFmtId="0" fontId="1" fillId="0" borderId="0" xfId="0" applyFont="1" applyAlignment="1">
      <alignment horizontal="left" vertical="top"/>
    </xf>
    <xf numFmtId="0" fontId="2" fillId="0" borderId="1" xfId="0" applyFont="1" applyBorder="1" applyAlignment="1">
      <alignment horizontal="left" wrapText="1"/>
    </xf>
    <xf numFmtId="0" fontId="14" fillId="3" borderId="1" xfId="0" applyFont="1" applyFill="1" applyBorder="1" applyAlignment="1">
      <alignment vertical="top" wrapText="1"/>
    </xf>
    <xf numFmtId="0" fontId="2" fillId="0" borderId="1" xfId="0" applyFont="1" applyFill="1" applyBorder="1" applyAlignment="1">
      <alignment vertical="top" wrapText="1"/>
    </xf>
    <xf numFmtId="0" fontId="2" fillId="5" borderId="1" xfId="0" applyFont="1" applyFill="1" applyBorder="1" applyAlignment="1">
      <alignment vertical="top" wrapText="1"/>
    </xf>
    <xf numFmtId="0" fontId="2" fillId="0" borderId="1" xfId="0" applyFont="1" applyBorder="1" applyAlignment="1">
      <alignment vertical="top" wrapText="1"/>
    </xf>
    <xf numFmtId="0" fontId="2" fillId="0" borderId="1" xfId="0" applyNumberFormat="1" applyFont="1" applyFill="1" applyBorder="1" applyAlignment="1">
      <alignment vertical="top" wrapText="1"/>
    </xf>
    <xf numFmtId="0" fontId="2" fillId="4" borderId="1" xfId="0" applyFont="1" applyFill="1" applyBorder="1" applyAlignment="1">
      <alignment vertical="top" wrapText="1"/>
    </xf>
    <xf numFmtId="0" fontId="0" fillId="0" borderId="1" xfId="0" applyFill="1" applyBorder="1" applyAlignment="1">
      <alignment vertical="top" wrapText="1"/>
    </xf>
    <xf numFmtId="0" fontId="2" fillId="6" borderId="1" xfId="0" applyFont="1" applyFill="1" applyBorder="1" applyAlignment="1">
      <alignment horizontal="center" vertical="top" wrapText="1"/>
    </xf>
    <xf numFmtId="14" fontId="2" fillId="6" borderId="1" xfId="0" applyNumberFormat="1" applyFont="1" applyFill="1" applyBorder="1" applyAlignment="1">
      <alignment horizontal="center" vertical="top" wrapText="1"/>
    </xf>
    <xf numFmtId="166" fontId="2" fillId="6" borderId="1" xfId="0" applyNumberFormat="1" applyFont="1" applyFill="1" applyBorder="1" applyAlignment="1">
      <alignment horizontal="center" vertical="top" wrapText="1"/>
    </xf>
    <xf numFmtId="165" fontId="16" fillId="6" borderId="1" xfId="0" applyNumberFormat="1" applyFont="1" applyFill="1" applyBorder="1" applyAlignment="1">
      <alignment horizontal="center" vertical="top" wrapText="1"/>
    </xf>
    <xf numFmtId="0" fontId="2" fillId="6" borderId="1" xfId="1" applyFont="1" applyFill="1" applyBorder="1" applyAlignment="1">
      <alignment horizontal="center" vertical="top" wrapText="1"/>
    </xf>
    <xf numFmtId="165" fontId="2" fillId="6" borderId="1" xfId="0" applyNumberFormat="1" applyFont="1" applyFill="1" applyBorder="1" applyAlignment="1">
      <alignment horizontal="center" vertical="top" wrapText="1"/>
    </xf>
    <xf numFmtId="0" fontId="2" fillId="6" borderId="1" xfId="0" applyFont="1" applyFill="1" applyBorder="1" applyAlignment="1">
      <alignment vertical="top" wrapText="1"/>
    </xf>
    <xf numFmtId="0" fontId="2" fillId="7" borderId="1" xfId="0" applyFont="1" applyFill="1" applyBorder="1" applyAlignment="1">
      <alignment horizontal="center" vertical="top" wrapText="1"/>
    </xf>
    <xf numFmtId="14" fontId="2" fillId="7" borderId="1" xfId="0" applyNumberFormat="1" applyFont="1" applyFill="1" applyBorder="1" applyAlignment="1">
      <alignment horizontal="center" vertical="top" wrapText="1"/>
    </xf>
    <xf numFmtId="166" fontId="2" fillId="7" borderId="1" xfId="0" applyNumberFormat="1" applyFont="1" applyFill="1" applyBorder="1" applyAlignment="1">
      <alignment horizontal="center" vertical="top" wrapText="1"/>
    </xf>
    <xf numFmtId="165" fontId="2" fillId="7" borderId="1" xfId="0" applyNumberFormat="1" applyFont="1" applyFill="1" applyBorder="1" applyAlignment="1">
      <alignment horizontal="center" vertical="top" wrapText="1"/>
    </xf>
    <xf numFmtId="0" fontId="2" fillId="7" borderId="1" xfId="0" applyFont="1" applyFill="1" applyBorder="1" applyAlignment="1">
      <alignment vertical="top" wrapText="1"/>
    </xf>
    <xf numFmtId="166" fontId="16" fillId="6" borderId="1" xfId="0" applyNumberFormat="1" applyFont="1" applyFill="1" applyBorder="1" applyAlignment="1">
      <alignment horizontal="center" vertical="top" wrapText="1"/>
    </xf>
    <xf numFmtId="0" fontId="5" fillId="6" borderId="1" xfId="0" applyFont="1" applyFill="1" applyBorder="1" applyAlignment="1">
      <alignment horizontal="center" vertical="top" wrapText="1"/>
    </xf>
    <xf numFmtId="0" fontId="9" fillId="0" borderId="1" xfId="0" applyFont="1" applyBorder="1" applyAlignment="1">
      <alignment horizontal="center" vertical="top" wrapText="1"/>
    </xf>
    <xf numFmtId="165" fontId="2" fillId="0" borderId="0" xfId="0" applyNumberFormat="1" applyFont="1" applyAlignment="1">
      <alignment horizontal="center" vertical="top" wrapText="1"/>
    </xf>
    <xf numFmtId="0" fontId="9" fillId="0" borderId="0" xfId="0" applyFont="1" applyAlignment="1">
      <alignment horizontal="center" vertical="top" wrapText="1"/>
    </xf>
    <xf numFmtId="0" fontId="0" fillId="0" borderId="1" xfId="0" applyBorder="1" applyAlignment="1">
      <alignment wrapText="1"/>
    </xf>
    <xf numFmtId="0" fontId="2" fillId="0" borderId="0" xfId="0" applyFont="1" applyFill="1" applyAlignment="1">
      <alignment horizontal="center" vertical="top" wrapText="1"/>
    </xf>
    <xf numFmtId="0" fontId="0" fillId="0" borderId="1" xfId="0" applyBorder="1"/>
    <xf numFmtId="0" fontId="2" fillId="0" borderId="9" xfId="0" applyFont="1" applyFill="1" applyBorder="1" applyAlignment="1">
      <alignment horizontal="center" vertical="top" wrapText="1"/>
    </xf>
    <xf numFmtId="49" fontId="2" fillId="0" borderId="1" xfId="0" applyNumberFormat="1" applyFont="1" applyFill="1" applyBorder="1" applyAlignment="1">
      <alignment vertical="top" wrapText="1"/>
    </xf>
    <xf numFmtId="0" fontId="18" fillId="0" borderId="1" xfId="0" applyFont="1" applyFill="1" applyBorder="1" applyAlignment="1">
      <alignment horizontal="center" vertical="top" wrapText="1"/>
    </xf>
    <xf numFmtId="165" fontId="2" fillId="0" borderId="0" xfId="0" applyNumberFormat="1" applyFont="1" applyFill="1" applyAlignment="1">
      <alignment horizontal="center" vertical="top" wrapText="1"/>
    </xf>
    <xf numFmtId="165" fontId="16" fillId="4" borderId="0" xfId="0" applyNumberFormat="1" applyFont="1" applyFill="1" applyAlignment="1">
      <alignment horizontal="center" vertical="top" wrapText="1"/>
    </xf>
    <xf numFmtId="165" fontId="16" fillId="0" borderId="0" xfId="0" applyNumberFormat="1" applyFont="1" applyFill="1" applyAlignment="1">
      <alignment horizontal="center" vertical="top" wrapText="1"/>
    </xf>
    <xf numFmtId="0" fontId="2" fillId="4" borderId="0" xfId="0" applyFont="1" applyFill="1" applyAlignment="1">
      <alignment horizontal="center" vertical="top" wrapText="1"/>
    </xf>
    <xf numFmtId="0" fontId="2" fillId="0" borderId="0" xfId="1" applyFont="1" applyFill="1" applyBorder="1" applyAlignment="1">
      <alignment horizontal="center" vertical="top" wrapText="1"/>
    </xf>
    <xf numFmtId="0" fontId="5" fillId="4" borderId="0" xfId="0" applyFont="1" applyFill="1" applyAlignment="1">
      <alignment horizontal="center" vertical="top" wrapText="1"/>
    </xf>
    <xf numFmtId="1" fontId="14" fillId="3" borderId="1" xfId="0" applyNumberFormat="1" applyFont="1" applyFill="1" applyBorder="1" applyAlignment="1" applyProtection="1">
      <alignment horizontal="center" vertical="top" wrapText="1"/>
    </xf>
    <xf numFmtId="1" fontId="2" fillId="0" borderId="1" xfId="0" applyNumberFormat="1" applyFont="1" applyFill="1" applyBorder="1" applyAlignment="1">
      <alignment horizontal="center" vertical="top" wrapText="1"/>
    </xf>
    <xf numFmtId="165" fontId="0" fillId="0" borderId="1" xfId="0" applyNumberFormat="1" applyBorder="1" applyAlignment="1">
      <alignment horizontal="center"/>
    </xf>
    <xf numFmtId="165" fontId="0" fillId="0" borderId="0" xfId="0" applyNumberFormat="1" applyAlignment="1">
      <alignment horizontal="center"/>
    </xf>
    <xf numFmtId="0" fontId="2" fillId="0" borderId="1" xfId="1" applyNumberFormat="1" applyFont="1" applyFill="1" applyBorder="1" applyAlignment="1">
      <alignment horizontal="center" vertical="top" wrapText="1"/>
    </xf>
    <xf numFmtId="0" fontId="14" fillId="3" borderId="9" xfId="0" applyFont="1" applyFill="1" applyBorder="1" applyAlignment="1">
      <alignment horizontal="center" vertical="top" wrapText="1"/>
    </xf>
    <xf numFmtId="0" fontId="20" fillId="0" borderId="1" xfId="0" applyFont="1" applyBorder="1" applyAlignment="1">
      <alignment horizontal="center" vertical="top" wrapText="1"/>
    </xf>
    <xf numFmtId="0" fontId="6" fillId="0" borderId="11" xfId="0" applyFont="1" applyFill="1" applyBorder="1" applyAlignment="1">
      <alignment horizontal="center" vertical="top"/>
    </xf>
    <xf numFmtId="0" fontId="6" fillId="0" borderId="0" xfId="0" applyFont="1" applyFill="1" applyAlignment="1">
      <alignment horizontal="center" vertical="top"/>
    </xf>
    <xf numFmtId="0" fontId="6" fillId="0" borderId="0" xfId="0" applyFont="1" applyFill="1" applyAlignment="1">
      <alignment horizontal="center" vertical="top" wrapText="1"/>
    </xf>
    <xf numFmtId="0" fontId="6" fillId="0" borderId="10" xfId="0" applyFont="1" applyFill="1" applyBorder="1" applyAlignment="1">
      <alignment vertical="top" wrapText="1"/>
    </xf>
    <xf numFmtId="0" fontId="6" fillId="0" borderId="10" xfId="0" applyFont="1" applyFill="1" applyBorder="1" applyAlignment="1">
      <alignment horizontal="center" vertical="top" wrapText="1"/>
    </xf>
    <xf numFmtId="0" fontId="6" fillId="0" borderId="0" xfId="0" applyFont="1" applyAlignment="1">
      <alignment horizontal="left" vertical="top" wrapText="1"/>
    </xf>
    <xf numFmtId="0" fontId="6" fillId="0" borderId="0" xfId="0" applyFont="1" applyAlignment="1">
      <alignment horizontal="left" vertical="top"/>
    </xf>
    <xf numFmtId="0" fontId="6" fillId="0" borderId="0" xfId="0" applyFont="1" applyAlignment="1">
      <alignment horizontal="center" vertical="top"/>
    </xf>
    <xf numFmtId="0" fontId="6" fillId="0" borderId="0" xfId="0" applyFont="1" applyAlignment="1">
      <alignment horizontal="center" vertical="top" wrapText="1"/>
    </xf>
    <xf numFmtId="0" fontId="21" fillId="8" borderId="10" xfId="3" applyFont="1" applyBorder="1" applyAlignment="1">
      <alignment vertical="top" wrapText="1"/>
    </xf>
    <xf numFmtId="0" fontId="21" fillId="8" borderId="10" xfId="3" applyFont="1" applyBorder="1" applyAlignment="1">
      <alignment horizontal="center" vertical="top" wrapText="1"/>
    </xf>
    <xf numFmtId="0" fontId="6" fillId="0" borderId="11" xfId="0" applyFont="1" applyBorder="1" applyAlignment="1">
      <alignment horizontal="center" vertical="top"/>
    </xf>
    <xf numFmtId="0" fontId="13" fillId="9" borderId="10" xfId="0" applyFont="1" applyFill="1" applyBorder="1" applyAlignment="1">
      <alignment vertical="top" wrapText="1"/>
    </xf>
    <xf numFmtId="0" fontId="13" fillId="9" borderId="10" xfId="0" applyFont="1" applyFill="1" applyBorder="1" applyAlignment="1">
      <alignment horizontal="center" vertical="top" wrapText="1"/>
    </xf>
    <xf numFmtId="0" fontId="13" fillId="10" borderId="10" xfId="0" applyFont="1" applyFill="1" applyBorder="1" applyAlignment="1">
      <alignment vertical="top" wrapText="1"/>
    </xf>
    <xf numFmtId="0" fontId="13" fillId="10" borderId="10" xfId="0" applyFont="1" applyFill="1" applyBorder="1" applyAlignment="1">
      <alignment horizontal="center" vertical="top" wrapText="1"/>
    </xf>
    <xf numFmtId="0" fontId="13" fillId="11" borderId="10" xfId="0" applyFont="1" applyFill="1" applyBorder="1" applyAlignment="1">
      <alignment vertical="top" wrapText="1"/>
    </xf>
    <xf numFmtId="0" fontId="13" fillId="11" borderId="10" xfId="0" applyFont="1" applyFill="1" applyBorder="1" applyAlignment="1">
      <alignment horizontal="center" vertical="top" wrapText="1"/>
    </xf>
    <xf numFmtId="0" fontId="6" fillId="12" borderId="10" xfId="0" applyFont="1" applyFill="1" applyBorder="1" applyAlignment="1">
      <alignment vertical="top"/>
    </xf>
    <xf numFmtId="0" fontId="6" fillId="12" borderId="10" xfId="0" applyFont="1" applyFill="1" applyBorder="1" applyAlignment="1">
      <alignment horizontal="center" vertical="top"/>
    </xf>
    <xf numFmtId="0" fontId="6" fillId="13" borderId="12" xfId="0" applyFont="1" applyFill="1" applyBorder="1" applyAlignment="1">
      <alignment vertical="top" wrapText="1"/>
    </xf>
    <xf numFmtId="0" fontId="6" fillId="13" borderId="12" xfId="0" applyFont="1" applyFill="1" applyBorder="1" applyAlignment="1">
      <alignment horizontal="center" vertical="top" wrapText="1"/>
    </xf>
    <xf numFmtId="0" fontId="6" fillId="14" borderId="13" xfId="0" applyFont="1" applyFill="1" applyBorder="1" applyAlignment="1">
      <alignment horizontal="center" vertical="top"/>
    </xf>
    <xf numFmtId="0" fontId="6" fillId="14" borderId="14" xfId="0" applyFont="1" applyFill="1" applyBorder="1" applyAlignment="1">
      <alignment horizontal="center" vertical="top"/>
    </xf>
    <xf numFmtId="0" fontId="6" fillId="14" borderId="14" xfId="0" applyFont="1" applyFill="1" applyBorder="1" applyAlignment="1">
      <alignment horizontal="center" vertical="top" wrapText="1"/>
    </xf>
    <xf numFmtId="0" fontId="6" fillId="14" borderId="14" xfId="0" applyFont="1" applyFill="1" applyBorder="1" applyAlignment="1">
      <alignment vertical="top" wrapText="1"/>
    </xf>
    <xf numFmtId="0" fontId="6" fillId="14" borderId="14" xfId="0" applyFont="1" applyFill="1" applyBorder="1" applyAlignment="1">
      <alignment horizontal="left" vertical="top" wrapText="1"/>
    </xf>
    <xf numFmtId="0" fontId="6" fillId="14" borderId="14" xfId="0" applyFont="1" applyFill="1" applyBorder="1" applyAlignment="1">
      <alignment horizontal="left" vertical="top"/>
    </xf>
    <xf numFmtId="0" fontId="6" fillId="0" borderId="1" xfId="0" applyFont="1" applyFill="1" applyBorder="1" applyAlignment="1">
      <alignment horizontal="center" vertical="top" wrapText="1"/>
    </xf>
    <xf numFmtId="14" fontId="6" fillId="0" borderId="1" xfId="0" applyNumberFormat="1" applyFont="1" applyFill="1" applyBorder="1" applyAlignment="1">
      <alignment horizontal="center" vertical="top" wrapText="1"/>
    </xf>
    <xf numFmtId="166" fontId="6" fillId="0" borderId="1" xfId="0" applyNumberFormat="1" applyFont="1" applyFill="1" applyBorder="1" applyAlignment="1">
      <alignment horizontal="center" vertical="top" wrapText="1"/>
    </xf>
    <xf numFmtId="165" fontId="6" fillId="0" borderId="1" xfId="0" applyNumberFormat="1" applyFont="1" applyFill="1" applyBorder="1" applyAlignment="1">
      <alignment horizontal="center" vertical="top" wrapText="1"/>
    </xf>
    <xf numFmtId="49" fontId="6" fillId="0" borderId="1" xfId="0" applyNumberFormat="1" applyFont="1" applyFill="1" applyBorder="1" applyAlignment="1">
      <alignment horizontal="center" vertical="top" wrapText="1"/>
    </xf>
    <xf numFmtId="0" fontId="6" fillId="0" borderId="6" xfId="0" applyFont="1" applyFill="1" applyBorder="1" applyAlignment="1">
      <alignment horizontal="center" vertical="top" wrapText="1"/>
    </xf>
    <xf numFmtId="14" fontId="6" fillId="0" borderId="6" xfId="0" applyNumberFormat="1" applyFont="1" applyFill="1" applyBorder="1" applyAlignment="1">
      <alignment horizontal="center" vertical="top" wrapText="1"/>
    </xf>
    <xf numFmtId="166" fontId="6" fillId="0" borderId="6" xfId="0" applyNumberFormat="1" applyFont="1" applyBorder="1" applyAlignment="1">
      <alignment horizontal="center" vertical="top" wrapText="1"/>
    </xf>
    <xf numFmtId="165" fontId="6" fillId="0" borderId="6" xfId="0" applyNumberFormat="1" applyFont="1" applyBorder="1" applyAlignment="1">
      <alignment horizontal="center" vertical="top" wrapText="1"/>
    </xf>
    <xf numFmtId="0" fontId="22" fillId="0" borderId="6" xfId="0" applyFont="1" applyBorder="1" applyAlignment="1">
      <alignment horizontal="left" wrapText="1"/>
    </xf>
    <xf numFmtId="0" fontId="22" fillId="0" borderId="6" xfId="0" applyFont="1" applyBorder="1" applyAlignment="1">
      <alignment horizontal="center" vertical="top" wrapText="1"/>
    </xf>
    <xf numFmtId="0" fontId="6" fillId="0" borderId="6" xfId="0" applyFont="1" applyBorder="1" applyAlignment="1">
      <alignment horizontal="center" vertical="top" wrapText="1"/>
    </xf>
    <xf numFmtId="166" fontId="6" fillId="0" borderId="1" xfId="0" applyNumberFormat="1" applyFont="1" applyBorder="1" applyAlignment="1">
      <alignment horizontal="center" vertical="top" wrapText="1"/>
    </xf>
    <xf numFmtId="165" fontId="6" fillId="0" borderId="1" xfId="0" applyNumberFormat="1" applyFont="1" applyBorder="1" applyAlignment="1">
      <alignment horizontal="center" vertical="top" wrapText="1"/>
    </xf>
    <xf numFmtId="0" fontId="22" fillId="0" borderId="1" xfId="0" applyFont="1" applyBorder="1" applyAlignment="1">
      <alignment horizontal="left" wrapText="1"/>
    </xf>
    <xf numFmtId="0" fontId="22" fillId="0" borderId="1" xfId="0" applyFont="1" applyBorder="1" applyAlignment="1">
      <alignment horizontal="center" vertical="top" wrapText="1"/>
    </xf>
    <xf numFmtId="49" fontId="6" fillId="5" borderId="1" xfId="0" applyNumberFormat="1" applyFont="1" applyFill="1" applyBorder="1" applyAlignment="1">
      <alignment horizontal="center" vertical="top" wrapText="1"/>
    </xf>
    <xf numFmtId="0" fontId="6" fillId="0" borderId="1" xfId="0" applyNumberFormat="1" applyFont="1" applyFill="1" applyBorder="1" applyAlignment="1">
      <alignment horizontal="center" vertical="top" wrapText="1"/>
    </xf>
    <xf numFmtId="0" fontId="6" fillId="17" borderId="1" xfId="0" applyFont="1" applyFill="1" applyBorder="1" applyAlignment="1">
      <alignment horizontal="center" vertical="top" wrapText="1"/>
    </xf>
    <xf numFmtId="166" fontId="24" fillId="0" borderId="1" xfId="0" applyNumberFormat="1" applyFont="1" applyFill="1" applyBorder="1" applyAlignment="1">
      <alignment horizontal="center" vertical="top" wrapText="1"/>
    </xf>
    <xf numFmtId="0" fontId="25" fillId="0" borderId="1" xfId="0" applyFont="1" applyFill="1" applyBorder="1" applyAlignment="1">
      <alignment horizontal="center" vertical="top" wrapText="1"/>
    </xf>
    <xf numFmtId="0" fontId="6" fillId="15" borderId="1" xfId="0" applyFont="1" applyFill="1" applyBorder="1" applyAlignment="1">
      <alignment horizontal="center" vertical="top" wrapText="1"/>
    </xf>
    <xf numFmtId="165" fontId="6" fillId="5" borderId="1" xfId="0" applyNumberFormat="1" applyFont="1" applyFill="1" applyBorder="1" applyAlignment="1">
      <alignment horizontal="center" vertical="top" wrapText="1"/>
    </xf>
    <xf numFmtId="0" fontId="6" fillId="16" borderId="1" xfId="0" applyFont="1" applyFill="1" applyBorder="1" applyAlignment="1">
      <alignment horizontal="center" vertical="top" wrapText="1"/>
    </xf>
    <xf numFmtId="0" fontId="6" fillId="18" borderId="1" xfId="0" applyFont="1" applyFill="1" applyBorder="1" applyAlignment="1">
      <alignment horizontal="center" vertical="top" wrapText="1"/>
    </xf>
    <xf numFmtId="14" fontId="6" fillId="4" borderId="1" xfId="0" applyNumberFormat="1" applyFont="1" applyFill="1" applyBorder="1" applyAlignment="1">
      <alignment horizontal="center" vertical="top" wrapText="1"/>
    </xf>
    <xf numFmtId="166" fontId="6" fillId="4" borderId="1" xfId="0" applyNumberFormat="1" applyFont="1" applyFill="1" applyBorder="1" applyAlignment="1">
      <alignment horizontal="center" vertical="top" wrapText="1"/>
    </xf>
    <xf numFmtId="165" fontId="6" fillId="4" borderId="1" xfId="0" applyNumberFormat="1" applyFont="1" applyFill="1" applyBorder="1" applyAlignment="1">
      <alignment horizontal="center" vertical="top" wrapText="1"/>
    </xf>
    <xf numFmtId="49" fontId="6" fillId="4" borderId="1" xfId="0" applyNumberFormat="1" applyFont="1" applyFill="1" applyBorder="1" applyAlignment="1">
      <alignment horizontal="center" vertical="top" wrapText="1"/>
    </xf>
    <xf numFmtId="166" fontId="24" fillId="4" borderId="1" xfId="0" applyNumberFormat="1" applyFont="1" applyFill="1" applyBorder="1" applyAlignment="1">
      <alignment horizontal="center" vertical="top" wrapText="1"/>
    </xf>
    <xf numFmtId="0" fontId="25" fillId="4" borderId="1" xfId="0" applyFont="1" applyFill="1" applyBorder="1" applyAlignment="1">
      <alignment horizontal="center" vertical="top" wrapText="1"/>
    </xf>
    <xf numFmtId="0" fontId="26" fillId="0" borderId="1" xfId="0" applyFont="1" applyBorder="1" applyAlignment="1">
      <alignment horizontal="center" vertical="top" wrapText="1"/>
    </xf>
    <xf numFmtId="14" fontId="6" fillId="15" borderId="1" xfId="0" applyNumberFormat="1" applyFont="1" applyFill="1" applyBorder="1" applyAlignment="1">
      <alignment horizontal="center" vertical="top" wrapText="1"/>
    </xf>
    <xf numFmtId="166" fontId="24" fillId="15" borderId="1" xfId="0" applyNumberFormat="1" applyFont="1" applyFill="1" applyBorder="1" applyAlignment="1">
      <alignment horizontal="center" vertical="top" wrapText="1"/>
    </xf>
    <xf numFmtId="0" fontId="25" fillId="15" borderId="1" xfId="0" applyFont="1" applyFill="1" applyBorder="1" applyAlignment="1">
      <alignment horizontal="center" vertical="top" wrapText="1"/>
    </xf>
    <xf numFmtId="0" fontId="6" fillId="15" borderId="1" xfId="0" applyNumberFormat="1" applyFont="1" applyFill="1" applyBorder="1" applyAlignment="1">
      <alignment horizontal="center" vertical="top" wrapText="1"/>
    </xf>
    <xf numFmtId="166" fontId="6" fillId="15" borderId="1" xfId="0" applyNumberFormat="1" applyFont="1" applyFill="1" applyBorder="1" applyAlignment="1">
      <alignment horizontal="center" vertical="top" wrapText="1"/>
    </xf>
    <xf numFmtId="0" fontId="6" fillId="14" borderId="1" xfId="0" applyFont="1" applyFill="1" applyBorder="1" applyAlignment="1">
      <alignment horizontal="center" vertical="top" wrapText="1"/>
    </xf>
    <xf numFmtId="14" fontId="6" fillId="14" borderId="1" xfId="0" applyNumberFormat="1" applyFont="1" applyFill="1" applyBorder="1" applyAlignment="1">
      <alignment horizontal="center" vertical="top" wrapText="1"/>
    </xf>
    <xf numFmtId="166" fontId="24" fillId="14" borderId="1" xfId="0" applyNumberFormat="1" applyFont="1" applyFill="1" applyBorder="1" applyAlignment="1">
      <alignment horizontal="center" vertical="top" wrapText="1"/>
    </xf>
    <xf numFmtId="0" fontId="25" fillId="14" borderId="1" xfId="0" applyFont="1" applyFill="1" applyBorder="1" applyAlignment="1">
      <alignment horizontal="center" vertical="top" wrapText="1"/>
    </xf>
    <xf numFmtId="14" fontId="6" fillId="18" borderId="1" xfId="0" applyNumberFormat="1" applyFont="1" applyFill="1" applyBorder="1" applyAlignment="1">
      <alignment horizontal="center" vertical="top" wrapText="1"/>
    </xf>
    <xf numFmtId="166" fontId="6" fillId="18" borderId="1" xfId="0" applyNumberFormat="1" applyFont="1" applyFill="1" applyBorder="1" applyAlignment="1">
      <alignment horizontal="center" vertical="top" wrapText="1"/>
    </xf>
    <xf numFmtId="165" fontId="6" fillId="18" borderId="1" xfId="0" applyNumberFormat="1" applyFont="1" applyFill="1" applyBorder="1" applyAlignment="1">
      <alignment horizontal="center" vertical="top" wrapText="1"/>
    </xf>
    <xf numFmtId="165" fontId="6" fillId="15" borderId="1" xfId="0" applyNumberFormat="1" applyFont="1" applyFill="1" applyBorder="1" applyAlignment="1">
      <alignment horizontal="center" vertical="top" wrapText="1"/>
    </xf>
    <xf numFmtId="49" fontId="6" fillId="15" borderId="1" xfId="0" applyNumberFormat="1" applyFont="1" applyFill="1" applyBorder="1" applyAlignment="1">
      <alignment horizontal="center" vertical="top" wrapText="1"/>
    </xf>
    <xf numFmtId="0" fontId="22" fillId="15" borderId="1" xfId="0" applyFont="1" applyFill="1" applyBorder="1" applyAlignment="1">
      <alignment horizontal="left" wrapText="1"/>
    </xf>
    <xf numFmtId="14" fontId="6" fillId="17" borderId="1" xfId="0" applyNumberFormat="1" applyFont="1" applyFill="1" applyBorder="1" applyAlignment="1">
      <alignment horizontal="center" vertical="top" wrapText="1"/>
    </xf>
    <xf numFmtId="166" fontId="6" fillId="17" borderId="1" xfId="0" applyNumberFormat="1" applyFont="1" applyFill="1" applyBorder="1" applyAlignment="1">
      <alignment horizontal="center" vertical="top" wrapText="1"/>
    </xf>
    <xf numFmtId="165" fontId="6" fillId="17" borderId="1" xfId="0" applyNumberFormat="1" applyFont="1" applyFill="1" applyBorder="1" applyAlignment="1">
      <alignment horizontal="center" vertical="top" wrapText="1"/>
    </xf>
    <xf numFmtId="49" fontId="6" fillId="17" borderId="1" xfId="0" applyNumberFormat="1" applyFont="1" applyFill="1" applyBorder="1" applyAlignment="1">
      <alignment horizontal="center" vertical="top" wrapText="1"/>
    </xf>
    <xf numFmtId="49" fontId="6" fillId="18" borderId="1" xfId="0" applyNumberFormat="1" applyFont="1" applyFill="1" applyBorder="1" applyAlignment="1">
      <alignment horizontal="center" vertical="top" wrapText="1"/>
    </xf>
    <xf numFmtId="165" fontId="6" fillId="14" borderId="1" xfId="0" applyNumberFormat="1" applyFont="1" applyFill="1" applyBorder="1" applyAlignment="1">
      <alignment horizontal="center" vertical="top" wrapText="1"/>
    </xf>
    <xf numFmtId="166" fontId="24" fillId="18" borderId="1" xfId="0" applyNumberFormat="1" applyFont="1" applyFill="1" applyBorder="1" applyAlignment="1">
      <alignment horizontal="center" vertical="top" wrapText="1"/>
    </xf>
    <xf numFmtId="0" fontId="25" fillId="18" borderId="1" xfId="0" applyFont="1" applyFill="1" applyBorder="1" applyAlignment="1">
      <alignment horizontal="center" vertical="top" wrapText="1"/>
    </xf>
    <xf numFmtId="14" fontId="6" fillId="16" borderId="1" xfId="0" applyNumberFormat="1" applyFont="1" applyFill="1" applyBorder="1" applyAlignment="1">
      <alignment horizontal="center" vertical="top" wrapText="1"/>
    </xf>
    <xf numFmtId="166" fontId="6" fillId="16" borderId="1" xfId="0" applyNumberFormat="1" applyFont="1" applyFill="1" applyBorder="1" applyAlignment="1">
      <alignment horizontal="center" vertical="top" wrapText="1"/>
    </xf>
    <xf numFmtId="165" fontId="6" fillId="16" borderId="1" xfId="0" applyNumberFormat="1" applyFont="1" applyFill="1" applyBorder="1" applyAlignment="1">
      <alignment horizontal="center" vertical="top" wrapText="1"/>
    </xf>
    <xf numFmtId="49" fontId="6" fillId="16" borderId="1" xfId="0" applyNumberFormat="1" applyFont="1" applyFill="1" applyBorder="1" applyAlignment="1">
      <alignment horizontal="center" vertical="top" wrapText="1"/>
    </xf>
    <xf numFmtId="0" fontId="23" fillId="18" borderId="1" xfId="0" applyFont="1" applyFill="1" applyBorder="1" applyAlignment="1">
      <alignment horizontal="center" vertical="top" wrapText="1"/>
    </xf>
    <xf numFmtId="0" fontId="6" fillId="18" borderId="1" xfId="0" applyNumberFormat="1" applyFont="1" applyFill="1" applyBorder="1" applyAlignment="1" applyProtection="1">
      <alignment horizontal="center" vertical="top" wrapText="1"/>
    </xf>
    <xf numFmtId="0" fontId="25" fillId="17" borderId="1" xfId="0" applyFont="1" applyFill="1" applyBorder="1" applyAlignment="1">
      <alignment horizontal="center" vertical="top" wrapText="1"/>
    </xf>
    <xf numFmtId="0" fontId="25" fillId="16" borderId="1" xfId="0" applyFont="1" applyFill="1" applyBorder="1" applyAlignment="1">
      <alignment horizontal="center" vertical="top" wrapText="1"/>
    </xf>
    <xf numFmtId="0" fontId="6" fillId="15" borderId="1" xfId="2" applyFont="1" applyFill="1" applyBorder="1" applyAlignment="1">
      <alignment horizontal="center" vertical="top" wrapText="1"/>
    </xf>
    <xf numFmtId="0" fontId="6" fillId="15" borderId="1" xfId="2" applyNumberFormat="1" applyFont="1" applyFill="1" applyBorder="1" applyAlignment="1">
      <alignment horizontal="center" vertical="top" wrapText="1"/>
    </xf>
    <xf numFmtId="0" fontId="6" fillId="16" borderId="1" xfId="2" applyFont="1" applyFill="1" applyBorder="1" applyAlignment="1">
      <alignment horizontal="center" vertical="top" wrapText="1"/>
    </xf>
    <xf numFmtId="0" fontId="6" fillId="18" borderId="1" xfId="2" applyFont="1" applyFill="1" applyBorder="1" applyAlignment="1">
      <alignment horizontal="center" vertical="top" wrapText="1"/>
    </xf>
    <xf numFmtId="0" fontId="6" fillId="16" borderId="1" xfId="0" applyNumberFormat="1" applyFont="1" applyFill="1" applyBorder="1" applyAlignment="1">
      <alignment horizontal="center" vertical="top" wrapText="1"/>
    </xf>
    <xf numFmtId="0" fontId="6" fillId="16" borderId="1" xfId="0" applyFont="1" applyFill="1" applyBorder="1" applyAlignment="1">
      <alignment horizontal="center" vertical="center" wrapText="1"/>
    </xf>
    <xf numFmtId="0" fontId="6" fillId="16" borderId="1" xfId="0" applyFont="1" applyFill="1" applyBorder="1" applyAlignment="1">
      <alignment vertical="top" wrapText="1"/>
    </xf>
    <xf numFmtId="0" fontId="22" fillId="18" borderId="1" xfId="0" applyFont="1" applyFill="1" applyBorder="1" applyAlignment="1">
      <alignment horizontal="left" wrapText="1"/>
    </xf>
    <xf numFmtId="0" fontId="6" fillId="18" borderId="1" xfId="0" applyNumberFormat="1" applyFont="1" applyFill="1" applyBorder="1" applyAlignment="1">
      <alignment horizontal="center" vertical="top" wrapText="1"/>
    </xf>
    <xf numFmtId="0" fontId="22" fillId="16" borderId="1" xfId="0" applyFont="1" applyFill="1" applyBorder="1" applyAlignment="1">
      <alignment horizontal="left" wrapText="1"/>
    </xf>
    <xf numFmtId="166" fontId="24" fillId="17" borderId="1" xfId="0" applyNumberFormat="1" applyFont="1" applyFill="1" applyBorder="1" applyAlignment="1">
      <alignment horizontal="center" vertical="top" wrapText="1"/>
    </xf>
    <xf numFmtId="166" fontId="24" fillId="16" borderId="1" xfId="0" applyNumberFormat="1" applyFont="1" applyFill="1" applyBorder="1" applyAlignment="1">
      <alignment horizontal="center" vertical="top" wrapText="1"/>
    </xf>
    <xf numFmtId="0" fontId="6" fillId="17" borderId="1" xfId="0" applyNumberFormat="1" applyFont="1" applyFill="1" applyBorder="1" applyAlignment="1">
      <alignment horizontal="center" vertical="top" wrapText="1"/>
    </xf>
    <xf numFmtId="0" fontId="27" fillId="15" borderId="0" xfId="0" applyFont="1" applyFill="1" applyAlignment="1">
      <alignment vertical="top"/>
    </xf>
    <xf numFmtId="0" fontId="6" fillId="17" borderId="1" xfId="0" applyFont="1" applyFill="1" applyBorder="1" applyAlignment="1">
      <alignment vertical="top" wrapText="1"/>
    </xf>
    <xf numFmtId="0" fontId="6" fillId="17" borderId="1" xfId="0" applyNumberFormat="1" applyFont="1" applyFill="1" applyBorder="1" applyAlignment="1">
      <alignment vertical="top" wrapText="1"/>
    </xf>
    <xf numFmtId="165" fontId="30" fillId="3" borderId="1" xfId="0" applyNumberFormat="1" applyFont="1" applyFill="1" applyBorder="1" applyAlignment="1" applyProtection="1">
      <alignment horizontal="center" vertical="top" wrapText="1"/>
    </xf>
    <xf numFmtId="14" fontId="6" fillId="16" borderId="1" xfId="0" applyNumberFormat="1" applyFont="1" applyFill="1" applyBorder="1" applyAlignment="1" applyProtection="1">
      <alignment horizontal="center" vertical="top" wrapText="1"/>
      <protection locked="0"/>
    </xf>
    <xf numFmtId="166" fontId="6" fillId="16" borderId="1" xfId="0" applyNumberFormat="1" applyFont="1" applyFill="1" applyBorder="1" applyAlignment="1" applyProtection="1">
      <alignment horizontal="center" vertical="top" wrapText="1"/>
      <protection locked="0"/>
    </xf>
    <xf numFmtId="165" fontId="6" fillId="15" borderId="1" xfId="0" applyNumberFormat="1" applyFont="1" applyFill="1" applyBorder="1" applyAlignment="1" applyProtection="1">
      <alignment horizontal="center" vertical="top" wrapText="1"/>
      <protection locked="0"/>
    </xf>
    <xf numFmtId="0" fontId="6" fillId="16" borderId="1" xfId="0" applyFont="1" applyFill="1" applyBorder="1" applyAlignment="1" applyProtection="1">
      <alignment horizontal="center" vertical="top" wrapText="1"/>
      <protection locked="0"/>
    </xf>
    <xf numFmtId="49" fontId="6" fillId="16" borderId="1" xfId="0" applyNumberFormat="1" applyFont="1" applyFill="1" applyBorder="1" applyAlignment="1" applyProtection="1">
      <alignment horizontal="center" vertical="top" wrapText="1"/>
      <protection locked="0"/>
    </xf>
    <xf numFmtId="0" fontId="6" fillId="15" borderId="1" xfId="0" applyFont="1" applyFill="1" applyBorder="1" applyAlignment="1" applyProtection="1">
      <alignment horizontal="center" vertical="top" wrapText="1"/>
      <protection locked="0"/>
    </xf>
    <xf numFmtId="49" fontId="6" fillId="15" borderId="1" xfId="0" applyNumberFormat="1" applyFont="1" applyFill="1" applyBorder="1" applyAlignment="1" applyProtection="1">
      <alignment horizontal="center" vertical="top" wrapText="1"/>
      <protection locked="0"/>
    </xf>
  </cellXfs>
  <cellStyles count="4">
    <cellStyle name="Good" xfId="3" builtinId="26"/>
    <cellStyle name="Normal" xfId="0" builtinId="0"/>
    <cellStyle name="Normal 2" xfId="1"/>
    <cellStyle name="Normal 2_MIKE MSEL RW2010" xfId="2"/>
  </cellStyles>
  <dxfs count="16">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
      <font>
        <strike/>
      </font>
      <fill>
        <patternFill>
          <bgColor rgb="FF92D050"/>
        </patternFill>
      </fill>
    </dxf>
    <dxf>
      <font>
        <color theme="0"/>
      </font>
      <fill>
        <patternFill>
          <bgColor theme="1" tint="4.9989318521683403E-2"/>
        </patternFill>
      </fill>
    </dxf>
    <dxf>
      <font>
        <color theme="1"/>
      </font>
      <fill>
        <patternFill>
          <bgColor rgb="FFFFFF99"/>
        </patternFill>
      </fill>
    </dxf>
    <dxf>
      <fill>
        <patternFill>
          <bgColor rgb="FFFF9999"/>
        </patternFill>
      </fill>
    </dxf>
  </dxfs>
  <tableStyles count="0" defaultTableStyle="TableStyleMedium9" defaultPivotStyle="PivotStyleLight16"/>
  <colors>
    <mruColors>
      <color rgb="FFFF9999"/>
      <color rgb="FFFFFF99"/>
      <color rgb="FF99FF66"/>
    </mruColors>
  </colors>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8.bin"/><Relationship Id="rId3" Type="http://schemas.openxmlformats.org/officeDocument/2006/relationships/printerSettings" Target="../printerSettings/printerSettings3.bin"/><Relationship Id="rId7" Type="http://schemas.openxmlformats.org/officeDocument/2006/relationships/printerSettings" Target="../printerSettings/printerSettings7.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6" Type="http://schemas.openxmlformats.org/officeDocument/2006/relationships/printerSettings" Target="../printerSettings/printerSettings6.bin"/><Relationship Id="rId5" Type="http://schemas.openxmlformats.org/officeDocument/2006/relationships/printerSettings" Target="../printerSettings/printerSettings5.bin"/><Relationship Id="rId4" Type="http://schemas.openxmlformats.org/officeDocument/2006/relationships/printerSettings" Target="../printerSettings/printerSettings4.bin"/><Relationship Id="rId9" Type="http://schemas.microsoft.com/office/2006/relationships/wsSortMap" Target="wsSortMap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0.bin"/></Relationships>
</file>

<file path=xl/worksheets/_rels/sheet4.xml.rels><?xml version="1.0" encoding="UTF-8" standalone="yes"?>
<Relationships xmlns="http://schemas.openxmlformats.org/package/2006/relationships"><Relationship Id="rId3" Type="http://schemas.microsoft.com/office/2006/relationships/wsSortMap" Target="wsSortMap2.xml"/><Relationship Id="rId2" Type="http://schemas.openxmlformats.org/officeDocument/2006/relationships/printerSettings" Target="../printerSettings/printerSettings12.bin"/><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sheetPr>
    <pageSetUpPr fitToPage="1"/>
  </sheetPr>
  <dimension ref="A1:R504"/>
  <sheetViews>
    <sheetView zoomScale="80" zoomScaleNormal="80" workbookViewId="0">
      <pane ySplit="1" topLeftCell="A22" activePane="bottomLeft" state="frozen"/>
      <selection activeCell="H1" sqref="H1"/>
      <selection pane="bottomLeft" activeCell="D173" sqref="D173"/>
    </sheetView>
  </sheetViews>
  <sheetFormatPr defaultRowHeight="12.75"/>
  <cols>
    <col min="1" max="1" width="20.42578125" style="109" customWidth="1"/>
    <col min="2" max="2" width="14.42578125" style="32" hidden="1" customWidth="1"/>
    <col min="3" max="3" width="14.42578125" style="33" hidden="1" customWidth="1"/>
    <col min="4" max="4" width="14.42578125" style="33" customWidth="1"/>
    <col min="5" max="5" width="26.7109375" style="39" customWidth="1"/>
    <col min="6" max="6" width="14.140625" style="37" customWidth="1"/>
    <col min="7" max="7" width="14.28515625" style="31" bestFit="1" customWidth="1"/>
    <col min="8" max="8" width="20.85546875" style="31" bestFit="1" customWidth="1"/>
    <col min="9" max="9" width="16.140625" style="37" customWidth="1"/>
    <col min="10" max="10" width="9.85546875" style="31" bestFit="1" customWidth="1"/>
    <col min="11" max="11" width="52.7109375" style="31" customWidth="1"/>
    <col min="12" max="12" width="9.140625" style="31"/>
    <col min="13" max="13" width="40.28515625" style="78" customWidth="1"/>
    <col min="14" max="14" width="18" style="31" customWidth="1"/>
    <col min="15" max="15" width="24.85546875" style="37" customWidth="1"/>
    <col min="16" max="16" width="69" style="31" customWidth="1"/>
    <col min="17" max="17" width="60.7109375" style="37" bestFit="1" customWidth="1"/>
    <col min="18" max="18" width="21.85546875" style="36" bestFit="1" customWidth="1"/>
    <col min="19" max="16384" width="9.140625" style="36"/>
  </cols>
  <sheetData>
    <row r="1" spans="1:18" s="57" customFormat="1" ht="57.75" customHeight="1">
      <c r="A1" s="108" t="s">
        <v>731</v>
      </c>
      <c r="B1" s="26" t="s">
        <v>734</v>
      </c>
      <c r="C1" s="27" t="s">
        <v>540</v>
      </c>
      <c r="D1" s="27" t="s">
        <v>782</v>
      </c>
      <c r="E1" s="28" t="s">
        <v>704</v>
      </c>
      <c r="F1" s="29" t="s">
        <v>718</v>
      </c>
      <c r="G1" s="25" t="s">
        <v>721</v>
      </c>
      <c r="H1" s="30" t="s">
        <v>722</v>
      </c>
      <c r="I1" s="29" t="s">
        <v>719</v>
      </c>
      <c r="J1" s="30" t="s">
        <v>723</v>
      </c>
      <c r="K1" s="101" t="s">
        <v>720</v>
      </c>
      <c r="L1" s="29" t="s">
        <v>727</v>
      </c>
      <c r="M1" s="72" t="s">
        <v>728</v>
      </c>
      <c r="N1" s="30" t="s">
        <v>729</v>
      </c>
      <c r="O1" s="29" t="s">
        <v>730</v>
      </c>
      <c r="P1" s="29" t="s">
        <v>724</v>
      </c>
      <c r="Q1" s="29" t="s">
        <v>725</v>
      </c>
      <c r="R1" s="29" t="s">
        <v>738</v>
      </c>
    </row>
    <row r="2" spans="1:18" s="38" customFormat="1" ht="38.25">
      <c r="A2" s="109">
        <v>1</v>
      </c>
      <c r="B2" s="33"/>
      <c r="C2" s="33"/>
      <c r="D2" s="33" t="s">
        <v>787</v>
      </c>
      <c r="E2" s="39">
        <v>40298.208333333336</v>
      </c>
      <c r="F2" s="33" t="s">
        <v>1</v>
      </c>
      <c r="G2" s="33" t="s">
        <v>2</v>
      </c>
      <c r="H2" s="33"/>
      <c r="I2" s="33"/>
      <c r="J2" s="33"/>
      <c r="K2" s="33"/>
      <c r="L2" s="33"/>
      <c r="M2" s="33"/>
      <c r="N2" s="33"/>
      <c r="O2" s="33"/>
      <c r="P2" s="33"/>
      <c r="Q2" s="33"/>
      <c r="R2" s="33" t="s">
        <v>3</v>
      </c>
    </row>
    <row r="3" spans="1:18" s="38" customFormat="1" ht="38.25">
      <c r="A3" s="109">
        <v>2</v>
      </c>
      <c r="B3" s="33">
        <v>40299</v>
      </c>
      <c r="C3" s="33">
        <v>40299.166666666664</v>
      </c>
      <c r="D3" s="33" t="s">
        <v>784</v>
      </c>
      <c r="E3" s="39">
        <v>40299.166666666664</v>
      </c>
      <c r="F3" s="33" t="s">
        <v>422</v>
      </c>
      <c r="G3" s="33" t="s">
        <v>735</v>
      </c>
      <c r="H3" s="33" t="s">
        <v>739</v>
      </c>
      <c r="I3" s="33" t="s">
        <v>169</v>
      </c>
      <c r="J3" s="33" t="s">
        <v>736</v>
      </c>
      <c r="K3" s="33" t="s">
        <v>752</v>
      </c>
      <c r="L3" s="33" t="s">
        <v>733</v>
      </c>
      <c r="M3" s="33" t="s">
        <v>752</v>
      </c>
      <c r="N3" s="33"/>
      <c r="O3" s="33"/>
      <c r="P3" s="33" t="s">
        <v>751</v>
      </c>
      <c r="Q3" s="33"/>
      <c r="R3" s="33" t="s">
        <v>737</v>
      </c>
    </row>
    <row r="4" spans="1:18" s="38" customFormat="1" ht="63.75">
      <c r="A4" s="109">
        <v>3</v>
      </c>
      <c r="B4" s="33"/>
      <c r="C4" s="33"/>
      <c r="D4" s="33" t="s">
        <v>787</v>
      </c>
      <c r="E4" s="39">
        <v>40299.208333333336</v>
      </c>
      <c r="F4" s="33" t="s">
        <v>4</v>
      </c>
      <c r="G4" s="33" t="s">
        <v>2</v>
      </c>
      <c r="H4" s="33"/>
      <c r="I4" s="33"/>
      <c r="J4" s="33"/>
      <c r="K4" s="33"/>
      <c r="L4" s="33"/>
      <c r="M4" s="33"/>
      <c r="N4" s="33"/>
      <c r="O4" s="33"/>
      <c r="P4" s="33"/>
      <c r="Q4" s="33"/>
      <c r="R4" s="33" t="s">
        <v>3</v>
      </c>
    </row>
    <row r="5" spans="1:18" s="38" customFormat="1" ht="89.25">
      <c r="A5" s="109">
        <v>4</v>
      </c>
      <c r="B5" s="33"/>
      <c r="C5" s="33"/>
      <c r="D5" s="33" t="s">
        <v>787</v>
      </c>
      <c r="E5" s="39">
        <v>40299.208333333336</v>
      </c>
      <c r="F5" s="33" t="s">
        <v>5</v>
      </c>
      <c r="G5" s="33" t="s">
        <v>2</v>
      </c>
      <c r="H5" s="33"/>
      <c r="I5" s="33"/>
      <c r="J5" s="33"/>
      <c r="K5" s="33"/>
      <c r="L5" s="33"/>
      <c r="M5" s="33"/>
      <c r="N5" s="33"/>
      <c r="O5" s="33"/>
      <c r="P5" s="33"/>
      <c r="Q5" s="33"/>
      <c r="R5" s="33" t="s">
        <v>3</v>
      </c>
    </row>
    <row r="6" spans="1:18" s="38" customFormat="1" ht="191.25">
      <c r="A6" s="109">
        <v>5</v>
      </c>
      <c r="B6" s="32">
        <v>40299</v>
      </c>
      <c r="C6" s="33">
        <v>40299.416666666664</v>
      </c>
      <c r="D6" s="33" t="s">
        <v>784</v>
      </c>
      <c r="E6" s="39">
        <v>40299.416666666664</v>
      </c>
      <c r="F6" s="31" t="s">
        <v>422</v>
      </c>
      <c r="G6" s="31" t="s">
        <v>735</v>
      </c>
      <c r="H6" s="40" t="s">
        <v>739</v>
      </c>
      <c r="I6" s="31" t="s">
        <v>169</v>
      </c>
      <c r="J6" s="40" t="s">
        <v>736</v>
      </c>
      <c r="K6" s="31" t="s">
        <v>753</v>
      </c>
      <c r="L6" s="40" t="s">
        <v>733</v>
      </c>
      <c r="M6" s="73" t="s">
        <v>753</v>
      </c>
      <c r="N6" s="40"/>
      <c r="O6" s="31"/>
      <c r="P6" s="31" t="s">
        <v>699</v>
      </c>
      <c r="Q6" s="31"/>
      <c r="R6" s="38" t="s">
        <v>737</v>
      </c>
    </row>
    <row r="7" spans="1:18" s="38" customFormat="1" ht="216.75">
      <c r="A7" s="109">
        <v>6</v>
      </c>
      <c r="B7" s="32">
        <v>40299</v>
      </c>
      <c r="C7" s="33">
        <v>40299.666666666664</v>
      </c>
      <c r="D7" s="33" t="s">
        <v>784</v>
      </c>
      <c r="E7" s="39">
        <v>40299.666666666664</v>
      </c>
      <c r="F7" s="31" t="s">
        <v>422</v>
      </c>
      <c r="G7" s="31" t="s">
        <v>735</v>
      </c>
      <c r="H7" s="40" t="s">
        <v>739</v>
      </c>
      <c r="I7" s="31" t="s">
        <v>169</v>
      </c>
      <c r="J7" s="40" t="s">
        <v>736</v>
      </c>
      <c r="K7" s="31" t="s">
        <v>754</v>
      </c>
      <c r="L7" s="40" t="s">
        <v>733</v>
      </c>
      <c r="M7" s="73" t="s">
        <v>754</v>
      </c>
      <c r="N7" s="40"/>
      <c r="O7" s="31"/>
      <c r="P7" s="31" t="s">
        <v>700</v>
      </c>
      <c r="Q7" s="31"/>
      <c r="R7" s="38" t="s">
        <v>737</v>
      </c>
    </row>
    <row r="8" spans="1:18" s="38" customFormat="1" ht="191.25">
      <c r="A8" s="109">
        <v>7</v>
      </c>
      <c r="B8" s="32">
        <v>40299</v>
      </c>
      <c r="C8" s="33">
        <v>40299.916666666664</v>
      </c>
      <c r="D8" s="33" t="s">
        <v>784</v>
      </c>
      <c r="E8" s="39">
        <v>40299.916666666664</v>
      </c>
      <c r="F8" s="31" t="s">
        <v>422</v>
      </c>
      <c r="G8" s="31" t="s">
        <v>735</v>
      </c>
      <c r="H8" s="40" t="s">
        <v>739</v>
      </c>
      <c r="I8" s="31" t="s">
        <v>169</v>
      </c>
      <c r="J8" s="40" t="s">
        <v>736</v>
      </c>
      <c r="K8" s="31" t="s">
        <v>755</v>
      </c>
      <c r="L8" s="40" t="s">
        <v>733</v>
      </c>
      <c r="M8" s="73" t="s">
        <v>755</v>
      </c>
      <c r="N8" s="40"/>
      <c r="O8" s="31"/>
      <c r="P8" s="31" t="s">
        <v>701</v>
      </c>
      <c r="Q8" s="31"/>
      <c r="R8" s="38" t="s">
        <v>737</v>
      </c>
    </row>
    <row r="9" spans="1:18" s="38" customFormat="1" ht="216.75">
      <c r="A9" s="109">
        <v>8</v>
      </c>
      <c r="B9" s="32">
        <v>40300</v>
      </c>
      <c r="C9" s="33">
        <v>40300.166666666664</v>
      </c>
      <c r="D9" s="33" t="s">
        <v>784</v>
      </c>
      <c r="E9" s="39">
        <v>40300.166666666664</v>
      </c>
      <c r="F9" s="31" t="s">
        <v>422</v>
      </c>
      <c r="G9" s="31" t="s">
        <v>735</v>
      </c>
      <c r="H9" s="40" t="s">
        <v>739</v>
      </c>
      <c r="I9" s="31" t="s">
        <v>169</v>
      </c>
      <c r="J9" s="40" t="s">
        <v>736</v>
      </c>
      <c r="K9" s="31" t="s">
        <v>755</v>
      </c>
      <c r="L9" s="40" t="s">
        <v>733</v>
      </c>
      <c r="M9" s="73" t="s">
        <v>755</v>
      </c>
      <c r="N9" s="40"/>
      <c r="O9" s="31"/>
      <c r="P9" s="31" t="s">
        <v>702</v>
      </c>
      <c r="Q9" s="31"/>
      <c r="R9" s="38" t="s">
        <v>737</v>
      </c>
    </row>
    <row r="10" spans="1:18" s="38" customFormat="1">
      <c r="A10" s="109">
        <v>9</v>
      </c>
      <c r="B10" s="32">
        <v>40300.208333333336</v>
      </c>
      <c r="C10" s="59">
        <v>40300.208333333336</v>
      </c>
      <c r="D10" s="33" t="s">
        <v>784</v>
      </c>
      <c r="E10" s="58">
        <v>40300.208333333336</v>
      </c>
      <c r="F10" s="71" t="s">
        <v>422</v>
      </c>
      <c r="G10" s="31"/>
      <c r="H10" s="31"/>
      <c r="I10" s="31"/>
      <c r="J10" s="31"/>
      <c r="K10" s="31" t="s">
        <v>756</v>
      </c>
      <c r="L10" s="31"/>
      <c r="M10" s="73" t="s">
        <v>756</v>
      </c>
      <c r="N10" s="31"/>
      <c r="O10" s="31"/>
      <c r="P10" s="31"/>
      <c r="Q10" s="31"/>
      <c r="R10" s="38" t="s">
        <v>542</v>
      </c>
    </row>
    <row r="11" spans="1:18" s="38" customFormat="1" ht="178.5">
      <c r="A11" s="109">
        <v>10</v>
      </c>
      <c r="B11" s="32">
        <v>40300</v>
      </c>
      <c r="C11" s="33">
        <v>40300.416666666664</v>
      </c>
      <c r="D11" s="33" t="s">
        <v>784</v>
      </c>
      <c r="E11" s="39">
        <v>40300.416666666664</v>
      </c>
      <c r="F11" s="31" t="s">
        <v>422</v>
      </c>
      <c r="G11" s="31" t="s">
        <v>735</v>
      </c>
      <c r="H11" s="40" t="s">
        <v>739</v>
      </c>
      <c r="I11" s="31" t="s">
        <v>169</v>
      </c>
      <c r="J11" s="40" t="s">
        <v>736</v>
      </c>
      <c r="K11" s="31" t="s">
        <v>757</v>
      </c>
      <c r="L11" s="40" t="s">
        <v>733</v>
      </c>
      <c r="M11" s="73" t="s">
        <v>757</v>
      </c>
      <c r="N11" s="40"/>
      <c r="O11" s="31"/>
      <c r="P11" s="31" t="s">
        <v>703</v>
      </c>
      <c r="Q11" s="31"/>
      <c r="R11" s="38" t="s">
        <v>737</v>
      </c>
    </row>
    <row r="12" spans="1:18" s="38" customFormat="1" ht="38.25">
      <c r="A12" s="109">
        <v>11</v>
      </c>
      <c r="B12" s="32">
        <v>40300</v>
      </c>
      <c r="C12" s="41">
        <v>0.5</v>
      </c>
      <c r="D12" s="33" t="s">
        <v>784</v>
      </c>
      <c r="E12" s="34">
        <v>40300.5</v>
      </c>
      <c r="F12" s="31" t="s">
        <v>740</v>
      </c>
      <c r="G12" s="42" t="s">
        <v>735</v>
      </c>
      <c r="H12" s="42" t="s">
        <v>741</v>
      </c>
      <c r="I12" s="31" t="s">
        <v>742</v>
      </c>
      <c r="J12" s="31" t="s">
        <v>743</v>
      </c>
      <c r="K12" s="31"/>
      <c r="L12" s="31"/>
      <c r="M12" s="73" t="s">
        <v>744</v>
      </c>
      <c r="N12" s="31" t="s">
        <v>745</v>
      </c>
      <c r="O12" s="31"/>
      <c r="P12" s="31" t="s">
        <v>746</v>
      </c>
      <c r="Q12" s="31"/>
      <c r="R12" s="38" t="s">
        <v>747</v>
      </c>
    </row>
    <row r="13" spans="1:18" s="38" customFormat="1" ht="191.25">
      <c r="A13" s="109">
        <v>12</v>
      </c>
      <c r="B13" s="32">
        <v>40300</v>
      </c>
      <c r="C13" s="33">
        <v>40300.666666666664</v>
      </c>
      <c r="D13" s="33" t="s">
        <v>784</v>
      </c>
      <c r="E13" s="39">
        <v>40300.666666666664</v>
      </c>
      <c r="F13" s="31" t="s">
        <v>422</v>
      </c>
      <c r="G13" s="31" t="s">
        <v>735</v>
      </c>
      <c r="H13" s="40" t="s">
        <v>739</v>
      </c>
      <c r="I13" s="31" t="s">
        <v>169</v>
      </c>
      <c r="J13" s="40" t="s">
        <v>736</v>
      </c>
      <c r="K13" s="31" t="s">
        <v>758</v>
      </c>
      <c r="L13" s="40" t="s">
        <v>733</v>
      </c>
      <c r="M13" s="73" t="s">
        <v>758</v>
      </c>
      <c r="N13" s="40"/>
      <c r="O13" s="31"/>
      <c r="P13" s="31" t="s">
        <v>705</v>
      </c>
      <c r="Q13" s="31"/>
      <c r="R13" s="38" t="s">
        <v>737</v>
      </c>
    </row>
    <row r="14" spans="1:18" s="38" customFormat="1" ht="191.25">
      <c r="A14" s="109">
        <v>13</v>
      </c>
      <c r="B14" s="32">
        <v>40300</v>
      </c>
      <c r="C14" s="33">
        <v>40300.916666666664</v>
      </c>
      <c r="D14" s="33" t="s">
        <v>784</v>
      </c>
      <c r="E14" s="39">
        <v>40300.916666666664</v>
      </c>
      <c r="F14" s="38" t="s">
        <v>422</v>
      </c>
      <c r="G14" s="31" t="s">
        <v>735</v>
      </c>
      <c r="H14" s="40" t="s">
        <v>739</v>
      </c>
      <c r="I14" s="31" t="s">
        <v>169</v>
      </c>
      <c r="J14" s="40" t="s">
        <v>736</v>
      </c>
      <c r="K14" s="31" t="s">
        <v>759</v>
      </c>
      <c r="L14" s="40" t="s">
        <v>733</v>
      </c>
      <c r="M14" s="73" t="s">
        <v>759</v>
      </c>
      <c r="N14" s="40"/>
      <c r="O14" s="31"/>
      <c r="P14" s="31" t="s">
        <v>706</v>
      </c>
      <c r="Q14" s="31"/>
      <c r="R14" s="38" t="s">
        <v>737</v>
      </c>
    </row>
    <row r="15" spans="1:18" s="38" customFormat="1" ht="178.5">
      <c r="A15" s="109">
        <v>14</v>
      </c>
      <c r="B15" s="32">
        <v>40301</v>
      </c>
      <c r="C15" s="33">
        <v>40301.166666666664</v>
      </c>
      <c r="D15" s="33" t="s">
        <v>784</v>
      </c>
      <c r="E15" s="39">
        <v>40301.166666666664</v>
      </c>
      <c r="F15" s="31" t="s">
        <v>422</v>
      </c>
      <c r="G15" s="31" t="s">
        <v>735</v>
      </c>
      <c r="H15" s="40" t="s">
        <v>739</v>
      </c>
      <c r="I15" s="31" t="s">
        <v>169</v>
      </c>
      <c r="J15" s="40" t="s">
        <v>736</v>
      </c>
      <c r="K15" s="31" t="s">
        <v>760</v>
      </c>
      <c r="L15" s="40" t="s">
        <v>733</v>
      </c>
      <c r="M15" s="73" t="s">
        <v>760</v>
      </c>
      <c r="N15" s="40"/>
      <c r="O15" s="31"/>
      <c r="P15" s="31" t="s">
        <v>707</v>
      </c>
      <c r="Q15" s="31"/>
      <c r="R15" s="38" t="s">
        <v>737</v>
      </c>
    </row>
    <row r="16" spans="1:18" s="38" customFormat="1" ht="63.75">
      <c r="A16" s="109">
        <v>15</v>
      </c>
      <c r="B16" s="32"/>
      <c r="C16" s="59"/>
      <c r="D16" s="33" t="s">
        <v>787</v>
      </c>
      <c r="E16" s="110">
        <v>40301.208333333336</v>
      </c>
      <c r="F16" s="96" t="s">
        <v>6</v>
      </c>
      <c r="G16" s="98" t="s">
        <v>2</v>
      </c>
      <c r="H16" s="31"/>
      <c r="I16" s="31"/>
      <c r="J16" s="31"/>
      <c r="K16" s="31"/>
      <c r="L16" s="31"/>
      <c r="M16" s="31"/>
      <c r="N16" s="31"/>
      <c r="O16" s="31"/>
      <c r="P16" s="31"/>
      <c r="Q16" s="31"/>
      <c r="R16" s="38" t="s">
        <v>3</v>
      </c>
    </row>
    <row r="17" spans="1:18" s="38" customFormat="1" ht="63.75">
      <c r="A17" s="109">
        <v>16</v>
      </c>
      <c r="B17" s="32"/>
      <c r="C17" s="59"/>
      <c r="D17" s="33" t="s">
        <v>787</v>
      </c>
      <c r="E17" s="110">
        <v>40301.208333333336</v>
      </c>
      <c r="F17" s="96" t="s">
        <v>24</v>
      </c>
      <c r="G17" s="98" t="s">
        <v>2</v>
      </c>
      <c r="H17" s="31"/>
      <c r="I17" s="31"/>
      <c r="J17" s="31"/>
      <c r="K17" s="31"/>
      <c r="L17" s="31"/>
      <c r="M17" s="31"/>
      <c r="N17" s="31"/>
      <c r="O17" s="31"/>
      <c r="P17" s="31"/>
      <c r="Q17" s="31"/>
      <c r="R17" s="38" t="s">
        <v>3</v>
      </c>
    </row>
    <row r="18" spans="1:18" s="38" customFormat="1">
      <c r="A18" s="109">
        <v>17</v>
      </c>
      <c r="B18" s="32">
        <v>40301</v>
      </c>
      <c r="C18" s="33">
        <v>40301.291666666664</v>
      </c>
      <c r="D18" s="33" t="s">
        <v>784</v>
      </c>
      <c r="E18" s="39">
        <v>40301.292361111111</v>
      </c>
      <c r="F18" s="43" t="s">
        <v>425</v>
      </c>
      <c r="G18" s="31" t="s">
        <v>373</v>
      </c>
      <c r="H18" s="40" t="s">
        <v>552</v>
      </c>
      <c r="I18" s="31" t="s">
        <v>552</v>
      </c>
      <c r="J18" s="40" t="s">
        <v>595</v>
      </c>
      <c r="K18" s="31"/>
      <c r="L18" s="40"/>
      <c r="M18" s="74" t="s">
        <v>424</v>
      </c>
      <c r="N18" s="40"/>
      <c r="O18" s="31"/>
      <c r="P18" s="43" t="s">
        <v>424</v>
      </c>
      <c r="Q18" s="31"/>
      <c r="R18" s="38" t="s">
        <v>737</v>
      </c>
    </row>
    <row r="19" spans="1:18" s="38" customFormat="1" ht="102">
      <c r="A19" s="109">
        <v>18</v>
      </c>
      <c r="B19" s="32">
        <v>40301.3125</v>
      </c>
      <c r="C19" s="33">
        <v>40301.3125</v>
      </c>
      <c r="D19" s="33" t="s">
        <v>784</v>
      </c>
      <c r="E19" s="39">
        <v>40301.313194444447</v>
      </c>
      <c r="F19" s="31" t="s">
        <v>44</v>
      </c>
      <c r="G19" s="31" t="s">
        <v>544</v>
      </c>
      <c r="H19" s="40" t="s">
        <v>545</v>
      </c>
      <c r="I19" s="31" t="s">
        <v>171</v>
      </c>
      <c r="J19" s="40" t="s">
        <v>547</v>
      </c>
      <c r="K19" s="31" t="s">
        <v>548</v>
      </c>
      <c r="L19" s="40"/>
      <c r="M19" s="73" t="s">
        <v>543</v>
      </c>
      <c r="N19" s="40"/>
      <c r="O19" s="31" t="s">
        <v>803</v>
      </c>
      <c r="P19" s="31" t="s">
        <v>37</v>
      </c>
      <c r="Q19" s="31"/>
      <c r="R19" s="38" t="s">
        <v>542</v>
      </c>
    </row>
    <row r="20" spans="1:18" s="38" customFormat="1">
      <c r="A20" s="109">
        <v>19</v>
      </c>
      <c r="B20" s="32"/>
      <c r="C20" s="33"/>
      <c r="D20" s="33" t="s">
        <v>784</v>
      </c>
      <c r="E20" s="39">
        <v>40301.313888888886</v>
      </c>
      <c r="F20" s="31" t="s">
        <v>394</v>
      </c>
      <c r="G20" s="31" t="s">
        <v>373</v>
      </c>
      <c r="H20" s="31" t="s">
        <v>397</v>
      </c>
      <c r="I20" s="31" t="s">
        <v>552</v>
      </c>
      <c r="J20" s="31" t="s">
        <v>595</v>
      </c>
      <c r="K20" s="31"/>
      <c r="L20" s="31">
        <v>5</v>
      </c>
      <c r="M20" s="73" t="s">
        <v>380</v>
      </c>
      <c r="N20" s="31"/>
      <c r="O20" s="31"/>
      <c r="P20" s="31" t="s">
        <v>380</v>
      </c>
      <c r="Q20" s="31"/>
      <c r="R20" s="38" t="s">
        <v>737</v>
      </c>
    </row>
    <row r="21" spans="1:18" s="38" customFormat="1" ht="51">
      <c r="A21" s="109">
        <v>20</v>
      </c>
      <c r="B21" s="32"/>
      <c r="C21" s="33"/>
      <c r="D21" s="33" t="s">
        <v>784</v>
      </c>
      <c r="E21" s="39">
        <v>40301.333333333336</v>
      </c>
      <c r="F21" s="43" t="s">
        <v>371</v>
      </c>
      <c r="G21" s="31" t="s">
        <v>775</v>
      </c>
      <c r="H21" s="40" t="s">
        <v>653</v>
      </c>
      <c r="I21" s="31" t="s">
        <v>173</v>
      </c>
      <c r="J21" s="40" t="s">
        <v>370</v>
      </c>
      <c r="K21" s="31"/>
      <c r="L21" s="40"/>
      <c r="M21" s="73" t="s">
        <v>45</v>
      </c>
      <c r="N21" s="40"/>
      <c r="O21" s="31"/>
      <c r="P21" s="43" t="s">
        <v>369</v>
      </c>
      <c r="Q21" s="31"/>
      <c r="R21" s="38" t="s">
        <v>737</v>
      </c>
    </row>
    <row r="22" spans="1:18" s="38" customFormat="1" ht="25.5">
      <c r="A22" s="109">
        <v>21</v>
      </c>
      <c r="B22" s="32">
        <v>40301</v>
      </c>
      <c r="C22" s="41">
        <v>0.33333333333333331</v>
      </c>
      <c r="D22" s="33" t="s">
        <v>784</v>
      </c>
      <c r="E22" s="34">
        <v>40301.334722222222</v>
      </c>
      <c r="F22" s="31" t="s">
        <v>46</v>
      </c>
      <c r="G22" s="42" t="s">
        <v>735</v>
      </c>
      <c r="H22" s="42" t="s">
        <v>652</v>
      </c>
      <c r="I22" s="31" t="s">
        <v>552</v>
      </c>
      <c r="J22" s="31" t="s">
        <v>654</v>
      </c>
      <c r="K22" s="31" t="s">
        <v>658</v>
      </c>
      <c r="L22" s="31"/>
      <c r="M22" s="73" t="s">
        <v>659</v>
      </c>
      <c r="N22" s="31" t="s">
        <v>660</v>
      </c>
      <c r="O22" s="31"/>
      <c r="P22" s="31" t="s">
        <v>662</v>
      </c>
      <c r="Q22" s="31"/>
      <c r="R22" s="38" t="s">
        <v>657</v>
      </c>
    </row>
    <row r="23" spans="1:18" s="38" customFormat="1" ht="38.25">
      <c r="A23" s="109">
        <v>22</v>
      </c>
      <c r="B23" s="32">
        <v>40301</v>
      </c>
      <c r="C23" s="41">
        <v>0.33333333333333331</v>
      </c>
      <c r="D23" s="33" t="s">
        <v>784</v>
      </c>
      <c r="E23" s="34">
        <v>40301.335416666669</v>
      </c>
      <c r="F23" s="31" t="s">
        <v>47</v>
      </c>
      <c r="G23" s="42" t="s">
        <v>735</v>
      </c>
      <c r="H23" s="42" t="s">
        <v>652</v>
      </c>
      <c r="I23" s="31" t="s">
        <v>552</v>
      </c>
      <c r="J23" s="31" t="s">
        <v>654</v>
      </c>
      <c r="K23" s="31" t="s">
        <v>663</v>
      </c>
      <c r="L23" s="31"/>
      <c r="M23" s="73" t="s">
        <v>664</v>
      </c>
      <c r="N23" s="31" t="s">
        <v>660</v>
      </c>
      <c r="O23" s="31"/>
      <c r="P23" s="31" t="s">
        <v>665</v>
      </c>
      <c r="Q23" s="31"/>
      <c r="R23" s="38" t="s">
        <v>657</v>
      </c>
    </row>
    <row r="24" spans="1:18" s="38" customFormat="1" ht="63.75">
      <c r="A24" s="109">
        <v>23</v>
      </c>
      <c r="B24" s="32">
        <v>40301</v>
      </c>
      <c r="C24" s="41">
        <v>0.35416666666666669</v>
      </c>
      <c r="D24" s="33" t="s">
        <v>785</v>
      </c>
      <c r="E24" s="34">
        <v>40301.354166666664</v>
      </c>
      <c r="F24" s="31" t="s">
        <v>422</v>
      </c>
      <c r="G24" s="42" t="s">
        <v>775</v>
      </c>
      <c r="H24" s="42" t="s">
        <v>666</v>
      </c>
      <c r="I24" s="31" t="s">
        <v>172</v>
      </c>
      <c r="J24" s="31" t="s">
        <v>668</v>
      </c>
      <c r="K24" s="31" t="s">
        <v>672</v>
      </c>
      <c r="L24" s="31"/>
      <c r="M24" s="73" t="s">
        <v>669</v>
      </c>
      <c r="N24" s="31" t="s">
        <v>670</v>
      </c>
      <c r="O24" s="31"/>
      <c r="P24" s="31" t="s">
        <v>671</v>
      </c>
      <c r="Q24" s="31"/>
      <c r="R24" s="38" t="s">
        <v>657</v>
      </c>
    </row>
    <row r="25" spans="1:18" s="38" customFormat="1">
      <c r="A25" s="109">
        <v>24</v>
      </c>
      <c r="B25" s="32"/>
      <c r="C25" s="33"/>
      <c r="D25" s="33" t="s">
        <v>784</v>
      </c>
      <c r="E25" s="58">
        <v>40301.375694444447</v>
      </c>
      <c r="F25" s="31" t="s">
        <v>422</v>
      </c>
      <c r="G25" s="31" t="s">
        <v>735</v>
      </c>
      <c r="H25" s="40" t="s">
        <v>641</v>
      </c>
      <c r="I25" s="31" t="s">
        <v>174</v>
      </c>
      <c r="J25" s="40" t="s">
        <v>595</v>
      </c>
      <c r="K25" s="31" t="s">
        <v>48</v>
      </c>
      <c r="L25" s="40"/>
      <c r="M25" s="73"/>
      <c r="N25" s="40"/>
      <c r="O25" s="31"/>
      <c r="P25" s="31"/>
      <c r="Q25" s="31"/>
      <c r="R25" s="38" t="s">
        <v>646</v>
      </c>
    </row>
    <row r="26" spans="1:18" s="38" customFormat="1" ht="25.5">
      <c r="A26" s="109">
        <v>25</v>
      </c>
      <c r="B26" s="32">
        <v>40301</v>
      </c>
      <c r="C26" s="41">
        <v>0.375</v>
      </c>
      <c r="D26" s="33" t="s">
        <v>784</v>
      </c>
      <c r="E26" s="34">
        <v>40301.376388888893</v>
      </c>
      <c r="F26" s="31" t="s">
        <v>422</v>
      </c>
      <c r="G26" s="42" t="s">
        <v>775</v>
      </c>
      <c r="H26" s="42" t="s">
        <v>695</v>
      </c>
      <c r="I26" s="31" t="s">
        <v>552</v>
      </c>
      <c r="J26" s="31" t="s">
        <v>654</v>
      </c>
      <c r="K26" s="31" t="s">
        <v>694</v>
      </c>
      <c r="L26" s="31"/>
      <c r="M26" s="73" t="s">
        <v>49</v>
      </c>
      <c r="N26" s="31" t="s">
        <v>697</v>
      </c>
      <c r="O26" s="31"/>
      <c r="P26" s="31" t="s">
        <v>121</v>
      </c>
      <c r="Q26" s="31"/>
      <c r="R26" s="38" t="s">
        <v>657</v>
      </c>
    </row>
    <row r="27" spans="1:18" s="38" customFormat="1">
      <c r="A27" s="109">
        <v>26</v>
      </c>
      <c r="B27" s="32"/>
      <c r="C27" s="33"/>
      <c r="D27" s="33" t="s">
        <v>784</v>
      </c>
      <c r="E27" s="58">
        <v>40301.37708333334</v>
      </c>
      <c r="F27" s="31" t="s">
        <v>422</v>
      </c>
      <c r="G27" s="31" t="s">
        <v>735</v>
      </c>
      <c r="H27" s="40" t="s">
        <v>638</v>
      </c>
      <c r="I27" s="31" t="s">
        <v>174</v>
      </c>
      <c r="J27" s="40" t="s">
        <v>595</v>
      </c>
      <c r="K27" s="31" t="s">
        <v>639</v>
      </c>
      <c r="L27" s="40"/>
      <c r="M27" s="73"/>
      <c r="N27" s="40"/>
      <c r="O27" s="31"/>
      <c r="P27" s="31"/>
      <c r="Q27" s="31"/>
      <c r="R27" s="38" t="s">
        <v>646</v>
      </c>
    </row>
    <row r="28" spans="1:18" s="38" customFormat="1">
      <c r="A28" s="109">
        <v>27</v>
      </c>
      <c r="B28" s="32"/>
      <c r="C28" s="33"/>
      <c r="D28" s="33" t="s">
        <v>784</v>
      </c>
      <c r="E28" s="58">
        <v>40301.377777777787</v>
      </c>
      <c r="F28" s="31" t="s">
        <v>740</v>
      </c>
      <c r="G28" s="31" t="s">
        <v>641</v>
      </c>
      <c r="H28" s="40" t="s">
        <v>641</v>
      </c>
      <c r="I28" s="31" t="s">
        <v>174</v>
      </c>
      <c r="J28" s="40" t="s">
        <v>595</v>
      </c>
      <c r="K28" s="31" t="s">
        <v>642</v>
      </c>
      <c r="L28" s="40"/>
      <c r="M28" s="31" t="s">
        <v>640</v>
      </c>
      <c r="N28" s="40"/>
      <c r="O28" s="31"/>
      <c r="P28" s="31"/>
      <c r="Q28" s="31"/>
      <c r="R28" s="38" t="s">
        <v>646</v>
      </c>
    </row>
    <row r="29" spans="1:18" s="38" customFormat="1" ht="51">
      <c r="A29" s="109">
        <v>28</v>
      </c>
      <c r="B29" s="32">
        <v>40301</v>
      </c>
      <c r="C29" s="33"/>
      <c r="D29" s="33" t="s">
        <v>784</v>
      </c>
      <c r="E29" s="46">
        <v>40301.378472222234</v>
      </c>
      <c r="F29" s="43" t="s">
        <v>422</v>
      </c>
      <c r="G29" s="31"/>
      <c r="H29" s="40"/>
      <c r="I29" s="31" t="s">
        <v>552</v>
      </c>
      <c r="J29" s="40"/>
      <c r="K29" s="31"/>
      <c r="L29" s="40"/>
      <c r="M29" s="43" t="s">
        <v>120</v>
      </c>
      <c r="N29" s="40"/>
      <c r="O29" s="31"/>
      <c r="P29" s="43" t="s">
        <v>120</v>
      </c>
      <c r="Q29" s="31"/>
      <c r="R29" s="38" t="s">
        <v>737</v>
      </c>
    </row>
    <row r="30" spans="1:18" s="38" customFormat="1" ht="51">
      <c r="A30" s="109">
        <v>29</v>
      </c>
      <c r="B30" s="32">
        <v>40301</v>
      </c>
      <c r="C30" s="33">
        <v>40301.375</v>
      </c>
      <c r="D30" s="33" t="s">
        <v>784</v>
      </c>
      <c r="E30" s="39">
        <v>40301.37916666668</v>
      </c>
      <c r="F30" s="31" t="s">
        <v>394</v>
      </c>
      <c r="G30" s="31" t="s">
        <v>735</v>
      </c>
      <c r="H30" s="44" t="s">
        <v>365</v>
      </c>
      <c r="I30" s="43" t="s">
        <v>175</v>
      </c>
      <c r="J30" s="43" t="s">
        <v>363</v>
      </c>
      <c r="K30" s="31"/>
      <c r="L30" s="45"/>
      <c r="M30" s="54" t="s">
        <v>361</v>
      </c>
      <c r="N30" s="45"/>
      <c r="O30" s="43"/>
      <c r="P30" s="54" t="s">
        <v>361</v>
      </c>
      <c r="Q30" s="45" t="s">
        <v>364</v>
      </c>
      <c r="R30" s="38" t="s">
        <v>737</v>
      </c>
    </row>
    <row r="31" spans="1:18" s="38" customFormat="1" ht="51">
      <c r="A31" s="109">
        <v>30</v>
      </c>
      <c r="B31" s="32">
        <v>40301</v>
      </c>
      <c r="C31" s="59"/>
      <c r="D31" s="33" t="s">
        <v>784</v>
      </c>
      <c r="E31" s="46">
        <v>40301.380555555574</v>
      </c>
      <c r="F31" s="38" t="s">
        <v>119</v>
      </c>
      <c r="G31" s="31"/>
      <c r="I31" s="31" t="s">
        <v>552</v>
      </c>
      <c r="J31" s="40"/>
      <c r="K31" s="31"/>
      <c r="L31" s="40"/>
      <c r="M31" s="43" t="s">
        <v>130</v>
      </c>
      <c r="N31" s="40"/>
      <c r="O31" s="31"/>
      <c r="P31" s="43" t="s">
        <v>131</v>
      </c>
      <c r="Q31" s="31"/>
      <c r="R31" s="38" t="s">
        <v>737</v>
      </c>
    </row>
    <row r="32" spans="1:18" s="38" customFormat="1" ht="38.25">
      <c r="A32" s="109">
        <v>31</v>
      </c>
      <c r="B32" s="32">
        <v>40301</v>
      </c>
      <c r="C32" s="33"/>
      <c r="D32" s="33" t="s">
        <v>784</v>
      </c>
      <c r="E32" s="46">
        <v>40301.38125000002</v>
      </c>
      <c r="F32" s="31" t="s">
        <v>422</v>
      </c>
      <c r="G32" s="31"/>
      <c r="H32" s="40"/>
      <c r="I32" s="31" t="s">
        <v>169</v>
      </c>
      <c r="J32" s="40"/>
      <c r="K32" s="31"/>
      <c r="L32" s="40"/>
      <c r="M32" s="43" t="s">
        <v>22</v>
      </c>
      <c r="N32" s="40"/>
      <c r="O32" s="31"/>
      <c r="P32" s="43" t="s">
        <v>22</v>
      </c>
      <c r="Q32" s="31"/>
      <c r="R32" s="38" t="s">
        <v>737</v>
      </c>
    </row>
    <row r="33" spans="1:18" s="38" customFormat="1" ht="51">
      <c r="A33" s="109">
        <v>32</v>
      </c>
      <c r="B33" s="80"/>
      <c r="C33" s="81"/>
      <c r="D33" s="33" t="s">
        <v>784</v>
      </c>
      <c r="E33" s="82">
        <v>40301.385416666664</v>
      </c>
      <c r="F33" s="83" t="s">
        <v>422</v>
      </c>
      <c r="G33" s="83" t="s">
        <v>735</v>
      </c>
      <c r="H33" s="83" t="s">
        <v>790</v>
      </c>
      <c r="I33" s="79" t="s">
        <v>176</v>
      </c>
      <c r="J33" s="83" t="s">
        <v>793</v>
      </c>
      <c r="K33" s="56" t="s">
        <v>791</v>
      </c>
      <c r="L33" s="79"/>
      <c r="M33" s="83" t="s">
        <v>791</v>
      </c>
      <c r="N33" s="79"/>
      <c r="O33" s="79"/>
      <c r="P33" s="83" t="s">
        <v>791</v>
      </c>
      <c r="Q33" s="79"/>
      <c r="R33" s="83" t="s">
        <v>308</v>
      </c>
    </row>
    <row r="34" spans="1:18" s="38" customFormat="1" ht="140.25">
      <c r="A34" s="109">
        <v>33</v>
      </c>
      <c r="B34" s="32"/>
      <c r="C34" s="59"/>
      <c r="D34" s="33" t="s">
        <v>784</v>
      </c>
      <c r="E34" s="58">
        <v>40301.385416666664</v>
      </c>
      <c r="F34" s="93"/>
      <c r="G34" s="31"/>
      <c r="H34" s="31"/>
      <c r="I34" s="31" t="s">
        <v>795</v>
      </c>
      <c r="J34" s="31" t="s">
        <v>796</v>
      </c>
      <c r="K34" s="73" t="s">
        <v>195</v>
      </c>
      <c r="L34" s="31"/>
      <c r="M34" s="31"/>
      <c r="N34" s="31"/>
      <c r="O34" s="31" t="s">
        <v>799</v>
      </c>
      <c r="P34" s="73" t="s">
        <v>195</v>
      </c>
      <c r="Q34" s="31"/>
      <c r="R34" s="38" t="s">
        <v>227</v>
      </c>
    </row>
    <row r="35" spans="1:18" s="38" customFormat="1" ht="114.75">
      <c r="A35" s="109">
        <v>34</v>
      </c>
      <c r="B35" s="80"/>
      <c r="C35" s="81"/>
      <c r="D35" s="33" t="s">
        <v>784</v>
      </c>
      <c r="E35" s="82">
        <v>40301.386111111111</v>
      </c>
      <c r="F35" s="83" t="s">
        <v>422</v>
      </c>
      <c r="G35" s="83" t="s">
        <v>788</v>
      </c>
      <c r="H35" s="83" t="s">
        <v>789</v>
      </c>
      <c r="I35" s="79" t="s">
        <v>176</v>
      </c>
      <c r="J35" s="83" t="s">
        <v>792</v>
      </c>
      <c r="K35" s="56" t="s">
        <v>794</v>
      </c>
      <c r="L35" s="79"/>
      <c r="M35" s="56" t="s">
        <v>794</v>
      </c>
      <c r="N35" s="79"/>
      <c r="O35" s="79"/>
      <c r="P35" s="56" t="s">
        <v>794</v>
      </c>
      <c r="Q35" s="79"/>
      <c r="R35" s="83" t="s">
        <v>308</v>
      </c>
    </row>
    <row r="36" spans="1:18" s="38" customFormat="1" ht="25.5">
      <c r="A36" s="109">
        <v>35</v>
      </c>
      <c r="B36" s="32">
        <v>40301</v>
      </c>
      <c r="C36" s="33"/>
      <c r="D36" s="33" t="s">
        <v>784</v>
      </c>
      <c r="E36" s="46">
        <v>40301.386805555594</v>
      </c>
      <c r="F36" s="31" t="s">
        <v>422</v>
      </c>
      <c r="G36" s="31"/>
      <c r="H36" s="40"/>
      <c r="I36" s="31" t="s">
        <v>552</v>
      </c>
      <c r="J36" s="40"/>
      <c r="K36" s="31"/>
      <c r="L36" s="40"/>
      <c r="M36" s="43" t="s">
        <v>379</v>
      </c>
      <c r="N36" s="40"/>
      <c r="O36" s="31"/>
      <c r="P36" s="43" t="s">
        <v>379</v>
      </c>
      <c r="Q36" s="31"/>
      <c r="R36" s="38" t="s">
        <v>737</v>
      </c>
    </row>
    <row r="37" spans="1:18" s="38" customFormat="1" ht="229.5">
      <c r="A37" s="109">
        <v>36</v>
      </c>
      <c r="B37" s="32"/>
      <c r="C37" s="59"/>
      <c r="D37" s="33" t="s">
        <v>784</v>
      </c>
      <c r="E37" s="58">
        <v>40301.388888888891</v>
      </c>
      <c r="F37" s="93"/>
      <c r="G37" s="31"/>
      <c r="H37" s="31"/>
      <c r="I37" s="31" t="s">
        <v>795</v>
      </c>
      <c r="J37" s="31"/>
      <c r="K37" s="73" t="s">
        <v>196</v>
      </c>
      <c r="L37" s="31"/>
      <c r="M37" s="31"/>
      <c r="N37" s="31"/>
      <c r="O37" s="31" t="s">
        <v>802</v>
      </c>
      <c r="P37" s="73" t="s">
        <v>196</v>
      </c>
      <c r="Q37" s="31"/>
      <c r="R37" s="38" t="s">
        <v>227</v>
      </c>
    </row>
    <row r="38" spans="1:18" s="38" customFormat="1" ht="38.25">
      <c r="A38" s="109">
        <v>37</v>
      </c>
      <c r="B38" s="32">
        <v>40301</v>
      </c>
      <c r="C38" s="33"/>
      <c r="D38" s="33" t="s">
        <v>784</v>
      </c>
      <c r="E38" s="46">
        <v>40301.389583333381</v>
      </c>
      <c r="F38" s="31" t="s">
        <v>422</v>
      </c>
      <c r="G38" s="31"/>
      <c r="H38" s="40"/>
      <c r="I38" s="31" t="s">
        <v>552</v>
      </c>
      <c r="J38" s="40"/>
      <c r="K38" s="31"/>
      <c r="L38" s="40"/>
      <c r="M38" s="43" t="s">
        <v>122</v>
      </c>
      <c r="N38" s="40"/>
      <c r="O38" s="31"/>
      <c r="P38" s="43" t="s">
        <v>122</v>
      </c>
      <c r="Q38" s="31"/>
      <c r="R38" s="38" t="s">
        <v>737</v>
      </c>
    </row>
    <row r="39" spans="1:18" s="38" customFormat="1" ht="25.5">
      <c r="A39" s="109">
        <v>38</v>
      </c>
      <c r="B39" s="32">
        <v>40301</v>
      </c>
      <c r="C39" s="33"/>
      <c r="D39" s="33" t="s">
        <v>784</v>
      </c>
      <c r="E39" s="46">
        <v>40301.390277777828</v>
      </c>
      <c r="F39" s="31" t="s">
        <v>394</v>
      </c>
      <c r="G39" s="31"/>
      <c r="H39" s="40"/>
      <c r="I39" s="31" t="s">
        <v>552</v>
      </c>
      <c r="J39" s="40"/>
      <c r="K39" s="31"/>
      <c r="L39" s="40"/>
      <c r="M39" s="43" t="s">
        <v>123</v>
      </c>
      <c r="N39" s="40"/>
      <c r="O39" s="31"/>
      <c r="P39" s="43" t="s">
        <v>124</v>
      </c>
      <c r="Q39" s="31"/>
      <c r="R39" s="38" t="s">
        <v>737</v>
      </c>
    </row>
    <row r="40" spans="1:18" s="38" customFormat="1" ht="38.25">
      <c r="A40" s="109">
        <v>39</v>
      </c>
      <c r="B40" s="32"/>
      <c r="C40" s="59"/>
      <c r="D40" s="33" t="s">
        <v>787</v>
      </c>
      <c r="E40" s="58">
        <v>40301.392361111109</v>
      </c>
      <c r="F40" s="93"/>
      <c r="G40" s="31"/>
      <c r="H40" s="31"/>
      <c r="I40" s="31"/>
      <c r="J40" s="31"/>
      <c r="K40" s="73" t="s">
        <v>197</v>
      </c>
      <c r="L40" s="31"/>
      <c r="M40" s="31"/>
      <c r="N40" s="31"/>
      <c r="O40" s="31"/>
      <c r="P40" s="73" t="s">
        <v>197</v>
      </c>
      <c r="Q40" s="31"/>
    </row>
    <row r="41" spans="1:18" s="38" customFormat="1">
      <c r="A41" s="109">
        <v>40</v>
      </c>
      <c r="B41" s="32">
        <v>40301</v>
      </c>
      <c r="C41" s="33"/>
      <c r="D41" s="33" t="s">
        <v>784</v>
      </c>
      <c r="E41" s="46">
        <v>40301.395138888955</v>
      </c>
      <c r="F41" s="31" t="s">
        <v>422</v>
      </c>
      <c r="G41" s="31"/>
      <c r="H41" s="40"/>
      <c r="I41" s="31" t="s">
        <v>169</v>
      </c>
      <c r="J41" s="40"/>
      <c r="K41" s="31"/>
      <c r="L41" s="40"/>
      <c r="M41" s="43" t="s">
        <v>388</v>
      </c>
      <c r="N41" s="40"/>
      <c r="O41" s="31"/>
      <c r="P41" s="43" t="s">
        <v>388</v>
      </c>
      <c r="Q41" s="31"/>
      <c r="R41" s="38" t="s">
        <v>737</v>
      </c>
    </row>
    <row r="42" spans="1:18" s="38" customFormat="1" ht="51">
      <c r="A42" s="109">
        <v>41</v>
      </c>
      <c r="B42" s="32">
        <v>40301</v>
      </c>
      <c r="C42" s="33">
        <v>40301.375</v>
      </c>
      <c r="D42" s="33" t="s">
        <v>784</v>
      </c>
      <c r="E42" s="39">
        <v>40301.395833333336</v>
      </c>
      <c r="F42" s="31" t="s">
        <v>394</v>
      </c>
      <c r="G42" s="31" t="s">
        <v>735</v>
      </c>
      <c r="H42" s="44" t="s">
        <v>365</v>
      </c>
      <c r="I42" s="43" t="s">
        <v>552</v>
      </c>
      <c r="J42" s="43" t="s">
        <v>363</v>
      </c>
      <c r="K42" s="31"/>
      <c r="L42" s="45"/>
      <c r="M42" s="54" t="s">
        <v>362</v>
      </c>
      <c r="N42" s="45"/>
      <c r="O42" s="43"/>
      <c r="P42" s="54" t="s">
        <v>362</v>
      </c>
      <c r="Q42" s="45" t="s">
        <v>364</v>
      </c>
      <c r="R42" s="38" t="s">
        <v>737</v>
      </c>
    </row>
    <row r="43" spans="1:18" s="38" customFormat="1" ht="51">
      <c r="A43" s="109">
        <v>42</v>
      </c>
      <c r="B43" s="32">
        <v>40301</v>
      </c>
      <c r="C43" s="33">
        <v>40301.381944444445</v>
      </c>
      <c r="D43" s="33" t="s">
        <v>784</v>
      </c>
      <c r="E43" s="39">
        <v>40301.40625</v>
      </c>
      <c r="F43" s="43" t="s">
        <v>740</v>
      </c>
      <c r="G43" s="43" t="s">
        <v>367</v>
      </c>
      <c r="H43" s="43" t="s">
        <v>368</v>
      </c>
      <c r="I43" s="43" t="s">
        <v>174</v>
      </c>
      <c r="J43" s="43" t="s">
        <v>595</v>
      </c>
      <c r="K43" s="31" t="s">
        <v>50</v>
      </c>
      <c r="L43" s="45"/>
      <c r="M43" s="43" t="s">
        <v>366</v>
      </c>
      <c r="N43" s="45"/>
      <c r="O43" s="43"/>
      <c r="P43" s="43" t="s">
        <v>366</v>
      </c>
      <c r="Q43" s="45"/>
      <c r="R43" s="38" t="s">
        <v>737</v>
      </c>
    </row>
    <row r="44" spans="1:18" s="38" customFormat="1" ht="38.25">
      <c r="A44" s="109">
        <v>43</v>
      </c>
      <c r="B44" s="32">
        <v>40301</v>
      </c>
      <c r="C44" s="41">
        <v>0.41666666666666669</v>
      </c>
      <c r="D44" s="33" t="s">
        <v>785</v>
      </c>
      <c r="E44" s="34">
        <v>40301.416666666664</v>
      </c>
      <c r="F44" s="31" t="s">
        <v>422</v>
      </c>
      <c r="G44" s="42" t="s">
        <v>735</v>
      </c>
      <c r="H44" s="42" t="s">
        <v>652</v>
      </c>
      <c r="I44" s="31" t="s">
        <v>552</v>
      </c>
      <c r="J44" s="31" t="s">
        <v>688</v>
      </c>
      <c r="K44" s="31"/>
      <c r="L44" s="31"/>
      <c r="M44" s="31" t="s">
        <v>690</v>
      </c>
      <c r="N44" s="31" t="s">
        <v>689</v>
      </c>
      <c r="O44" s="31"/>
      <c r="P44" s="31" t="s">
        <v>690</v>
      </c>
      <c r="Q44" s="31"/>
      <c r="R44" s="38" t="s">
        <v>657</v>
      </c>
    </row>
    <row r="45" spans="1:18" s="38" customFormat="1" ht="51">
      <c r="A45" s="109">
        <v>44</v>
      </c>
      <c r="B45" s="32"/>
      <c r="C45" s="59"/>
      <c r="D45" s="33" t="s">
        <v>787</v>
      </c>
      <c r="E45" s="110">
        <v>40301.416666666664</v>
      </c>
      <c r="F45" s="96" t="s">
        <v>25</v>
      </c>
      <c r="G45" s="98" t="s">
        <v>2</v>
      </c>
      <c r="H45" s="31"/>
      <c r="I45" s="31"/>
      <c r="J45" s="31"/>
      <c r="K45" s="31"/>
      <c r="L45" s="31"/>
      <c r="M45" s="31"/>
      <c r="N45" s="31"/>
      <c r="O45" s="31"/>
      <c r="P45" s="31"/>
      <c r="Q45" s="31"/>
      <c r="R45" s="38" t="s">
        <v>3</v>
      </c>
    </row>
    <row r="46" spans="1:18" s="38" customFormat="1" ht="229.5">
      <c r="A46" s="109">
        <v>45</v>
      </c>
      <c r="B46" s="32">
        <v>40301</v>
      </c>
      <c r="C46" s="33">
        <v>40301.416666666664</v>
      </c>
      <c r="D46" s="33" t="s">
        <v>784</v>
      </c>
      <c r="E46" s="39">
        <v>40301.417361111111</v>
      </c>
      <c r="F46" s="31" t="s">
        <v>422</v>
      </c>
      <c r="G46" s="31" t="s">
        <v>735</v>
      </c>
      <c r="H46" s="40" t="s">
        <v>739</v>
      </c>
      <c r="I46" s="31" t="s">
        <v>169</v>
      </c>
      <c r="J46" s="40" t="s">
        <v>736</v>
      </c>
      <c r="K46" s="31" t="s">
        <v>761</v>
      </c>
      <c r="L46" s="40" t="s">
        <v>733</v>
      </c>
      <c r="M46" s="73" t="s">
        <v>761</v>
      </c>
      <c r="N46" s="40"/>
      <c r="O46" s="31"/>
      <c r="P46" s="31" t="s">
        <v>708</v>
      </c>
      <c r="Q46" s="31"/>
      <c r="R46" s="38" t="s">
        <v>737</v>
      </c>
    </row>
    <row r="47" spans="1:18" s="38" customFormat="1" ht="114.75">
      <c r="A47" s="109">
        <v>46</v>
      </c>
      <c r="B47" s="32">
        <v>40301</v>
      </c>
      <c r="C47" s="33"/>
      <c r="D47" s="33" t="s">
        <v>784</v>
      </c>
      <c r="E47" s="46">
        <v>40301.4375</v>
      </c>
      <c r="F47" s="31" t="s">
        <v>740</v>
      </c>
      <c r="G47" s="31" t="s">
        <v>775</v>
      </c>
      <c r="H47" s="40"/>
      <c r="I47" s="31" t="s">
        <v>797</v>
      </c>
      <c r="J47" s="40" t="s">
        <v>798</v>
      </c>
      <c r="K47" s="31" t="s">
        <v>50</v>
      </c>
      <c r="L47" s="40"/>
      <c r="M47" s="43" t="s">
        <v>23</v>
      </c>
      <c r="N47" s="40"/>
      <c r="O47" s="31" t="s">
        <v>800</v>
      </c>
      <c r="P47" s="43" t="s">
        <v>23</v>
      </c>
      <c r="Q47" s="31"/>
      <c r="R47" s="38" t="s">
        <v>227</v>
      </c>
    </row>
    <row r="48" spans="1:18" s="38" customFormat="1" ht="38.25">
      <c r="A48" s="109">
        <v>47</v>
      </c>
      <c r="B48" s="80"/>
      <c r="C48" s="81"/>
      <c r="D48" s="33" t="s">
        <v>784</v>
      </c>
      <c r="E48" s="84">
        <v>40301.447916666664</v>
      </c>
      <c r="F48" s="79" t="s">
        <v>394</v>
      </c>
      <c r="G48" s="79" t="s">
        <v>735</v>
      </c>
      <c r="H48" s="79"/>
      <c r="I48" s="79" t="s">
        <v>171</v>
      </c>
      <c r="J48" s="79"/>
      <c r="K48" s="31"/>
      <c r="L48" s="79"/>
      <c r="M48" s="85" t="s">
        <v>354</v>
      </c>
      <c r="N48" s="79"/>
      <c r="O48" s="79"/>
      <c r="P48" s="79" t="s">
        <v>264</v>
      </c>
      <c r="Q48" s="79"/>
      <c r="R48" s="79" t="s">
        <v>266</v>
      </c>
    </row>
    <row r="49" spans="1:18" s="38" customFormat="1" ht="37.5" customHeight="1">
      <c r="A49" s="109">
        <v>48</v>
      </c>
      <c r="B49" s="32">
        <v>40301</v>
      </c>
      <c r="C49" s="33"/>
      <c r="D49" s="33" t="s">
        <v>783</v>
      </c>
      <c r="E49" s="46">
        <v>40301.458333333336</v>
      </c>
      <c r="F49" s="31" t="s">
        <v>740</v>
      </c>
      <c r="G49" s="31"/>
      <c r="H49" s="40"/>
      <c r="I49" s="31" t="s">
        <v>552</v>
      </c>
      <c r="J49" s="40"/>
      <c r="K49" s="31" t="s">
        <v>50</v>
      </c>
      <c r="L49" s="40"/>
      <c r="M49" s="43" t="s">
        <v>375</v>
      </c>
      <c r="N49" s="40"/>
      <c r="O49" s="31"/>
      <c r="P49" s="43" t="s">
        <v>375</v>
      </c>
      <c r="Q49" s="31"/>
      <c r="R49" s="38" t="s">
        <v>737</v>
      </c>
    </row>
    <row r="50" spans="1:18" s="79" customFormat="1" ht="25.5">
      <c r="A50" s="109">
        <v>49</v>
      </c>
      <c r="B50" s="32">
        <v>40301</v>
      </c>
      <c r="C50" s="33"/>
      <c r="D50" s="33" t="s">
        <v>783</v>
      </c>
      <c r="E50" s="46">
        <v>40301.479166666664</v>
      </c>
      <c r="F50" s="31" t="s">
        <v>38</v>
      </c>
      <c r="G50" s="31"/>
      <c r="H50" s="40"/>
      <c r="I50" s="31" t="s">
        <v>552</v>
      </c>
      <c r="J50" s="40"/>
      <c r="K50" s="31"/>
      <c r="L50" s="40"/>
      <c r="M50" s="43" t="s">
        <v>51</v>
      </c>
      <c r="N50" s="40"/>
      <c r="O50" s="31"/>
      <c r="P50" s="43" t="s">
        <v>376</v>
      </c>
      <c r="Q50" s="31"/>
      <c r="R50" s="38" t="s">
        <v>737</v>
      </c>
    </row>
    <row r="51" spans="1:18" s="79" customFormat="1" ht="25.5">
      <c r="A51" s="109">
        <v>50</v>
      </c>
      <c r="B51" s="32">
        <v>40301</v>
      </c>
      <c r="C51" s="33"/>
      <c r="D51" s="33" t="s">
        <v>783</v>
      </c>
      <c r="E51" s="46">
        <v>40301.499305555553</v>
      </c>
      <c r="F51" s="31" t="s">
        <v>38</v>
      </c>
      <c r="G51" s="31"/>
      <c r="H51" s="40"/>
      <c r="I51" s="31" t="s">
        <v>552</v>
      </c>
      <c r="J51" s="40"/>
      <c r="K51" s="31"/>
      <c r="L51" s="40"/>
      <c r="M51" s="43" t="s">
        <v>377</v>
      </c>
      <c r="N51" s="40"/>
      <c r="O51" s="31"/>
      <c r="P51" s="43" t="s">
        <v>377</v>
      </c>
      <c r="Q51" s="31"/>
      <c r="R51" s="38" t="s">
        <v>737</v>
      </c>
    </row>
    <row r="52" spans="1:18" s="38" customFormat="1" ht="38.25">
      <c r="A52" s="109">
        <v>51</v>
      </c>
      <c r="B52" s="32">
        <v>40301</v>
      </c>
      <c r="C52" s="41">
        <v>0.5</v>
      </c>
      <c r="D52" s="33" t="s">
        <v>786</v>
      </c>
      <c r="E52" s="34">
        <v>40301.5</v>
      </c>
      <c r="F52" s="31" t="s">
        <v>740</v>
      </c>
      <c r="G52" s="42" t="s">
        <v>735</v>
      </c>
      <c r="H52" s="42" t="s">
        <v>741</v>
      </c>
      <c r="I52" s="31" t="s">
        <v>742</v>
      </c>
      <c r="J52" s="31" t="s">
        <v>743</v>
      </c>
      <c r="K52" s="31"/>
      <c r="L52" s="31"/>
      <c r="M52" s="73" t="s">
        <v>744</v>
      </c>
      <c r="N52" s="31" t="s">
        <v>745</v>
      </c>
      <c r="O52" s="31"/>
      <c r="P52" s="31" t="s">
        <v>746</v>
      </c>
      <c r="Q52" s="31"/>
      <c r="R52" s="38" t="s">
        <v>747</v>
      </c>
    </row>
    <row r="53" spans="1:18" s="38" customFormat="1" ht="25.5">
      <c r="A53" s="109">
        <v>52</v>
      </c>
      <c r="B53" s="32">
        <v>40301</v>
      </c>
      <c r="C53" s="33"/>
      <c r="D53" s="33" t="s">
        <v>783</v>
      </c>
      <c r="E53" s="46">
        <v>40301.520833333336</v>
      </c>
      <c r="F53" s="31" t="s">
        <v>394</v>
      </c>
      <c r="G53" s="31"/>
      <c r="H53" s="40"/>
      <c r="I53" s="31" t="s">
        <v>552</v>
      </c>
      <c r="J53" s="40"/>
      <c r="K53" s="31"/>
      <c r="L53" s="40"/>
      <c r="M53" s="43" t="s">
        <v>378</v>
      </c>
      <c r="N53" s="40"/>
      <c r="O53" s="31"/>
      <c r="P53" s="43" t="s">
        <v>378</v>
      </c>
      <c r="Q53" s="31"/>
      <c r="R53" s="38" t="s">
        <v>737</v>
      </c>
    </row>
    <row r="54" spans="1:18" s="79" customFormat="1" ht="25.5">
      <c r="A54" s="109">
        <v>53</v>
      </c>
      <c r="B54" s="32">
        <v>40301</v>
      </c>
      <c r="C54" s="33"/>
      <c r="D54" s="33" t="s">
        <v>783</v>
      </c>
      <c r="E54" s="46">
        <v>40301.541666666664</v>
      </c>
      <c r="F54" s="31" t="s">
        <v>38</v>
      </c>
      <c r="G54" s="31"/>
      <c r="H54" s="40"/>
      <c r="I54" s="31" t="s">
        <v>552</v>
      </c>
      <c r="J54" s="40"/>
      <c r="K54" s="31"/>
      <c r="L54" s="40"/>
      <c r="M54" s="43" t="s">
        <v>52</v>
      </c>
      <c r="N54" s="40"/>
      <c r="O54" s="31"/>
      <c r="P54" s="43" t="s">
        <v>334</v>
      </c>
      <c r="Q54" s="31"/>
      <c r="R54" s="38" t="s">
        <v>737</v>
      </c>
    </row>
    <row r="55" spans="1:18" s="38" customFormat="1" ht="38.25">
      <c r="A55" s="109">
        <v>54</v>
      </c>
      <c r="B55" s="32"/>
      <c r="C55" s="33"/>
      <c r="D55" s="33" t="s">
        <v>784</v>
      </c>
      <c r="E55" s="58">
        <v>40301.542361111111</v>
      </c>
      <c r="F55" s="38" t="s">
        <v>740</v>
      </c>
      <c r="G55" s="31" t="s">
        <v>735</v>
      </c>
      <c r="H55" s="40"/>
      <c r="I55" s="31" t="s">
        <v>170</v>
      </c>
      <c r="J55" s="40"/>
      <c r="K55" s="31" t="s">
        <v>55</v>
      </c>
      <c r="L55" s="40"/>
      <c r="M55" s="73"/>
      <c r="N55" s="40" t="s">
        <v>583</v>
      </c>
      <c r="O55" s="31"/>
      <c r="P55" s="38" t="s">
        <v>564</v>
      </c>
      <c r="Q55" s="31"/>
      <c r="R55" s="38" t="s">
        <v>561</v>
      </c>
    </row>
    <row r="56" spans="1:18" s="38" customFormat="1">
      <c r="A56" s="109">
        <v>55</v>
      </c>
      <c r="B56" s="32">
        <v>40301</v>
      </c>
      <c r="C56" s="33"/>
      <c r="D56" s="33" t="s">
        <v>784</v>
      </c>
      <c r="E56" s="46">
        <v>40301.583333333336</v>
      </c>
      <c r="F56" s="31" t="s">
        <v>394</v>
      </c>
      <c r="G56" s="31"/>
      <c r="H56" s="40"/>
      <c r="I56" s="31" t="s">
        <v>552</v>
      </c>
      <c r="J56" s="40"/>
      <c r="K56" s="31"/>
      <c r="L56" s="40" t="s">
        <v>389</v>
      </c>
      <c r="M56" s="43" t="s">
        <v>381</v>
      </c>
      <c r="N56" s="40"/>
      <c r="O56" s="31"/>
      <c r="P56" s="43" t="s">
        <v>381</v>
      </c>
      <c r="Q56" s="31"/>
      <c r="R56" s="38" t="s">
        <v>737</v>
      </c>
    </row>
    <row r="57" spans="1:18" s="38" customFormat="1" ht="25.5">
      <c r="A57" s="109">
        <v>56</v>
      </c>
      <c r="B57" s="32">
        <v>40301</v>
      </c>
      <c r="C57" s="33"/>
      <c r="D57" s="33" t="s">
        <v>784</v>
      </c>
      <c r="E57" s="46">
        <v>40301.604166666664</v>
      </c>
      <c r="F57" s="31" t="s">
        <v>38</v>
      </c>
      <c r="G57" s="31"/>
      <c r="H57" s="40"/>
      <c r="I57" s="31" t="s">
        <v>552</v>
      </c>
      <c r="J57" s="40"/>
      <c r="K57" s="31"/>
      <c r="L57" s="40"/>
      <c r="M57" s="43" t="s">
        <v>382</v>
      </c>
      <c r="N57" s="40"/>
      <c r="O57" s="31"/>
      <c r="P57" s="43" t="s">
        <v>382</v>
      </c>
      <c r="Q57" s="31"/>
      <c r="R57" s="38" t="s">
        <v>737</v>
      </c>
    </row>
    <row r="58" spans="1:18" s="38" customFormat="1" ht="25.5">
      <c r="A58" s="109">
        <v>57</v>
      </c>
      <c r="B58" s="32">
        <v>40301</v>
      </c>
      <c r="C58" s="33"/>
      <c r="D58" s="33" t="s">
        <v>784</v>
      </c>
      <c r="E58" s="46">
        <v>40301.625</v>
      </c>
      <c r="F58" s="31" t="s">
        <v>38</v>
      </c>
      <c r="G58" s="31"/>
      <c r="H58" s="40"/>
      <c r="I58" s="31" t="s">
        <v>552</v>
      </c>
      <c r="J58" s="40"/>
      <c r="K58" s="31"/>
      <c r="L58" s="40"/>
      <c r="M58" s="43" t="s">
        <v>588</v>
      </c>
      <c r="N58" s="40"/>
      <c r="O58" s="31"/>
      <c r="P58" s="43" t="s">
        <v>588</v>
      </c>
      <c r="Q58" s="31"/>
      <c r="R58" s="38" t="s">
        <v>737</v>
      </c>
    </row>
    <row r="59" spans="1:18" s="38" customFormat="1" ht="102">
      <c r="A59" s="109">
        <v>58</v>
      </c>
      <c r="B59" s="32"/>
      <c r="C59" s="59"/>
      <c r="D59" s="33" t="s">
        <v>784</v>
      </c>
      <c r="E59" s="58">
        <v>40301.625</v>
      </c>
      <c r="F59" s="93"/>
      <c r="G59" s="31"/>
      <c r="H59" s="31"/>
      <c r="I59" s="31"/>
      <c r="J59" s="31"/>
      <c r="K59" s="73" t="s">
        <v>193</v>
      </c>
      <c r="L59" s="31"/>
      <c r="M59" s="31"/>
      <c r="N59" s="60"/>
      <c r="O59" s="31"/>
      <c r="P59" s="73" t="s">
        <v>193</v>
      </c>
      <c r="Q59" s="31"/>
    </row>
    <row r="60" spans="1:18" s="38" customFormat="1">
      <c r="A60" s="109">
        <v>59</v>
      </c>
      <c r="B60" s="32">
        <v>40301</v>
      </c>
      <c r="C60" s="33"/>
      <c r="D60" s="33" t="s">
        <v>784</v>
      </c>
      <c r="E60" s="46">
        <v>40301.645833333336</v>
      </c>
      <c r="F60" s="31" t="s">
        <v>38</v>
      </c>
      <c r="G60" s="31"/>
      <c r="H60" s="40"/>
      <c r="I60" s="31" t="s">
        <v>552</v>
      </c>
      <c r="J60" s="40"/>
      <c r="K60" s="31"/>
      <c r="L60" s="40"/>
      <c r="M60" s="43" t="s">
        <v>383</v>
      </c>
      <c r="N60" s="40"/>
      <c r="O60" s="31"/>
      <c r="P60" s="43" t="s">
        <v>383</v>
      </c>
      <c r="Q60" s="31"/>
      <c r="R60" s="38" t="s">
        <v>737</v>
      </c>
    </row>
    <row r="61" spans="1:18" s="38" customFormat="1" ht="25.5">
      <c r="A61" s="109">
        <v>60</v>
      </c>
      <c r="B61" s="32">
        <v>40301</v>
      </c>
      <c r="C61" s="33"/>
      <c r="D61" s="33" t="s">
        <v>784</v>
      </c>
      <c r="E61" s="46">
        <v>40301.65625</v>
      </c>
      <c r="F61" s="31" t="s">
        <v>38</v>
      </c>
      <c r="G61" s="31"/>
      <c r="H61" s="40"/>
      <c r="I61" s="31" t="s">
        <v>552</v>
      </c>
      <c r="J61" s="40"/>
      <c r="K61" s="31"/>
      <c r="L61" s="40"/>
      <c r="M61" s="43" t="s">
        <v>53</v>
      </c>
      <c r="N61" s="40"/>
      <c r="O61" s="31"/>
      <c r="P61" s="43" t="s">
        <v>384</v>
      </c>
      <c r="Q61" s="31"/>
      <c r="R61" s="38" t="s">
        <v>737</v>
      </c>
    </row>
    <row r="62" spans="1:18" s="38" customFormat="1" ht="229.5">
      <c r="A62" s="109">
        <v>61</v>
      </c>
      <c r="B62" s="32">
        <v>40301</v>
      </c>
      <c r="C62" s="33">
        <v>40301.666666666664</v>
      </c>
      <c r="D62" s="33" t="s">
        <v>784</v>
      </c>
      <c r="E62" s="39">
        <v>40301.666666666664</v>
      </c>
      <c r="F62" s="31" t="s">
        <v>422</v>
      </c>
      <c r="G62" s="31" t="s">
        <v>735</v>
      </c>
      <c r="H62" s="40" t="s">
        <v>739</v>
      </c>
      <c r="I62" s="31" t="s">
        <v>169</v>
      </c>
      <c r="J62" s="40" t="s">
        <v>736</v>
      </c>
      <c r="K62" s="31" t="s">
        <v>762</v>
      </c>
      <c r="L62" s="40" t="s">
        <v>733</v>
      </c>
      <c r="M62" s="73" t="s">
        <v>762</v>
      </c>
      <c r="N62" s="40"/>
      <c r="O62" s="31"/>
      <c r="P62" s="31" t="s">
        <v>709</v>
      </c>
      <c r="Q62" s="31"/>
      <c r="R62" s="38" t="s">
        <v>737</v>
      </c>
    </row>
    <row r="63" spans="1:18" s="38" customFormat="1" ht="51">
      <c r="A63" s="109">
        <v>62</v>
      </c>
      <c r="B63" s="32">
        <v>40301</v>
      </c>
      <c r="C63" s="33"/>
      <c r="D63" s="33" t="s">
        <v>784</v>
      </c>
      <c r="E63" s="46">
        <v>40301.6875</v>
      </c>
      <c r="F63" s="31"/>
      <c r="G63" s="31"/>
      <c r="H63" s="40"/>
      <c r="I63" s="31" t="s">
        <v>175</v>
      </c>
      <c r="J63" s="40"/>
      <c r="K63" s="31"/>
      <c r="L63" s="40"/>
      <c r="M63" s="43" t="s">
        <v>385</v>
      </c>
      <c r="N63" s="40"/>
      <c r="O63" s="31"/>
      <c r="P63" s="43" t="s">
        <v>385</v>
      </c>
      <c r="Q63" s="31"/>
      <c r="R63" s="38" t="s">
        <v>737</v>
      </c>
    </row>
    <row r="64" spans="1:18" s="38" customFormat="1" ht="89.25">
      <c r="A64" s="109">
        <v>63</v>
      </c>
      <c r="B64" s="32">
        <v>40301.697916666664</v>
      </c>
      <c r="C64" s="33">
        <v>40301.697916666664</v>
      </c>
      <c r="D64" s="33" t="s">
        <v>784</v>
      </c>
      <c r="E64" s="39">
        <v>40301.697916666664</v>
      </c>
      <c r="F64" s="31" t="s">
        <v>58</v>
      </c>
      <c r="G64" s="31" t="s">
        <v>550</v>
      </c>
      <c r="H64" s="40" t="s">
        <v>551</v>
      </c>
      <c r="I64" s="31" t="s">
        <v>552</v>
      </c>
      <c r="J64" s="40" t="s">
        <v>553</v>
      </c>
      <c r="K64" s="31" t="s">
        <v>548</v>
      </c>
      <c r="L64" s="40"/>
      <c r="M64" s="31" t="s">
        <v>549</v>
      </c>
      <c r="N64" s="40"/>
      <c r="O64" s="31"/>
      <c r="P64" s="31" t="s">
        <v>57</v>
      </c>
      <c r="Q64" s="31"/>
      <c r="R64" s="38" t="s">
        <v>542</v>
      </c>
    </row>
    <row r="65" spans="1:18" s="38" customFormat="1" ht="25.5">
      <c r="A65" s="109">
        <v>64</v>
      </c>
      <c r="B65" s="32">
        <v>40301</v>
      </c>
      <c r="C65" s="33"/>
      <c r="D65" s="33" t="s">
        <v>784</v>
      </c>
      <c r="E65" s="46">
        <v>40301.708333333336</v>
      </c>
      <c r="F65" s="31" t="s">
        <v>38</v>
      </c>
      <c r="G65" s="31"/>
      <c r="H65" s="40"/>
      <c r="I65" s="31" t="s">
        <v>552</v>
      </c>
      <c r="J65" s="40"/>
      <c r="K65" s="31"/>
      <c r="L65" s="40"/>
      <c r="M65" s="43" t="s">
        <v>386</v>
      </c>
      <c r="N65" s="40"/>
      <c r="O65" s="31"/>
      <c r="P65" s="43" t="s">
        <v>386</v>
      </c>
      <c r="Q65" s="31"/>
      <c r="R65" s="38" t="s">
        <v>737</v>
      </c>
    </row>
    <row r="66" spans="1:18" s="38" customFormat="1" ht="76.5">
      <c r="A66" s="109">
        <v>65</v>
      </c>
      <c r="B66" s="32"/>
      <c r="C66" s="59"/>
      <c r="D66" s="33" t="s">
        <v>784</v>
      </c>
      <c r="E66" s="58">
        <v>40301.708333333336</v>
      </c>
      <c r="F66" s="31" t="s">
        <v>740</v>
      </c>
      <c r="G66" s="31" t="s">
        <v>775</v>
      </c>
      <c r="H66" s="31"/>
      <c r="I66" s="31" t="s">
        <v>795</v>
      </c>
      <c r="J66" s="31"/>
      <c r="K66" s="73" t="s">
        <v>194</v>
      </c>
      <c r="L66" s="31"/>
      <c r="M66" s="31"/>
      <c r="N66" s="31"/>
      <c r="O66" s="31" t="s">
        <v>801</v>
      </c>
      <c r="P66" s="73" t="s">
        <v>194</v>
      </c>
      <c r="Q66" s="31"/>
      <c r="R66" s="38" t="s">
        <v>227</v>
      </c>
    </row>
    <row r="67" spans="1:18" s="38" customFormat="1" ht="51">
      <c r="A67" s="109">
        <v>66</v>
      </c>
      <c r="B67" s="32">
        <v>40301</v>
      </c>
      <c r="C67" s="33"/>
      <c r="D67" s="33" t="s">
        <v>784</v>
      </c>
      <c r="E67" s="46">
        <v>40301.727777777778</v>
      </c>
      <c r="F67" s="31" t="s">
        <v>740</v>
      </c>
      <c r="G67" s="31"/>
      <c r="H67" s="40"/>
      <c r="I67" s="31" t="s">
        <v>552</v>
      </c>
      <c r="J67" s="40"/>
      <c r="K67" s="31" t="s">
        <v>54</v>
      </c>
      <c r="L67" s="40"/>
      <c r="M67" s="43" t="s">
        <v>387</v>
      </c>
      <c r="N67" s="40"/>
      <c r="O67" s="31"/>
      <c r="P67" s="43" t="s">
        <v>387</v>
      </c>
      <c r="Q67" s="31"/>
      <c r="R67" s="38" t="s">
        <v>737</v>
      </c>
    </row>
    <row r="68" spans="1:18" s="38" customFormat="1" ht="102">
      <c r="A68" s="109">
        <v>67</v>
      </c>
      <c r="B68" s="32">
        <v>40301.770833333336</v>
      </c>
      <c r="C68" s="33">
        <v>40301.770833333336</v>
      </c>
      <c r="D68" s="33" t="s">
        <v>784</v>
      </c>
      <c r="E68" s="39">
        <v>40301.770833333336</v>
      </c>
      <c r="F68" s="31" t="s">
        <v>58</v>
      </c>
      <c r="G68" s="31" t="s">
        <v>544</v>
      </c>
      <c r="H68" s="40" t="s">
        <v>552</v>
      </c>
      <c r="I68" s="31" t="s">
        <v>552</v>
      </c>
      <c r="J68" s="40" t="s">
        <v>555</v>
      </c>
      <c r="K68" s="31" t="s">
        <v>548</v>
      </c>
      <c r="L68" s="40"/>
      <c r="M68" s="73" t="s">
        <v>554</v>
      </c>
      <c r="N68" s="40"/>
      <c r="O68" s="31"/>
      <c r="P68" s="31" t="s">
        <v>59</v>
      </c>
      <c r="Q68" s="31"/>
      <c r="R68" s="38" t="s">
        <v>542</v>
      </c>
    </row>
    <row r="69" spans="1:18" s="38" customFormat="1" ht="25.5">
      <c r="A69" s="109">
        <v>68</v>
      </c>
      <c r="B69" s="32">
        <v>40301</v>
      </c>
      <c r="C69" s="41">
        <v>0.625</v>
      </c>
      <c r="D69" s="33" t="s">
        <v>784</v>
      </c>
      <c r="E69" s="34">
        <v>40301.875</v>
      </c>
      <c r="F69" s="31" t="s">
        <v>422</v>
      </c>
      <c r="G69" s="42" t="s">
        <v>692</v>
      </c>
      <c r="H69" s="42" t="s">
        <v>652</v>
      </c>
      <c r="I69" s="31" t="s">
        <v>552</v>
      </c>
      <c r="J69" s="31" t="s">
        <v>654</v>
      </c>
      <c r="K69" s="31" t="s">
        <v>54</v>
      </c>
      <c r="L69" s="31"/>
      <c r="M69" s="31" t="s">
        <v>691</v>
      </c>
      <c r="N69" s="31" t="s">
        <v>693</v>
      </c>
      <c r="O69" s="31"/>
      <c r="P69" s="31" t="s">
        <v>125</v>
      </c>
      <c r="Q69" s="31"/>
      <c r="R69" s="38" t="s">
        <v>657</v>
      </c>
    </row>
    <row r="70" spans="1:18" s="38" customFormat="1" ht="25.5">
      <c r="A70" s="109">
        <v>69</v>
      </c>
      <c r="B70" s="32"/>
      <c r="C70" s="33"/>
      <c r="D70" s="33" t="s">
        <v>784</v>
      </c>
      <c r="E70" s="46">
        <v>40301.913194444445</v>
      </c>
      <c r="F70" s="31" t="s">
        <v>119</v>
      </c>
      <c r="G70" s="31" t="s">
        <v>735</v>
      </c>
      <c r="H70" s="40"/>
      <c r="I70" s="31" t="s">
        <v>552</v>
      </c>
      <c r="J70" s="40"/>
      <c r="K70" s="31" t="s">
        <v>61</v>
      </c>
      <c r="L70" s="40"/>
      <c r="M70" s="43" t="s">
        <v>390</v>
      </c>
      <c r="N70" s="40"/>
      <c r="O70" s="31"/>
      <c r="P70" s="43" t="s">
        <v>390</v>
      </c>
      <c r="Q70" s="31"/>
      <c r="R70" s="38" t="s">
        <v>737</v>
      </c>
    </row>
    <row r="71" spans="1:18" s="38" customFormat="1" ht="204">
      <c r="A71" s="109">
        <v>70</v>
      </c>
      <c r="B71" s="32">
        <v>40301</v>
      </c>
      <c r="C71" s="33">
        <v>40301.916666666664</v>
      </c>
      <c r="D71" s="33" t="s">
        <v>784</v>
      </c>
      <c r="E71" s="39">
        <v>40301.916666666664</v>
      </c>
      <c r="F71" s="31" t="s">
        <v>422</v>
      </c>
      <c r="G71" s="31" t="s">
        <v>735</v>
      </c>
      <c r="H71" s="40" t="s">
        <v>739</v>
      </c>
      <c r="I71" s="31" t="s">
        <v>169</v>
      </c>
      <c r="J71" s="40" t="s">
        <v>736</v>
      </c>
      <c r="K71" s="31" t="s">
        <v>763</v>
      </c>
      <c r="L71" s="40" t="s">
        <v>733</v>
      </c>
      <c r="M71" s="73" t="s">
        <v>763</v>
      </c>
      <c r="N71" s="40"/>
      <c r="O71" s="31"/>
      <c r="P71" s="31" t="s">
        <v>710</v>
      </c>
      <c r="Q71" s="31"/>
      <c r="R71" s="38" t="s">
        <v>737</v>
      </c>
    </row>
    <row r="72" spans="1:18" s="38" customFormat="1" ht="204">
      <c r="A72" s="109">
        <v>71</v>
      </c>
      <c r="B72" s="32">
        <v>40302</v>
      </c>
      <c r="C72" s="33">
        <v>40302.166666666664</v>
      </c>
      <c r="D72" s="33" t="s">
        <v>784</v>
      </c>
      <c r="E72" s="39">
        <v>40302.166666666664</v>
      </c>
      <c r="F72" s="31" t="s">
        <v>422</v>
      </c>
      <c r="G72" s="31" t="s">
        <v>735</v>
      </c>
      <c r="H72" s="40" t="s">
        <v>739</v>
      </c>
      <c r="I72" s="31" t="s">
        <v>169</v>
      </c>
      <c r="J72" s="40" t="s">
        <v>736</v>
      </c>
      <c r="K72" s="31" t="s">
        <v>764</v>
      </c>
      <c r="L72" s="40" t="s">
        <v>733</v>
      </c>
      <c r="M72" s="73" t="s">
        <v>764</v>
      </c>
      <c r="N72" s="40"/>
      <c r="O72" s="31"/>
      <c r="P72" s="31" t="s">
        <v>711</v>
      </c>
      <c r="Q72" s="31"/>
      <c r="R72" s="38" t="s">
        <v>737</v>
      </c>
    </row>
    <row r="73" spans="1:18" s="79" customFormat="1" ht="76.5">
      <c r="A73" s="109">
        <v>72</v>
      </c>
      <c r="B73" s="32"/>
      <c r="C73" s="59"/>
      <c r="D73" s="33" t="s">
        <v>787</v>
      </c>
      <c r="E73" s="110">
        <v>40302.166666666664</v>
      </c>
      <c r="F73" s="96" t="s">
        <v>28</v>
      </c>
      <c r="G73" s="98" t="s">
        <v>2</v>
      </c>
      <c r="H73" s="31"/>
      <c r="I73" s="31"/>
      <c r="J73" s="31"/>
      <c r="K73" s="31"/>
      <c r="L73" s="31"/>
      <c r="M73" s="31"/>
      <c r="N73" s="31"/>
      <c r="O73" s="31"/>
      <c r="P73" s="31"/>
      <c r="Q73" s="31"/>
      <c r="R73" s="38" t="s">
        <v>3</v>
      </c>
    </row>
    <row r="74" spans="1:18" s="38" customFormat="1" ht="114.75">
      <c r="A74" s="109">
        <v>73</v>
      </c>
      <c r="B74" s="32"/>
      <c r="C74" s="59"/>
      <c r="D74" s="33" t="s">
        <v>787</v>
      </c>
      <c r="E74" s="110">
        <v>40302.208333333336</v>
      </c>
      <c r="F74" s="96" t="s">
        <v>26</v>
      </c>
      <c r="G74" s="98" t="s">
        <v>2</v>
      </c>
      <c r="H74" s="31"/>
      <c r="I74" s="31"/>
      <c r="J74" s="31"/>
      <c r="K74" s="31"/>
      <c r="L74" s="31"/>
      <c r="M74" s="31"/>
      <c r="N74" s="31"/>
      <c r="O74" s="31"/>
      <c r="P74" s="31"/>
      <c r="Q74" s="31"/>
      <c r="R74" s="38" t="s">
        <v>3</v>
      </c>
    </row>
    <row r="75" spans="1:18" s="38" customFormat="1" ht="38.25">
      <c r="A75" s="109">
        <v>74</v>
      </c>
      <c r="B75" s="32"/>
      <c r="C75" s="33"/>
      <c r="D75" s="33" t="s">
        <v>784</v>
      </c>
      <c r="E75" s="39">
        <v>40302.291666666664</v>
      </c>
      <c r="F75" s="31"/>
      <c r="G75" s="31" t="s">
        <v>373</v>
      </c>
      <c r="H75" s="31" t="s">
        <v>398</v>
      </c>
      <c r="I75" s="31" t="s">
        <v>552</v>
      </c>
      <c r="J75" s="31" t="s">
        <v>595</v>
      </c>
      <c r="K75" s="31"/>
      <c r="L75" s="31"/>
      <c r="M75" s="73"/>
      <c r="N75" s="31"/>
      <c r="O75" s="31"/>
      <c r="P75" s="31" t="s">
        <v>127</v>
      </c>
      <c r="Q75" s="31"/>
      <c r="R75" s="38" t="s">
        <v>737</v>
      </c>
    </row>
    <row r="76" spans="1:18" s="38" customFormat="1" ht="76.5">
      <c r="A76" s="109">
        <v>75</v>
      </c>
      <c r="B76" s="32">
        <v>40302.083333333336</v>
      </c>
      <c r="C76" s="33">
        <v>40302.083333333336</v>
      </c>
      <c r="D76" s="33" t="s">
        <v>784</v>
      </c>
      <c r="E76" s="39">
        <v>40302.302083333336</v>
      </c>
      <c r="F76" s="31" t="s">
        <v>58</v>
      </c>
      <c r="G76" s="31" t="s">
        <v>550</v>
      </c>
      <c r="H76" s="40" t="s">
        <v>551</v>
      </c>
      <c r="I76" s="31" t="s">
        <v>552</v>
      </c>
      <c r="J76" s="40" t="s">
        <v>553</v>
      </c>
      <c r="K76" s="31" t="s">
        <v>548</v>
      </c>
      <c r="L76" s="40"/>
      <c r="M76" s="31" t="s">
        <v>556</v>
      </c>
      <c r="N76" s="40"/>
      <c r="O76" s="31"/>
      <c r="P76" s="31" t="s">
        <v>126</v>
      </c>
      <c r="Q76" s="31"/>
      <c r="R76" s="38" t="s">
        <v>542</v>
      </c>
    </row>
    <row r="77" spans="1:18" s="38" customFormat="1" ht="25.5">
      <c r="A77" s="109">
        <v>76</v>
      </c>
      <c r="B77" s="32"/>
      <c r="C77" s="33"/>
      <c r="D77" s="33" t="s">
        <v>784</v>
      </c>
      <c r="E77" s="39">
        <v>40302.315972222219</v>
      </c>
      <c r="F77" s="31" t="s">
        <v>355</v>
      </c>
      <c r="G77" s="31"/>
      <c r="H77" s="40"/>
      <c r="I77" s="31" t="s">
        <v>177</v>
      </c>
      <c r="J77" s="40"/>
      <c r="K77" s="31"/>
      <c r="L77" s="40"/>
      <c r="M77" s="31" t="s">
        <v>357</v>
      </c>
      <c r="N77" s="40"/>
      <c r="O77" s="31"/>
      <c r="P77" s="31"/>
      <c r="Q77" s="31"/>
    </row>
    <row r="78" spans="1:18" s="86" customFormat="1" ht="25.5">
      <c r="A78" s="109">
        <v>77</v>
      </c>
      <c r="B78" s="32"/>
      <c r="C78" s="33"/>
      <c r="D78" s="33" t="s">
        <v>784</v>
      </c>
      <c r="E78" s="39">
        <v>40302.319444444445</v>
      </c>
      <c r="F78" s="31" t="s">
        <v>355</v>
      </c>
      <c r="G78" s="31"/>
      <c r="H78" s="40"/>
      <c r="I78" s="31" t="s">
        <v>178</v>
      </c>
      <c r="J78" s="40"/>
      <c r="K78" s="31"/>
      <c r="L78" s="40"/>
      <c r="M78" s="31" t="s">
        <v>356</v>
      </c>
      <c r="N78" s="40"/>
      <c r="O78" s="31"/>
      <c r="P78" s="31"/>
      <c r="Q78" s="31"/>
      <c r="R78" s="38"/>
    </row>
    <row r="79" spans="1:18" s="38" customFormat="1" ht="38.25">
      <c r="A79" s="109">
        <v>78</v>
      </c>
      <c r="B79" s="32"/>
      <c r="C79" s="33"/>
      <c r="D79" s="33" t="s">
        <v>784</v>
      </c>
      <c r="E79" s="39">
        <v>40302.333333333336</v>
      </c>
      <c r="F79" s="31" t="s">
        <v>355</v>
      </c>
      <c r="G79" s="31"/>
      <c r="H79" s="40"/>
      <c r="I79" s="31" t="s">
        <v>178</v>
      </c>
      <c r="J79" s="40"/>
      <c r="K79" s="31"/>
      <c r="L79" s="40"/>
      <c r="M79" s="31" t="s">
        <v>358</v>
      </c>
      <c r="N79" s="40"/>
      <c r="O79" s="31"/>
      <c r="P79" s="31"/>
      <c r="Q79" s="31"/>
    </row>
    <row r="80" spans="1:18" s="38" customFormat="1" ht="38.25">
      <c r="A80" s="109">
        <v>79</v>
      </c>
      <c r="B80" s="32"/>
      <c r="C80" s="59"/>
      <c r="D80" s="33" t="s">
        <v>787</v>
      </c>
      <c r="E80" s="110">
        <v>40302.333333333336</v>
      </c>
      <c r="F80" s="96" t="s">
        <v>27</v>
      </c>
      <c r="G80" s="98" t="s">
        <v>2</v>
      </c>
      <c r="H80" s="31"/>
      <c r="I80" s="31"/>
      <c r="J80" s="31"/>
      <c r="K80" s="31"/>
      <c r="L80" s="31"/>
      <c r="M80" s="31"/>
      <c r="N80" s="31"/>
      <c r="O80" s="31"/>
      <c r="P80" s="31"/>
      <c r="Q80" s="31"/>
      <c r="R80" s="38" t="s">
        <v>3</v>
      </c>
    </row>
    <row r="81" spans="1:18" s="38" customFormat="1" ht="140.25">
      <c r="A81" s="109">
        <v>80</v>
      </c>
      <c r="B81" s="32">
        <v>40302.354166666664</v>
      </c>
      <c r="C81" s="33">
        <v>40302.354166666664</v>
      </c>
      <c r="D81" s="33" t="s">
        <v>784</v>
      </c>
      <c r="E81" s="39">
        <v>40302.354166666664</v>
      </c>
      <c r="F81" s="31" t="s">
        <v>44</v>
      </c>
      <c r="G81" s="31" t="s">
        <v>373</v>
      </c>
      <c r="H81" s="40" t="s">
        <v>698</v>
      </c>
      <c r="I81" s="31" t="s">
        <v>552</v>
      </c>
      <c r="J81" s="40" t="s">
        <v>553</v>
      </c>
      <c r="K81" s="31" t="s">
        <v>548</v>
      </c>
      <c r="L81" s="40"/>
      <c r="M81" s="73" t="s">
        <v>557</v>
      </c>
      <c r="N81" s="40"/>
      <c r="O81" s="31"/>
      <c r="P81" s="31" t="s">
        <v>128</v>
      </c>
      <c r="Q81" s="31"/>
      <c r="R81" s="38" t="s">
        <v>542</v>
      </c>
    </row>
    <row r="82" spans="1:18" s="38" customFormat="1" ht="38.25">
      <c r="A82" s="109">
        <v>81</v>
      </c>
      <c r="B82" s="32"/>
      <c r="C82" s="33"/>
      <c r="D82" s="33" t="s">
        <v>784</v>
      </c>
      <c r="E82" s="58">
        <v>40302.416666666664</v>
      </c>
      <c r="F82" s="31" t="s">
        <v>422</v>
      </c>
      <c r="G82" s="31" t="s">
        <v>775</v>
      </c>
      <c r="H82" s="40" t="s">
        <v>604</v>
      </c>
      <c r="I82" s="31" t="s">
        <v>179</v>
      </c>
      <c r="J82" s="40" t="s">
        <v>606</v>
      </c>
      <c r="K82" s="31"/>
      <c r="L82" s="40"/>
      <c r="M82" s="31" t="s">
        <v>129</v>
      </c>
      <c r="N82" s="40"/>
      <c r="O82" s="31"/>
      <c r="P82" s="31"/>
      <c r="Q82" s="31" t="s">
        <v>616</v>
      </c>
      <c r="R82" s="38" t="s">
        <v>646</v>
      </c>
    </row>
    <row r="83" spans="1:18" s="38" customFormat="1" ht="25.5">
      <c r="A83" s="109">
        <v>82</v>
      </c>
      <c r="B83" s="32"/>
      <c r="C83" s="33"/>
      <c r="D83" s="33" t="s">
        <v>784</v>
      </c>
      <c r="E83" s="39">
        <v>40302.427083333336</v>
      </c>
      <c r="F83" s="31" t="s">
        <v>355</v>
      </c>
      <c r="G83" s="31"/>
      <c r="H83" s="40"/>
      <c r="I83" s="31" t="s">
        <v>172</v>
      </c>
      <c r="J83" s="40"/>
      <c r="K83" s="31"/>
      <c r="L83" s="40"/>
      <c r="M83" s="31" t="s">
        <v>7</v>
      </c>
      <c r="N83" s="40"/>
      <c r="O83" s="31"/>
      <c r="P83" s="31"/>
      <c r="Q83" s="31"/>
    </row>
    <row r="84" spans="1:18" s="79" customFormat="1" ht="229.5">
      <c r="A84" s="109">
        <v>83</v>
      </c>
      <c r="B84" s="32">
        <v>40303.395833333336</v>
      </c>
      <c r="C84" s="33">
        <v>0.39583333333333331</v>
      </c>
      <c r="D84" s="33" t="s">
        <v>784</v>
      </c>
      <c r="E84" s="39">
        <v>40302.4375</v>
      </c>
      <c r="F84" s="31" t="s">
        <v>40</v>
      </c>
      <c r="G84" s="31" t="s">
        <v>310</v>
      </c>
      <c r="H84" s="31" t="s">
        <v>311</v>
      </c>
      <c r="I84" s="31" t="s">
        <v>179</v>
      </c>
      <c r="J84" s="31" t="s">
        <v>392</v>
      </c>
      <c r="K84" s="31" t="s">
        <v>312</v>
      </c>
      <c r="L84" s="31"/>
      <c r="M84" s="73" t="s">
        <v>309</v>
      </c>
      <c r="N84" s="31" t="s">
        <v>313</v>
      </c>
      <c r="O84" s="31" t="s">
        <v>314</v>
      </c>
      <c r="P84" s="31" t="s">
        <v>315</v>
      </c>
      <c r="Q84" s="31"/>
      <c r="R84" s="38" t="s">
        <v>542</v>
      </c>
    </row>
    <row r="85" spans="1:18" s="38" customFormat="1" ht="51">
      <c r="A85" s="109">
        <v>84</v>
      </c>
      <c r="B85" s="32"/>
      <c r="C85" s="33"/>
      <c r="D85" s="33" t="s">
        <v>784</v>
      </c>
      <c r="E85" s="39">
        <v>40302.440972222219</v>
      </c>
      <c r="F85" s="31" t="s">
        <v>355</v>
      </c>
      <c r="G85" s="31"/>
      <c r="H85" s="40" t="s">
        <v>180</v>
      </c>
      <c r="I85" s="31" t="s">
        <v>177</v>
      </c>
      <c r="J85" s="40"/>
      <c r="K85" s="31"/>
      <c r="L85" s="40"/>
      <c r="M85" s="31" t="s">
        <v>9</v>
      </c>
      <c r="N85" s="40"/>
      <c r="O85" s="31"/>
      <c r="P85" s="31"/>
      <c r="Q85" s="31"/>
    </row>
    <row r="86" spans="1:18" s="38" customFormat="1" ht="229.5">
      <c r="A86" s="109">
        <v>85</v>
      </c>
      <c r="B86" s="32">
        <v>40302.395833333336</v>
      </c>
      <c r="C86" s="33">
        <v>0.40625</v>
      </c>
      <c r="D86" s="33" t="s">
        <v>784</v>
      </c>
      <c r="E86" s="39">
        <v>40302.447916666664</v>
      </c>
      <c r="F86" s="31" t="s">
        <v>40</v>
      </c>
      <c r="G86" s="31" t="s">
        <v>317</v>
      </c>
      <c r="H86" s="31" t="s">
        <v>552</v>
      </c>
      <c r="I86" s="31" t="s">
        <v>552</v>
      </c>
      <c r="J86" s="31" t="s">
        <v>318</v>
      </c>
      <c r="K86" s="31" t="s">
        <v>312</v>
      </c>
      <c r="L86" s="31"/>
      <c r="M86" s="73" t="s">
        <v>316</v>
      </c>
      <c r="N86" s="31" t="s">
        <v>319</v>
      </c>
      <c r="O86" s="31" t="s">
        <v>314</v>
      </c>
      <c r="P86" s="31" t="s">
        <v>320</v>
      </c>
      <c r="Q86" s="31"/>
      <c r="R86" s="38" t="s">
        <v>542</v>
      </c>
    </row>
    <row r="87" spans="1:18" s="38" customFormat="1" ht="191.25">
      <c r="A87" s="109">
        <v>86</v>
      </c>
      <c r="B87" s="32">
        <v>40302</v>
      </c>
      <c r="C87" s="33">
        <v>40302.416666666664</v>
      </c>
      <c r="D87" s="33" t="s">
        <v>784</v>
      </c>
      <c r="E87" s="39">
        <v>40302.416666666664</v>
      </c>
      <c r="F87" s="31" t="s">
        <v>422</v>
      </c>
      <c r="G87" s="31" t="s">
        <v>735</v>
      </c>
      <c r="H87" s="40" t="s">
        <v>739</v>
      </c>
      <c r="I87" s="31" t="s">
        <v>169</v>
      </c>
      <c r="J87" s="40" t="s">
        <v>736</v>
      </c>
      <c r="K87" s="31" t="s">
        <v>765</v>
      </c>
      <c r="L87" s="40" t="s">
        <v>733</v>
      </c>
      <c r="M87" s="31" t="s">
        <v>765</v>
      </c>
      <c r="N87" s="40"/>
      <c r="O87" s="31"/>
      <c r="P87" s="31" t="s">
        <v>712</v>
      </c>
      <c r="Q87" s="31"/>
      <c r="R87" s="38" t="s">
        <v>737</v>
      </c>
    </row>
    <row r="88" spans="1:18" s="38" customFormat="1" ht="25.5">
      <c r="A88" s="109">
        <v>87</v>
      </c>
      <c r="B88" s="87"/>
      <c r="C88" s="88"/>
      <c r="D88" s="33" t="s">
        <v>784</v>
      </c>
      <c r="E88" s="89">
        <v>40302.459027777775</v>
      </c>
      <c r="F88" s="86"/>
      <c r="G88" s="86" t="s">
        <v>735</v>
      </c>
      <c r="H88" s="86"/>
      <c r="I88" s="86" t="s">
        <v>171</v>
      </c>
      <c r="J88" s="86"/>
      <c r="K88" s="31" t="s">
        <v>256</v>
      </c>
      <c r="L88" s="86"/>
      <c r="M88" s="90"/>
      <c r="N88" s="86"/>
      <c r="O88" s="86"/>
      <c r="P88" s="86" t="s">
        <v>256</v>
      </c>
      <c r="Q88" s="86"/>
      <c r="R88" s="86" t="s">
        <v>266</v>
      </c>
    </row>
    <row r="89" spans="1:18" s="38" customFormat="1" ht="25.5">
      <c r="A89" s="109">
        <v>88</v>
      </c>
      <c r="B89" s="87"/>
      <c r="C89" s="88"/>
      <c r="D89" s="33" t="s">
        <v>784</v>
      </c>
      <c r="E89" s="89">
        <v>40302.479166666664</v>
      </c>
      <c r="F89" s="86" t="s">
        <v>740</v>
      </c>
      <c r="G89" s="86" t="s">
        <v>735</v>
      </c>
      <c r="H89" s="86"/>
      <c r="I89" s="86" t="s">
        <v>175</v>
      </c>
      <c r="J89" s="86"/>
      <c r="K89" s="31"/>
      <c r="L89" s="86"/>
      <c r="M89" s="86" t="s">
        <v>261</v>
      </c>
      <c r="N89" s="86"/>
      <c r="O89" s="86"/>
      <c r="P89" s="86" t="s">
        <v>261</v>
      </c>
      <c r="Q89" s="86"/>
      <c r="R89" s="86" t="s">
        <v>266</v>
      </c>
    </row>
    <row r="90" spans="1:18" s="38" customFormat="1" ht="38.25">
      <c r="A90" s="109">
        <v>89</v>
      </c>
      <c r="B90" s="32"/>
      <c r="C90" s="33"/>
      <c r="D90" s="33" t="s">
        <v>784</v>
      </c>
      <c r="E90" s="39">
        <v>40302.486111111109</v>
      </c>
      <c r="F90" s="31" t="s">
        <v>355</v>
      </c>
      <c r="G90" s="31"/>
      <c r="H90" s="40"/>
      <c r="I90" s="31" t="s">
        <v>177</v>
      </c>
      <c r="J90" s="40"/>
      <c r="K90" s="31"/>
      <c r="L90" s="40"/>
      <c r="M90" s="31" t="s">
        <v>10</v>
      </c>
      <c r="N90" s="40"/>
      <c r="O90" s="31"/>
      <c r="P90" s="31"/>
      <c r="Q90" s="31"/>
    </row>
    <row r="91" spans="1:18" s="38" customFormat="1" ht="229.5">
      <c r="A91" s="109">
        <v>90</v>
      </c>
      <c r="B91" s="32">
        <v>40302.395833333336</v>
      </c>
      <c r="C91" s="33">
        <v>0.44791666666666669</v>
      </c>
      <c r="D91" s="33" t="s">
        <v>784</v>
      </c>
      <c r="E91" s="39">
        <v>40302.489583333336</v>
      </c>
      <c r="F91" s="31" t="s">
        <v>39</v>
      </c>
      <c r="G91" s="31" t="s">
        <v>373</v>
      </c>
      <c r="H91" s="31" t="s">
        <v>322</v>
      </c>
      <c r="I91" s="31" t="s">
        <v>552</v>
      </c>
      <c r="J91" s="31" t="s">
        <v>553</v>
      </c>
      <c r="K91" s="31" t="s">
        <v>312</v>
      </c>
      <c r="L91" s="31"/>
      <c r="M91" s="73" t="s">
        <v>321</v>
      </c>
      <c r="N91" s="31" t="s">
        <v>319</v>
      </c>
      <c r="O91" s="31" t="s">
        <v>314</v>
      </c>
      <c r="P91" s="31" t="s">
        <v>323</v>
      </c>
      <c r="Q91" s="31"/>
      <c r="R91" s="38" t="s">
        <v>542</v>
      </c>
    </row>
    <row r="92" spans="1:18" s="38" customFormat="1" ht="38.25">
      <c r="A92" s="109">
        <v>91</v>
      </c>
      <c r="B92" s="32">
        <v>40302</v>
      </c>
      <c r="C92" s="41">
        <v>0.45833333333333331</v>
      </c>
      <c r="D92" s="33" t="s">
        <v>784</v>
      </c>
      <c r="E92" s="46">
        <v>40302.500694444447</v>
      </c>
      <c r="F92" s="31" t="s">
        <v>422</v>
      </c>
      <c r="G92" s="42" t="s">
        <v>775</v>
      </c>
      <c r="H92" s="42" t="s">
        <v>184</v>
      </c>
      <c r="I92" s="31" t="s">
        <v>181</v>
      </c>
      <c r="J92" s="31" t="s">
        <v>676</v>
      </c>
      <c r="K92" s="31" t="s">
        <v>60</v>
      </c>
      <c r="L92" s="31"/>
      <c r="M92" s="73" t="s">
        <v>62</v>
      </c>
      <c r="N92" s="31" t="s">
        <v>682</v>
      </c>
      <c r="O92" s="31"/>
      <c r="P92" s="31" t="s">
        <v>681</v>
      </c>
      <c r="Q92" s="31"/>
      <c r="R92" s="38" t="s">
        <v>657</v>
      </c>
    </row>
    <row r="93" spans="1:18" s="38" customFormat="1" ht="38.25">
      <c r="A93" s="109">
        <v>92</v>
      </c>
      <c r="B93" s="32"/>
      <c r="C93" s="33"/>
      <c r="D93" s="33" t="s">
        <v>784</v>
      </c>
      <c r="E93" s="58">
        <v>40302.501388888886</v>
      </c>
      <c r="F93" s="31" t="s">
        <v>740</v>
      </c>
      <c r="G93" s="31" t="s">
        <v>735</v>
      </c>
      <c r="H93" s="31" t="s">
        <v>265</v>
      </c>
      <c r="I93" s="31" t="s">
        <v>175</v>
      </c>
      <c r="J93" s="31"/>
      <c r="K93" s="31"/>
      <c r="L93" s="31"/>
      <c r="M93" s="38" t="s">
        <v>257</v>
      </c>
      <c r="N93" s="31"/>
      <c r="O93" s="31"/>
      <c r="P93" s="38" t="s">
        <v>257</v>
      </c>
      <c r="Q93" s="31"/>
      <c r="R93" s="38" t="s">
        <v>266</v>
      </c>
    </row>
    <row r="94" spans="1:18" s="38" customFormat="1" ht="25.5">
      <c r="A94" s="109">
        <v>93</v>
      </c>
      <c r="B94" s="32"/>
      <c r="C94" s="33"/>
      <c r="D94" s="33" t="s">
        <v>784</v>
      </c>
      <c r="E94" s="39">
        <v>40302.520833333336</v>
      </c>
      <c r="F94" s="31" t="s">
        <v>355</v>
      </c>
      <c r="G94" s="31"/>
      <c r="H94" s="40" t="s">
        <v>185</v>
      </c>
      <c r="I94" s="31" t="s">
        <v>182</v>
      </c>
      <c r="J94" s="40"/>
      <c r="K94" s="31"/>
      <c r="L94" s="40"/>
      <c r="M94" s="31" t="s">
        <v>8</v>
      </c>
      <c r="N94" s="40"/>
      <c r="O94" s="31"/>
      <c r="P94" s="31"/>
      <c r="Q94" s="31"/>
    </row>
    <row r="95" spans="1:18" s="38" customFormat="1" ht="38.25">
      <c r="A95" s="109">
        <v>94</v>
      </c>
      <c r="B95" s="32">
        <v>40302</v>
      </c>
      <c r="C95" s="41">
        <v>0.5</v>
      </c>
      <c r="D95" s="33" t="s">
        <v>784</v>
      </c>
      <c r="E95" s="34">
        <v>40302.041666666664</v>
      </c>
      <c r="F95" s="31" t="s">
        <v>740</v>
      </c>
      <c r="G95" s="42" t="s">
        <v>735</v>
      </c>
      <c r="H95" s="42"/>
      <c r="I95" s="31" t="s">
        <v>742</v>
      </c>
      <c r="J95" s="31" t="s">
        <v>743</v>
      </c>
      <c r="K95" s="31"/>
      <c r="L95" s="31"/>
      <c r="M95" s="73" t="s">
        <v>744</v>
      </c>
      <c r="N95" s="31" t="s">
        <v>745</v>
      </c>
      <c r="O95" s="31"/>
      <c r="P95" s="31" t="s">
        <v>746</v>
      </c>
      <c r="Q95" s="31"/>
      <c r="R95" s="38" t="s">
        <v>747</v>
      </c>
    </row>
    <row r="96" spans="1:18" s="38" customFormat="1" ht="38.25">
      <c r="A96" s="109">
        <v>95</v>
      </c>
      <c r="B96" s="32">
        <v>40302</v>
      </c>
      <c r="C96" s="41">
        <v>0.54166666666666663</v>
      </c>
      <c r="D96" s="33" t="s">
        <v>784</v>
      </c>
      <c r="E96" s="34">
        <v>40302.583333333336</v>
      </c>
      <c r="F96" s="31" t="s">
        <v>740</v>
      </c>
      <c r="G96" s="31" t="s">
        <v>735</v>
      </c>
      <c r="H96" s="42"/>
      <c r="I96" s="31" t="s">
        <v>183</v>
      </c>
      <c r="J96" s="31" t="s">
        <v>219</v>
      </c>
      <c r="K96" s="31" t="s">
        <v>212</v>
      </c>
      <c r="L96" s="31"/>
      <c r="M96" s="73" t="s">
        <v>217</v>
      </c>
      <c r="N96" s="31"/>
      <c r="O96" s="31"/>
      <c r="P96" s="38" t="s">
        <v>212</v>
      </c>
      <c r="Q96" s="31"/>
      <c r="R96" s="38" t="s">
        <v>218</v>
      </c>
    </row>
    <row r="97" spans="1:18" s="38" customFormat="1" ht="229.5">
      <c r="A97" s="109">
        <v>96</v>
      </c>
      <c r="B97" s="32">
        <v>40302.395833333336</v>
      </c>
      <c r="C97" s="33">
        <v>0.54166666666666663</v>
      </c>
      <c r="D97" s="33" t="s">
        <v>784</v>
      </c>
      <c r="E97" s="58">
        <v>40302.584027777775</v>
      </c>
      <c r="F97" s="31" t="s">
        <v>40</v>
      </c>
      <c r="G97" s="31" t="s">
        <v>310</v>
      </c>
      <c r="H97" s="31" t="s">
        <v>322</v>
      </c>
      <c r="I97" s="31" t="s">
        <v>552</v>
      </c>
      <c r="J97" s="31" t="s">
        <v>553</v>
      </c>
      <c r="K97" s="31" t="s">
        <v>312</v>
      </c>
      <c r="L97" s="31"/>
      <c r="M97" s="73" t="s">
        <v>324</v>
      </c>
      <c r="N97" s="31" t="s">
        <v>319</v>
      </c>
      <c r="O97" s="31" t="s">
        <v>314</v>
      </c>
      <c r="P97" s="31" t="s">
        <v>325</v>
      </c>
      <c r="Q97" s="31"/>
      <c r="R97" s="38" t="s">
        <v>542</v>
      </c>
    </row>
    <row r="98" spans="1:18" s="38" customFormat="1" ht="38.25">
      <c r="A98" s="109">
        <v>97</v>
      </c>
      <c r="B98" s="32"/>
      <c r="C98" s="33"/>
      <c r="D98" s="33" t="s">
        <v>784</v>
      </c>
      <c r="E98" s="58">
        <v>40302.584722222222</v>
      </c>
      <c r="F98" s="31" t="s">
        <v>422</v>
      </c>
      <c r="G98" s="31" t="s">
        <v>735</v>
      </c>
      <c r="H98" s="31" t="s">
        <v>265</v>
      </c>
      <c r="I98" s="31" t="s">
        <v>175</v>
      </c>
      <c r="J98" s="31"/>
      <c r="K98" s="31"/>
      <c r="L98" s="31"/>
      <c r="M98" s="38" t="s">
        <v>259</v>
      </c>
      <c r="N98" s="31" t="s">
        <v>804</v>
      </c>
      <c r="O98" s="31"/>
      <c r="P98" s="38" t="s">
        <v>259</v>
      </c>
      <c r="Q98" s="31"/>
      <c r="R98" s="38" t="s">
        <v>266</v>
      </c>
    </row>
    <row r="99" spans="1:18" s="38" customFormat="1" ht="51">
      <c r="A99" s="109">
        <v>98</v>
      </c>
      <c r="B99" s="80">
        <v>40302</v>
      </c>
      <c r="C99" s="91">
        <v>0.5625</v>
      </c>
      <c r="D99" s="33" t="s">
        <v>784</v>
      </c>
      <c r="E99" s="82">
        <v>40302.604166666664</v>
      </c>
      <c r="F99" s="79" t="s">
        <v>422</v>
      </c>
      <c r="G99" s="79" t="s">
        <v>735</v>
      </c>
      <c r="H99" s="92"/>
      <c r="I99" s="79" t="s">
        <v>183</v>
      </c>
      <c r="J99" s="79" t="s">
        <v>219</v>
      </c>
      <c r="K99" s="31"/>
      <c r="L99" s="79"/>
      <c r="M99" s="79" t="s">
        <v>213</v>
      </c>
      <c r="N99" s="79"/>
      <c r="O99" s="79"/>
      <c r="P99" s="79" t="s">
        <v>213</v>
      </c>
      <c r="Q99" s="79"/>
      <c r="R99" s="79" t="s">
        <v>218</v>
      </c>
    </row>
    <row r="100" spans="1:18" s="38" customFormat="1" ht="140.25">
      <c r="A100" s="109">
        <v>99</v>
      </c>
      <c r="B100" s="32">
        <v>40302.395833333336</v>
      </c>
      <c r="C100" s="33">
        <v>0.58333333333333337</v>
      </c>
      <c r="D100" s="33" t="s">
        <v>784</v>
      </c>
      <c r="E100" s="39">
        <v>40302.625</v>
      </c>
      <c r="F100" s="31" t="s">
        <v>39</v>
      </c>
      <c r="G100" s="31" t="s">
        <v>373</v>
      </c>
      <c r="H100" s="31" t="s">
        <v>322</v>
      </c>
      <c r="I100" s="31" t="s">
        <v>552</v>
      </c>
      <c r="J100" s="31" t="s">
        <v>553</v>
      </c>
      <c r="K100" s="31" t="s">
        <v>312</v>
      </c>
      <c r="L100" s="31"/>
      <c r="M100" s="73" t="s">
        <v>321</v>
      </c>
      <c r="N100" s="31" t="s">
        <v>319</v>
      </c>
      <c r="O100" s="31" t="s">
        <v>326</v>
      </c>
      <c r="P100" s="31" t="s">
        <v>327</v>
      </c>
      <c r="Q100" s="31"/>
      <c r="R100" s="38" t="s">
        <v>542</v>
      </c>
    </row>
    <row r="101" spans="1:18" s="38" customFormat="1" ht="25.5">
      <c r="A101" s="109">
        <v>100</v>
      </c>
      <c r="B101" s="32">
        <v>40302</v>
      </c>
      <c r="C101" s="41">
        <v>0.58333333333333337</v>
      </c>
      <c r="D101" s="33" t="s">
        <v>784</v>
      </c>
      <c r="E101" s="34">
        <v>40302.625694444447</v>
      </c>
      <c r="F101" s="31" t="s">
        <v>740</v>
      </c>
      <c r="G101" s="31" t="s">
        <v>735</v>
      </c>
      <c r="H101" s="42"/>
      <c r="I101" s="31" t="s">
        <v>183</v>
      </c>
      <c r="J101" s="31" t="s">
        <v>219</v>
      </c>
      <c r="K101" s="31" t="s">
        <v>214</v>
      </c>
      <c r="L101" s="31"/>
      <c r="M101" s="73" t="s">
        <v>217</v>
      </c>
      <c r="N101" s="31"/>
      <c r="O101" s="31"/>
      <c r="P101" s="38" t="s">
        <v>214</v>
      </c>
      <c r="Q101" s="31"/>
      <c r="R101" s="38" t="s">
        <v>218</v>
      </c>
    </row>
    <row r="102" spans="1:18" s="38" customFormat="1" ht="63.75">
      <c r="A102" s="109">
        <v>101</v>
      </c>
      <c r="B102" s="32"/>
      <c r="C102" s="33"/>
      <c r="D102" s="33" t="s">
        <v>784</v>
      </c>
      <c r="E102" s="39">
        <v>40302.666666666664</v>
      </c>
      <c r="F102" s="38" t="s">
        <v>740</v>
      </c>
      <c r="G102" s="31" t="s">
        <v>345</v>
      </c>
      <c r="H102" s="31"/>
      <c r="I102" s="31" t="s">
        <v>186</v>
      </c>
      <c r="J102" s="31" t="s">
        <v>225</v>
      </c>
      <c r="K102" s="31" t="s">
        <v>63</v>
      </c>
      <c r="L102" s="31"/>
      <c r="M102" s="75" t="s">
        <v>346</v>
      </c>
      <c r="N102" s="38" t="s">
        <v>347</v>
      </c>
      <c r="O102" s="31"/>
      <c r="P102" s="38" t="s">
        <v>348</v>
      </c>
      <c r="Q102" s="31"/>
      <c r="R102" s="38" t="s">
        <v>227</v>
      </c>
    </row>
    <row r="103" spans="1:18" s="38" customFormat="1" ht="25.5">
      <c r="A103" s="109">
        <v>102</v>
      </c>
      <c r="B103" s="32">
        <v>40302</v>
      </c>
      <c r="C103" s="41">
        <v>0.625</v>
      </c>
      <c r="D103" s="33" t="s">
        <v>784</v>
      </c>
      <c r="E103" s="34">
        <v>40302.667361111111</v>
      </c>
      <c r="F103" s="31" t="s">
        <v>38</v>
      </c>
      <c r="G103" s="31" t="s">
        <v>735</v>
      </c>
      <c r="H103" s="42"/>
      <c r="I103" s="31" t="s">
        <v>183</v>
      </c>
      <c r="J103" s="31" t="s">
        <v>219</v>
      </c>
      <c r="K103" s="31"/>
      <c r="L103" s="31"/>
      <c r="M103" s="38" t="s">
        <v>215</v>
      </c>
      <c r="N103" s="31"/>
      <c r="O103" s="31"/>
      <c r="P103" s="38" t="s">
        <v>215</v>
      </c>
      <c r="Q103" s="31"/>
      <c r="R103" s="38" t="s">
        <v>218</v>
      </c>
    </row>
    <row r="104" spans="1:18" s="38" customFormat="1" ht="63.75">
      <c r="A104" s="109">
        <v>103</v>
      </c>
      <c r="B104" s="32"/>
      <c r="C104" s="33"/>
      <c r="D104" s="33" t="s">
        <v>784</v>
      </c>
      <c r="E104" s="34">
        <v>40302.677083333336</v>
      </c>
      <c r="F104" s="31" t="s">
        <v>422</v>
      </c>
      <c r="G104" s="31" t="s">
        <v>775</v>
      </c>
      <c r="H104" s="31" t="s">
        <v>271</v>
      </c>
      <c r="I104" s="31" t="s">
        <v>187</v>
      </c>
      <c r="J104" s="31" t="s">
        <v>595</v>
      </c>
      <c r="K104" s="31"/>
      <c r="L104" s="31"/>
      <c r="M104" s="43" t="s">
        <v>336</v>
      </c>
      <c r="N104" s="31"/>
      <c r="O104" s="31"/>
      <c r="P104" s="43" t="s">
        <v>273</v>
      </c>
      <c r="Q104" s="31" t="s">
        <v>337</v>
      </c>
      <c r="R104" s="38" t="s">
        <v>270</v>
      </c>
    </row>
    <row r="105" spans="1:18" s="38" customFormat="1" ht="25.5">
      <c r="A105" s="109">
        <v>104</v>
      </c>
      <c r="B105" s="32">
        <v>40302</v>
      </c>
      <c r="C105" s="41">
        <v>0.64583333333333337</v>
      </c>
      <c r="D105" s="33" t="s">
        <v>784</v>
      </c>
      <c r="E105" s="34">
        <v>40302.6875</v>
      </c>
      <c r="F105" s="31" t="s">
        <v>740</v>
      </c>
      <c r="G105" s="31" t="s">
        <v>735</v>
      </c>
      <c r="H105" s="42"/>
      <c r="I105" s="31" t="s">
        <v>183</v>
      </c>
      <c r="J105" s="31" t="s">
        <v>219</v>
      </c>
      <c r="K105" s="61"/>
      <c r="L105" s="31"/>
      <c r="M105" s="61" t="s">
        <v>216</v>
      </c>
      <c r="N105" s="31"/>
      <c r="O105" s="31"/>
      <c r="P105" s="61" t="s">
        <v>216</v>
      </c>
      <c r="Q105" s="31"/>
      <c r="R105" s="38" t="s">
        <v>218</v>
      </c>
    </row>
    <row r="106" spans="1:18" s="38" customFormat="1" ht="114.75">
      <c r="A106" s="109">
        <v>105</v>
      </c>
      <c r="B106" s="32"/>
      <c r="C106" s="33"/>
      <c r="D106" s="33" t="s">
        <v>784</v>
      </c>
      <c r="E106" s="52">
        <v>40302.708333333336</v>
      </c>
      <c r="F106" s="31" t="s">
        <v>38</v>
      </c>
      <c r="G106" s="31" t="s">
        <v>373</v>
      </c>
      <c r="H106" s="31" t="s">
        <v>404</v>
      </c>
      <c r="I106" s="31" t="s">
        <v>552</v>
      </c>
      <c r="J106" s="31" t="s">
        <v>653</v>
      </c>
      <c r="K106" s="31"/>
      <c r="L106" s="31"/>
      <c r="M106" s="31" t="s">
        <v>403</v>
      </c>
      <c r="N106" s="31"/>
      <c r="O106" s="31"/>
      <c r="P106" s="31" t="s">
        <v>717</v>
      </c>
      <c r="Q106" s="31"/>
      <c r="R106" s="38" t="s">
        <v>737</v>
      </c>
    </row>
    <row r="107" spans="1:18" s="38" customFormat="1" ht="25.5">
      <c r="A107" s="109">
        <v>106</v>
      </c>
      <c r="B107" s="32"/>
      <c r="C107" s="33"/>
      <c r="D107" s="33" t="s">
        <v>787</v>
      </c>
      <c r="E107" s="52">
        <v>40302.709027777775</v>
      </c>
      <c r="F107" s="31" t="s">
        <v>422</v>
      </c>
      <c r="G107" s="31" t="s">
        <v>373</v>
      </c>
      <c r="H107" s="31" t="s">
        <v>698</v>
      </c>
      <c r="I107" s="31" t="s">
        <v>552</v>
      </c>
      <c r="J107" s="31" t="s">
        <v>595</v>
      </c>
      <c r="K107" s="31"/>
      <c r="L107" s="31"/>
      <c r="M107" s="31" t="s">
        <v>372</v>
      </c>
      <c r="N107" s="31"/>
      <c r="O107" s="31"/>
      <c r="P107" s="31" t="s">
        <v>372</v>
      </c>
      <c r="Q107" s="31"/>
      <c r="R107" s="38" t="s">
        <v>737</v>
      </c>
    </row>
    <row r="108" spans="1:18" s="38" customFormat="1" ht="25.5">
      <c r="A108" s="109">
        <v>107</v>
      </c>
      <c r="B108" s="32"/>
      <c r="C108" s="33"/>
      <c r="D108" s="33" t="s">
        <v>787</v>
      </c>
      <c r="E108" s="52">
        <v>40302.711805555555</v>
      </c>
      <c r="F108" s="40" t="s">
        <v>394</v>
      </c>
      <c r="G108" s="31" t="s">
        <v>373</v>
      </c>
      <c r="H108" s="40" t="s">
        <v>653</v>
      </c>
      <c r="I108" s="31" t="s">
        <v>552</v>
      </c>
      <c r="J108" s="40" t="s">
        <v>595</v>
      </c>
      <c r="K108" s="31"/>
      <c r="L108" s="31"/>
      <c r="M108" s="40" t="s">
        <v>132</v>
      </c>
      <c r="N108" s="31"/>
      <c r="O108" s="31"/>
      <c r="P108" s="40" t="s">
        <v>400</v>
      </c>
      <c r="Q108" s="31"/>
      <c r="R108" s="38" t="s">
        <v>737</v>
      </c>
    </row>
    <row r="109" spans="1:18" s="38" customFormat="1" ht="25.5">
      <c r="A109" s="109">
        <v>108</v>
      </c>
      <c r="B109" s="32">
        <v>40302</v>
      </c>
      <c r="C109" s="33">
        <v>40302.666666666664</v>
      </c>
      <c r="D109" s="33" t="s">
        <v>784</v>
      </c>
      <c r="E109" s="39">
        <v>40302.713888888888</v>
      </c>
      <c r="F109" s="31" t="s">
        <v>422</v>
      </c>
      <c r="G109" s="31" t="s">
        <v>735</v>
      </c>
      <c r="H109" s="40" t="s">
        <v>739</v>
      </c>
      <c r="I109" s="31" t="s">
        <v>169</v>
      </c>
      <c r="J109" s="40" t="s">
        <v>736</v>
      </c>
      <c r="K109" s="31" t="s">
        <v>766</v>
      </c>
      <c r="L109" s="40" t="s">
        <v>733</v>
      </c>
      <c r="M109" s="73" t="s">
        <v>766</v>
      </c>
      <c r="N109" s="40"/>
      <c r="O109" s="31"/>
      <c r="Q109" s="31"/>
      <c r="R109" s="38" t="s">
        <v>737</v>
      </c>
    </row>
    <row r="110" spans="1:18" s="38" customFormat="1">
      <c r="A110" s="109">
        <v>109</v>
      </c>
      <c r="B110" s="32"/>
      <c r="C110" s="33"/>
      <c r="D110" s="33" t="s">
        <v>784</v>
      </c>
      <c r="E110" s="46">
        <v>40302.714583333334</v>
      </c>
      <c r="F110" s="31"/>
      <c r="G110" s="31" t="s">
        <v>735</v>
      </c>
      <c r="H110" s="40" t="s">
        <v>392</v>
      </c>
      <c r="I110" s="31" t="s">
        <v>169</v>
      </c>
      <c r="J110" s="40" t="s">
        <v>736</v>
      </c>
      <c r="K110" s="31"/>
      <c r="L110" s="40"/>
      <c r="M110" s="73"/>
      <c r="N110" s="40"/>
      <c r="O110" s="31"/>
      <c r="Q110" s="31"/>
      <c r="R110" s="38" t="s">
        <v>737</v>
      </c>
    </row>
    <row r="111" spans="1:18" s="38" customFormat="1" ht="178.5">
      <c r="A111" s="109">
        <v>110</v>
      </c>
      <c r="B111" s="32"/>
      <c r="C111" s="33"/>
      <c r="D111" s="33" t="s">
        <v>784</v>
      </c>
      <c r="E111" s="34">
        <v>40302.758333333331</v>
      </c>
      <c r="F111" s="31" t="s">
        <v>422</v>
      </c>
      <c r="G111" s="31" t="s">
        <v>775</v>
      </c>
      <c r="H111" s="31" t="s">
        <v>280</v>
      </c>
      <c r="I111" s="31" t="s">
        <v>187</v>
      </c>
      <c r="J111" s="31" t="s">
        <v>606</v>
      </c>
      <c r="K111" s="31" t="s">
        <v>89</v>
      </c>
      <c r="L111" s="31"/>
      <c r="M111" s="76" t="s">
        <v>281</v>
      </c>
      <c r="N111" s="31"/>
      <c r="O111" s="76" t="s">
        <v>281</v>
      </c>
      <c r="P111" s="31" t="s">
        <v>342</v>
      </c>
      <c r="Q111" s="31"/>
      <c r="R111" s="38" t="s">
        <v>270</v>
      </c>
    </row>
    <row r="112" spans="1:18" s="38" customFormat="1" ht="51">
      <c r="A112" s="109">
        <v>111</v>
      </c>
      <c r="B112" s="32"/>
      <c r="C112" s="33"/>
      <c r="D112" s="33" t="s">
        <v>784</v>
      </c>
      <c r="E112" s="34">
        <v>40302.760416666664</v>
      </c>
      <c r="F112" s="56" t="s">
        <v>422</v>
      </c>
      <c r="G112" s="56" t="s">
        <v>735</v>
      </c>
      <c r="H112" s="56" t="s">
        <v>300</v>
      </c>
      <c r="I112" s="31" t="s">
        <v>176</v>
      </c>
      <c r="J112" s="56" t="s">
        <v>303</v>
      </c>
      <c r="K112" s="56"/>
      <c r="L112" s="31"/>
      <c r="M112" s="73" t="s">
        <v>806</v>
      </c>
      <c r="N112" s="31"/>
      <c r="O112" s="31"/>
      <c r="P112" s="56" t="s">
        <v>286</v>
      </c>
      <c r="Q112" s="31"/>
      <c r="R112" s="56" t="s">
        <v>308</v>
      </c>
    </row>
    <row r="113" spans="1:18" s="38" customFormat="1" ht="191.25">
      <c r="A113" s="109">
        <v>112</v>
      </c>
      <c r="B113" s="32"/>
      <c r="C113" s="33"/>
      <c r="D113" s="33" t="s">
        <v>784</v>
      </c>
      <c r="E113" s="34">
        <v>40302.78125</v>
      </c>
      <c r="F113" s="31" t="s">
        <v>422</v>
      </c>
      <c r="G113" s="31" t="s">
        <v>775</v>
      </c>
      <c r="H113" s="31" t="s">
        <v>267</v>
      </c>
      <c r="I113" s="31" t="s">
        <v>187</v>
      </c>
      <c r="J113" s="31" t="s">
        <v>553</v>
      </c>
      <c r="K113" s="31" t="s">
        <v>91</v>
      </c>
      <c r="L113" s="31"/>
      <c r="M113" s="73" t="s">
        <v>282</v>
      </c>
      <c r="N113" s="31"/>
      <c r="O113" s="73" t="s">
        <v>282</v>
      </c>
      <c r="P113" s="31" t="s">
        <v>344</v>
      </c>
      <c r="Q113" s="31"/>
      <c r="R113" s="38" t="s">
        <v>270</v>
      </c>
    </row>
    <row r="114" spans="1:18" s="38" customFormat="1" ht="178.5">
      <c r="A114" s="109">
        <v>113</v>
      </c>
      <c r="B114" s="32">
        <v>40302.395833333336</v>
      </c>
      <c r="C114" s="33">
        <v>0.70833333333333337</v>
      </c>
      <c r="D114" s="33" t="s">
        <v>784</v>
      </c>
      <c r="E114" s="58">
        <v>40302.791666666664</v>
      </c>
      <c r="F114" s="31" t="s">
        <v>41</v>
      </c>
      <c r="G114" s="31" t="s">
        <v>373</v>
      </c>
      <c r="H114" s="31" t="s">
        <v>322</v>
      </c>
      <c r="I114" s="31" t="s">
        <v>552</v>
      </c>
      <c r="J114" s="31" t="s">
        <v>553</v>
      </c>
      <c r="K114" s="31" t="s">
        <v>312</v>
      </c>
      <c r="L114" s="31"/>
      <c r="M114" s="73" t="s">
        <v>321</v>
      </c>
      <c r="N114" s="31"/>
      <c r="O114" s="31" t="s">
        <v>328</v>
      </c>
      <c r="P114" s="31" t="s">
        <v>329</v>
      </c>
      <c r="Q114" s="31" t="s">
        <v>330</v>
      </c>
      <c r="R114" s="38" t="s">
        <v>542</v>
      </c>
    </row>
    <row r="115" spans="1:18" s="38" customFormat="1" ht="38.25">
      <c r="A115" s="109">
        <v>114</v>
      </c>
      <c r="B115" s="32"/>
      <c r="C115" s="33"/>
      <c r="D115" s="33" t="s">
        <v>784</v>
      </c>
      <c r="E115" s="34">
        <v>40302.822916666664</v>
      </c>
      <c r="F115" s="31" t="s">
        <v>740</v>
      </c>
      <c r="G115" s="31" t="s">
        <v>609</v>
      </c>
      <c r="H115" s="40" t="s">
        <v>604</v>
      </c>
      <c r="I115" s="31" t="s">
        <v>187</v>
      </c>
      <c r="J115" s="40" t="s">
        <v>595</v>
      </c>
      <c r="K115" s="31"/>
      <c r="L115" s="40"/>
      <c r="M115" s="31" t="s">
        <v>65</v>
      </c>
      <c r="N115" s="40"/>
      <c r="O115" s="31"/>
      <c r="P115" s="31" t="s">
        <v>338</v>
      </c>
      <c r="Q115" s="31"/>
      <c r="R115" s="38" t="s">
        <v>270</v>
      </c>
    </row>
    <row r="116" spans="1:18" s="38" customFormat="1" ht="38.25">
      <c r="A116" s="109">
        <v>115</v>
      </c>
      <c r="B116" s="32"/>
      <c r="C116" s="33"/>
      <c r="D116" s="33" t="s">
        <v>784</v>
      </c>
      <c r="E116" s="34">
        <v>40302.823611111111</v>
      </c>
      <c r="F116" s="56" t="s">
        <v>740</v>
      </c>
      <c r="G116" s="56" t="s">
        <v>735</v>
      </c>
      <c r="H116" s="56" t="s">
        <v>301</v>
      </c>
      <c r="I116" s="31" t="s">
        <v>171</v>
      </c>
      <c r="J116" s="56" t="s">
        <v>305</v>
      </c>
      <c r="K116" s="56"/>
      <c r="L116" s="31"/>
      <c r="M116" s="56" t="s">
        <v>66</v>
      </c>
      <c r="N116" s="31"/>
      <c r="O116" s="31"/>
      <c r="P116" s="56" t="s">
        <v>289</v>
      </c>
      <c r="Q116" s="31"/>
      <c r="R116" s="56" t="s">
        <v>308</v>
      </c>
    </row>
    <row r="117" spans="1:18" s="38" customFormat="1" ht="89.25">
      <c r="A117" s="109">
        <v>116</v>
      </c>
      <c r="B117" s="32"/>
      <c r="C117" s="33"/>
      <c r="D117" s="33" t="s">
        <v>784</v>
      </c>
      <c r="E117" s="34">
        <v>40302.826388888891</v>
      </c>
      <c r="F117" s="31" t="s">
        <v>422</v>
      </c>
      <c r="G117" s="31" t="s">
        <v>775</v>
      </c>
      <c r="H117" s="31" t="s">
        <v>267</v>
      </c>
      <c r="I117" s="31" t="s">
        <v>171</v>
      </c>
      <c r="J117" s="31" t="s">
        <v>553</v>
      </c>
      <c r="K117" s="31" t="s">
        <v>91</v>
      </c>
      <c r="L117" s="31"/>
      <c r="M117" s="73" t="s">
        <v>93</v>
      </c>
      <c r="N117" s="31"/>
      <c r="O117" s="31"/>
      <c r="P117" s="73" t="s">
        <v>343</v>
      </c>
      <c r="Q117" s="31"/>
      <c r="R117" s="38" t="s">
        <v>270</v>
      </c>
    </row>
    <row r="118" spans="1:18" s="38" customFormat="1" ht="191.25">
      <c r="A118" s="109">
        <v>117</v>
      </c>
      <c r="B118" s="32">
        <v>40302</v>
      </c>
      <c r="C118" s="33">
        <v>40302.916666666664</v>
      </c>
      <c r="D118" s="33" t="s">
        <v>784</v>
      </c>
      <c r="E118" s="39">
        <v>40302.916666666664</v>
      </c>
      <c r="F118" s="31" t="s">
        <v>422</v>
      </c>
      <c r="G118" s="31" t="s">
        <v>735</v>
      </c>
      <c r="H118" s="40" t="s">
        <v>739</v>
      </c>
      <c r="I118" s="31" t="s">
        <v>169</v>
      </c>
      <c r="J118" s="40" t="s">
        <v>736</v>
      </c>
      <c r="K118" s="31" t="s">
        <v>767</v>
      </c>
      <c r="L118" s="40" t="s">
        <v>733</v>
      </c>
      <c r="M118" s="73" t="s">
        <v>767</v>
      </c>
      <c r="N118" s="40"/>
      <c r="O118" s="31"/>
      <c r="P118" s="31" t="s">
        <v>349</v>
      </c>
      <c r="Q118" s="31"/>
      <c r="R118" s="38" t="s">
        <v>737</v>
      </c>
    </row>
    <row r="119" spans="1:18" s="38" customFormat="1" ht="216.75">
      <c r="A119" s="109">
        <v>118</v>
      </c>
      <c r="B119" s="32">
        <v>40303</v>
      </c>
      <c r="C119" s="33">
        <v>40303.166666666664</v>
      </c>
      <c r="D119" s="33" t="s">
        <v>784</v>
      </c>
      <c r="E119" s="39">
        <v>40303.166666666664</v>
      </c>
      <c r="F119" s="31" t="s">
        <v>422</v>
      </c>
      <c r="G119" s="31" t="s">
        <v>735</v>
      </c>
      <c r="H119" s="40" t="s">
        <v>739</v>
      </c>
      <c r="I119" s="31" t="s">
        <v>169</v>
      </c>
      <c r="J119" s="40" t="s">
        <v>736</v>
      </c>
      <c r="K119" s="31" t="s">
        <v>768</v>
      </c>
      <c r="L119" s="40" t="s">
        <v>733</v>
      </c>
      <c r="M119" s="73" t="s">
        <v>768</v>
      </c>
      <c r="N119" s="40"/>
      <c r="O119" s="31"/>
      <c r="P119" s="31" t="s">
        <v>350</v>
      </c>
      <c r="Q119" s="31"/>
      <c r="R119" s="38" t="s">
        <v>737</v>
      </c>
    </row>
    <row r="120" spans="1:18" s="38" customFormat="1" ht="63.75">
      <c r="A120" s="109">
        <v>119</v>
      </c>
      <c r="B120" s="32"/>
      <c r="C120" s="59"/>
      <c r="D120" s="33" t="s">
        <v>787</v>
      </c>
      <c r="E120" s="110">
        <v>40303.208333333336</v>
      </c>
      <c r="F120" s="96" t="s">
        <v>29</v>
      </c>
      <c r="G120" s="98" t="s">
        <v>2</v>
      </c>
      <c r="H120" s="31"/>
      <c r="I120" s="31"/>
      <c r="J120" s="31"/>
      <c r="K120" s="31"/>
      <c r="L120" s="31"/>
      <c r="M120" s="31"/>
      <c r="N120" s="31"/>
      <c r="O120" s="31"/>
      <c r="P120" s="31"/>
      <c r="Q120" s="31"/>
      <c r="R120" s="38" t="s">
        <v>3</v>
      </c>
    </row>
    <row r="121" spans="1:18" s="38" customFormat="1" ht="89.25">
      <c r="A121" s="109">
        <v>120</v>
      </c>
      <c r="B121" s="32"/>
      <c r="C121" s="59"/>
      <c r="D121" s="33" t="s">
        <v>787</v>
      </c>
      <c r="E121" s="110">
        <v>40303.208333333336</v>
      </c>
      <c r="F121" s="96" t="s">
        <v>30</v>
      </c>
      <c r="G121" s="98" t="s">
        <v>2</v>
      </c>
      <c r="H121" s="31"/>
      <c r="I121" s="31"/>
      <c r="J121" s="31"/>
      <c r="K121" s="31"/>
      <c r="L121" s="31"/>
      <c r="M121" s="31"/>
      <c r="N121" s="31"/>
      <c r="O121" s="31"/>
      <c r="P121" s="31"/>
      <c r="Q121" s="31"/>
      <c r="R121" s="38" t="s">
        <v>3</v>
      </c>
    </row>
    <row r="122" spans="1:18" s="38" customFormat="1" ht="25.5">
      <c r="A122" s="109">
        <v>121</v>
      </c>
      <c r="B122" s="32"/>
      <c r="C122" s="33"/>
      <c r="D122" s="33" t="s">
        <v>784</v>
      </c>
      <c r="E122" s="39">
        <v>40303.291666666664</v>
      </c>
      <c r="F122" s="40" t="s">
        <v>394</v>
      </c>
      <c r="G122" s="31" t="s">
        <v>373</v>
      </c>
      <c r="H122" s="40" t="s">
        <v>653</v>
      </c>
      <c r="I122" s="31" t="s">
        <v>552</v>
      </c>
      <c r="J122" s="40" t="s">
        <v>595</v>
      </c>
      <c r="K122" s="31"/>
      <c r="L122" s="31"/>
      <c r="M122" s="40" t="s">
        <v>67</v>
      </c>
      <c r="N122" s="31"/>
      <c r="O122" s="31"/>
      <c r="P122" s="40" t="s">
        <v>421</v>
      </c>
      <c r="Q122" s="31"/>
      <c r="R122" s="38" t="s">
        <v>737</v>
      </c>
    </row>
    <row r="123" spans="1:18" s="38" customFormat="1" ht="89.25">
      <c r="A123" s="109">
        <v>122</v>
      </c>
      <c r="B123" s="32">
        <v>40303.3125</v>
      </c>
      <c r="C123" s="33">
        <v>40303.3125</v>
      </c>
      <c r="D123" s="33" t="s">
        <v>784</v>
      </c>
      <c r="E123" s="39">
        <v>40303.3125</v>
      </c>
      <c r="F123" s="31" t="s">
        <v>68</v>
      </c>
      <c r="G123" s="31" t="s">
        <v>373</v>
      </c>
      <c r="H123" s="40" t="s">
        <v>698</v>
      </c>
      <c r="I123" s="31" t="s">
        <v>552</v>
      </c>
      <c r="J123" s="40" t="s">
        <v>553</v>
      </c>
      <c r="K123" s="31" t="s">
        <v>548</v>
      </c>
      <c r="L123" s="40"/>
      <c r="M123" s="73" t="s">
        <v>558</v>
      </c>
      <c r="N123" s="40"/>
      <c r="O123" s="31"/>
      <c r="P123" s="31" t="s">
        <v>559</v>
      </c>
      <c r="Q123" s="31"/>
      <c r="R123" s="38" t="s">
        <v>542</v>
      </c>
    </row>
    <row r="124" spans="1:18" s="38" customFormat="1" ht="114.75">
      <c r="A124" s="109">
        <v>123</v>
      </c>
      <c r="B124" s="32"/>
      <c r="C124" s="59"/>
      <c r="D124" s="33" t="s">
        <v>784</v>
      </c>
      <c r="E124" s="110">
        <v>40303.333333333336</v>
      </c>
      <c r="F124" s="96" t="s">
        <v>31</v>
      </c>
      <c r="G124" s="98" t="s">
        <v>32</v>
      </c>
      <c r="H124" s="31"/>
      <c r="I124" s="31"/>
      <c r="J124" s="31"/>
      <c r="K124" s="31"/>
      <c r="L124" s="31"/>
      <c r="M124" s="31"/>
      <c r="N124" s="31"/>
      <c r="O124" s="31"/>
      <c r="P124" s="31"/>
      <c r="Q124" s="31"/>
      <c r="R124" s="38" t="s">
        <v>3</v>
      </c>
    </row>
    <row r="125" spans="1:18" s="38" customFormat="1" ht="114.75">
      <c r="A125" s="109">
        <v>124</v>
      </c>
      <c r="B125" s="32"/>
      <c r="C125" s="59"/>
      <c r="D125" s="33" t="s">
        <v>784</v>
      </c>
      <c r="E125" s="110">
        <v>40303.333333333336</v>
      </c>
      <c r="F125" s="96" t="s">
        <v>33</v>
      </c>
      <c r="G125" s="98" t="s">
        <v>2</v>
      </c>
      <c r="H125" s="31"/>
      <c r="I125" s="31"/>
      <c r="J125" s="31"/>
      <c r="K125" s="31"/>
      <c r="L125" s="31"/>
      <c r="M125" s="31"/>
      <c r="N125" s="31"/>
      <c r="O125" s="31"/>
      <c r="P125" s="31"/>
      <c r="Q125" s="31"/>
      <c r="R125" s="38" t="s">
        <v>3</v>
      </c>
    </row>
    <row r="126" spans="1:18" s="38" customFormat="1" ht="76.5">
      <c r="A126" s="109">
        <v>125</v>
      </c>
      <c r="B126" s="32"/>
      <c r="C126" s="59"/>
      <c r="D126" s="33" t="s">
        <v>784</v>
      </c>
      <c r="E126" s="110">
        <v>40303.333333333336</v>
      </c>
      <c r="F126" s="96" t="s">
        <v>34</v>
      </c>
      <c r="G126" s="98" t="s">
        <v>2</v>
      </c>
      <c r="H126" s="31"/>
      <c r="I126" s="31"/>
      <c r="J126" s="31"/>
      <c r="K126" s="31"/>
      <c r="L126" s="31"/>
      <c r="M126" s="31"/>
      <c r="N126" s="31"/>
      <c r="O126" s="31"/>
      <c r="P126" s="31"/>
      <c r="Q126" s="31"/>
      <c r="R126" s="38" t="s">
        <v>3</v>
      </c>
    </row>
    <row r="127" spans="1:18" s="38" customFormat="1" ht="25.5">
      <c r="A127" s="109">
        <v>126</v>
      </c>
      <c r="B127" s="32"/>
      <c r="C127" s="33"/>
      <c r="D127" s="33" t="s">
        <v>784</v>
      </c>
      <c r="E127" s="58">
        <v>40303.375</v>
      </c>
      <c r="F127" s="31" t="s">
        <v>740</v>
      </c>
      <c r="G127" s="31" t="s">
        <v>609</v>
      </c>
      <c r="H127" s="40" t="s">
        <v>604</v>
      </c>
      <c r="I127" s="31" t="s">
        <v>179</v>
      </c>
      <c r="J127" s="40" t="s">
        <v>606</v>
      </c>
      <c r="K127" s="31"/>
      <c r="L127" s="40"/>
      <c r="M127" s="73" t="s">
        <v>69</v>
      </c>
      <c r="N127" s="40"/>
      <c r="O127" s="31"/>
      <c r="P127" s="31" t="s">
        <v>611</v>
      </c>
      <c r="Q127" s="31" t="s">
        <v>612</v>
      </c>
      <c r="R127" s="38" t="s">
        <v>646</v>
      </c>
    </row>
    <row r="128" spans="1:18" s="38" customFormat="1" ht="38.25">
      <c r="A128" s="109">
        <v>127</v>
      </c>
      <c r="B128" s="32"/>
      <c r="C128" s="33"/>
      <c r="D128" s="33" t="s">
        <v>784</v>
      </c>
      <c r="E128" s="58">
        <v>40303.375694444447</v>
      </c>
      <c r="F128" s="38" t="s">
        <v>740</v>
      </c>
      <c r="G128" s="31" t="s">
        <v>735</v>
      </c>
      <c r="H128" s="40"/>
      <c r="I128" s="31" t="s">
        <v>170</v>
      </c>
      <c r="J128" s="40"/>
      <c r="K128" s="31" t="s">
        <v>55</v>
      </c>
      <c r="L128" s="40"/>
      <c r="M128" s="73" t="s">
        <v>70</v>
      </c>
      <c r="N128" s="40" t="s">
        <v>576</v>
      </c>
      <c r="O128" s="31"/>
      <c r="P128" s="38" t="s">
        <v>571</v>
      </c>
      <c r="Q128" s="31"/>
      <c r="R128" s="38" t="s">
        <v>561</v>
      </c>
    </row>
    <row r="129" spans="1:18" s="38" customFormat="1" ht="38.25">
      <c r="A129" s="109">
        <v>128</v>
      </c>
      <c r="B129" s="32"/>
      <c r="C129" s="33"/>
      <c r="D129" s="33" t="s">
        <v>784</v>
      </c>
      <c r="E129" s="39">
        <v>40303.376388888886</v>
      </c>
      <c r="F129" s="31" t="s">
        <v>394</v>
      </c>
      <c r="G129" s="31" t="s">
        <v>373</v>
      </c>
      <c r="H129" s="31" t="s">
        <v>419</v>
      </c>
      <c r="I129" s="31" t="s">
        <v>552</v>
      </c>
      <c r="J129" s="31" t="s">
        <v>653</v>
      </c>
      <c r="K129" s="31"/>
      <c r="L129" s="31"/>
      <c r="M129" s="73" t="s">
        <v>71</v>
      </c>
      <c r="N129" s="31"/>
      <c r="O129" s="31"/>
      <c r="P129" s="31" t="s">
        <v>420</v>
      </c>
      <c r="Q129" s="31"/>
      <c r="R129" s="38" t="s">
        <v>737</v>
      </c>
    </row>
    <row r="130" spans="1:18" s="38" customFormat="1" ht="25.5">
      <c r="A130" s="109">
        <v>129</v>
      </c>
      <c r="B130" s="32">
        <v>40302</v>
      </c>
      <c r="C130" s="41">
        <v>0.375</v>
      </c>
      <c r="D130" s="33" t="s">
        <v>784</v>
      </c>
      <c r="E130" s="46">
        <v>40303.376388888886</v>
      </c>
      <c r="F130" s="31" t="s">
        <v>422</v>
      </c>
      <c r="G130" s="42" t="s">
        <v>775</v>
      </c>
      <c r="H130" s="42" t="s">
        <v>674</v>
      </c>
      <c r="I130" s="31" t="s">
        <v>172</v>
      </c>
      <c r="J130" s="31" t="s">
        <v>676</v>
      </c>
      <c r="K130" s="31" t="s">
        <v>60</v>
      </c>
      <c r="L130" s="31"/>
      <c r="M130" s="31" t="s">
        <v>673</v>
      </c>
      <c r="N130" s="31" t="s">
        <v>677</v>
      </c>
      <c r="O130" s="31"/>
      <c r="P130" s="31" t="s">
        <v>678</v>
      </c>
      <c r="Q130" s="31"/>
      <c r="R130" s="38" t="s">
        <v>679</v>
      </c>
    </row>
    <row r="131" spans="1:18" s="38" customFormat="1" ht="25.5">
      <c r="A131" s="109">
        <v>130</v>
      </c>
      <c r="B131" s="32"/>
      <c r="C131" s="33"/>
      <c r="D131" s="33" t="s">
        <v>784</v>
      </c>
      <c r="E131" s="39">
        <v>40303.377083333333</v>
      </c>
      <c r="F131" s="31" t="s">
        <v>394</v>
      </c>
      <c r="G131" s="31" t="s">
        <v>373</v>
      </c>
      <c r="H131" s="31" t="s">
        <v>653</v>
      </c>
      <c r="I131" s="31" t="s">
        <v>552</v>
      </c>
      <c r="J131" s="31" t="s">
        <v>595</v>
      </c>
      <c r="K131" s="31"/>
      <c r="L131" s="31"/>
      <c r="M131" s="31" t="s">
        <v>72</v>
      </c>
      <c r="N131" s="31"/>
      <c r="O131" s="31"/>
      <c r="P131" s="31" t="s">
        <v>586</v>
      </c>
      <c r="Q131" s="31"/>
      <c r="R131" s="38" t="s">
        <v>737</v>
      </c>
    </row>
    <row r="132" spans="1:18" s="38" customFormat="1" ht="25.5">
      <c r="A132" s="109">
        <v>131</v>
      </c>
      <c r="B132" s="32"/>
      <c r="C132" s="33"/>
      <c r="D132" s="33" t="s">
        <v>784</v>
      </c>
      <c r="E132" s="58">
        <v>40303.37777777778</v>
      </c>
      <c r="F132" s="31" t="s">
        <v>740</v>
      </c>
      <c r="G132" s="31" t="s">
        <v>609</v>
      </c>
      <c r="H132" s="40" t="s">
        <v>604</v>
      </c>
      <c r="I132" s="31" t="s">
        <v>179</v>
      </c>
      <c r="J132" s="40" t="s">
        <v>606</v>
      </c>
      <c r="K132" s="31" t="s">
        <v>614</v>
      </c>
      <c r="L132" s="40"/>
      <c r="M132" s="31" t="s">
        <v>613</v>
      </c>
      <c r="N132" s="40"/>
      <c r="O132" s="31"/>
      <c r="P132" s="31" t="s">
        <v>614</v>
      </c>
      <c r="Q132" s="31" t="s">
        <v>615</v>
      </c>
      <c r="R132" s="38" t="s">
        <v>646</v>
      </c>
    </row>
    <row r="133" spans="1:18" s="38" customFormat="1" ht="38.25">
      <c r="A133" s="109">
        <v>132</v>
      </c>
      <c r="B133" s="32"/>
      <c r="C133" s="33"/>
      <c r="D133" s="33" t="s">
        <v>784</v>
      </c>
      <c r="E133" s="58">
        <v>40303.378472222219</v>
      </c>
      <c r="F133" s="38" t="s">
        <v>740</v>
      </c>
      <c r="G133" s="31" t="s">
        <v>735</v>
      </c>
      <c r="H133" s="40"/>
      <c r="I133" s="31" t="s">
        <v>170</v>
      </c>
      <c r="J133" s="40"/>
      <c r="K133" s="31" t="s">
        <v>55</v>
      </c>
      <c r="L133" s="40"/>
      <c r="M133" s="38" t="s">
        <v>562</v>
      </c>
      <c r="N133" s="31" t="s">
        <v>581</v>
      </c>
      <c r="O133" s="31"/>
      <c r="P133" s="38" t="s">
        <v>566</v>
      </c>
      <c r="Q133" s="31"/>
      <c r="R133" s="38" t="s">
        <v>561</v>
      </c>
    </row>
    <row r="134" spans="1:18" s="38" customFormat="1" ht="25.5">
      <c r="A134" s="109">
        <v>133</v>
      </c>
      <c r="B134" s="32"/>
      <c r="C134" s="33"/>
      <c r="D134" s="33" t="s">
        <v>784</v>
      </c>
      <c r="E134" s="39">
        <v>40303.396527777775</v>
      </c>
      <c r="F134" s="31" t="s">
        <v>394</v>
      </c>
      <c r="G134" s="31" t="s">
        <v>373</v>
      </c>
      <c r="H134" s="31" t="s">
        <v>780</v>
      </c>
      <c r="I134" s="31" t="s">
        <v>552</v>
      </c>
      <c r="J134" s="31" t="s">
        <v>392</v>
      </c>
      <c r="K134" s="31"/>
      <c r="L134" s="31">
        <v>13</v>
      </c>
      <c r="M134" s="31" t="s">
        <v>73</v>
      </c>
      <c r="N134" s="31"/>
      <c r="O134" s="31"/>
      <c r="P134" s="31" t="s">
        <v>402</v>
      </c>
      <c r="Q134" s="31"/>
      <c r="R134" s="38" t="s">
        <v>737</v>
      </c>
    </row>
    <row r="135" spans="1:18" s="38" customFormat="1" ht="38.25">
      <c r="A135" s="109">
        <v>134</v>
      </c>
      <c r="B135" s="32">
        <v>40303</v>
      </c>
      <c r="C135" s="41">
        <v>0.39583333333333331</v>
      </c>
      <c r="D135" s="33" t="s">
        <v>784</v>
      </c>
      <c r="E135" s="46">
        <v>40303.397222222222</v>
      </c>
      <c r="F135" s="31" t="s">
        <v>740</v>
      </c>
      <c r="G135" s="42" t="s">
        <v>775</v>
      </c>
      <c r="H135" s="42" t="s">
        <v>685</v>
      </c>
      <c r="I135" s="31" t="s">
        <v>172</v>
      </c>
      <c r="J135" s="31" t="s">
        <v>683</v>
      </c>
      <c r="K135" s="31"/>
      <c r="L135" s="31"/>
      <c r="M135" s="73" t="s">
        <v>74</v>
      </c>
      <c r="N135" s="31" t="s">
        <v>686</v>
      </c>
      <c r="O135" s="31"/>
      <c r="P135" s="31" t="s">
        <v>687</v>
      </c>
      <c r="Q135" s="31"/>
      <c r="R135" s="38" t="s">
        <v>679</v>
      </c>
    </row>
    <row r="136" spans="1:18" s="38" customFormat="1" ht="51">
      <c r="A136" s="109">
        <v>135</v>
      </c>
      <c r="B136" s="32"/>
      <c r="C136" s="33"/>
      <c r="D136" s="33" t="s">
        <v>784</v>
      </c>
      <c r="E136" s="34">
        <v>40303.40625</v>
      </c>
      <c r="F136" s="31" t="s">
        <v>740</v>
      </c>
      <c r="G136" s="31" t="s">
        <v>775</v>
      </c>
      <c r="H136" s="31" t="s">
        <v>188</v>
      </c>
      <c r="I136" s="31" t="s">
        <v>187</v>
      </c>
      <c r="J136" s="31" t="s">
        <v>606</v>
      </c>
      <c r="K136" s="31"/>
      <c r="L136" s="31"/>
      <c r="M136" s="73" t="s">
        <v>75</v>
      </c>
      <c r="N136" s="31"/>
      <c r="O136" s="31"/>
      <c r="P136" s="43" t="s">
        <v>275</v>
      </c>
      <c r="Q136" s="31"/>
      <c r="R136" s="38" t="s">
        <v>270</v>
      </c>
    </row>
    <row r="137" spans="1:18" s="38" customFormat="1">
      <c r="A137" s="109">
        <v>136</v>
      </c>
      <c r="B137" s="32"/>
      <c r="C137" s="33"/>
      <c r="D137" s="33" t="s">
        <v>784</v>
      </c>
      <c r="E137" s="58">
        <v>40303.416666666664</v>
      </c>
      <c r="F137" s="31" t="s">
        <v>740</v>
      </c>
      <c r="G137" s="31" t="s">
        <v>775</v>
      </c>
      <c r="H137" s="31"/>
      <c r="I137" s="31" t="s">
        <v>552</v>
      </c>
      <c r="J137" s="40" t="s">
        <v>595</v>
      </c>
      <c r="K137" s="31" t="s">
        <v>596</v>
      </c>
      <c r="L137" s="40"/>
      <c r="M137" s="73" t="s">
        <v>75</v>
      </c>
      <c r="N137" s="40"/>
      <c r="O137" s="31"/>
      <c r="P137" s="31" t="s">
        <v>596</v>
      </c>
      <c r="Q137" s="31" t="s">
        <v>597</v>
      </c>
      <c r="R137" s="38" t="s">
        <v>646</v>
      </c>
    </row>
    <row r="138" spans="1:18" s="38" customFormat="1">
      <c r="A138" s="109">
        <v>137</v>
      </c>
      <c r="B138" s="32"/>
      <c r="C138" s="33"/>
      <c r="D138" s="33" t="s">
        <v>784</v>
      </c>
      <c r="E138" s="58">
        <v>40303.416666666664</v>
      </c>
      <c r="F138" s="31" t="s">
        <v>740</v>
      </c>
      <c r="G138" s="31" t="s">
        <v>641</v>
      </c>
      <c r="H138" s="40" t="s">
        <v>641</v>
      </c>
      <c r="I138" s="31" t="s">
        <v>174</v>
      </c>
      <c r="J138" s="40" t="s">
        <v>595</v>
      </c>
      <c r="K138" s="31"/>
      <c r="L138" s="40"/>
      <c r="M138" s="73" t="s">
        <v>99</v>
      </c>
      <c r="N138" s="40"/>
      <c r="O138" s="31"/>
      <c r="P138" s="31" t="s">
        <v>645</v>
      </c>
      <c r="Q138" s="31"/>
      <c r="R138" s="38" t="s">
        <v>646</v>
      </c>
    </row>
    <row r="139" spans="1:18" s="38" customFormat="1" ht="38.25">
      <c r="A139" s="109">
        <v>138</v>
      </c>
      <c r="B139" s="32"/>
      <c r="C139" s="59"/>
      <c r="D139" s="33" t="s">
        <v>787</v>
      </c>
      <c r="E139" s="110">
        <v>40303.416666666664</v>
      </c>
      <c r="F139" s="96" t="s">
        <v>35</v>
      </c>
      <c r="G139" s="98" t="s">
        <v>2</v>
      </c>
      <c r="H139" s="31"/>
      <c r="I139" s="31"/>
      <c r="J139" s="31"/>
      <c r="K139" s="31"/>
      <c r="L139" s="31"/>
      <c r="M139" s="31"/>
      <c r="N139" s="31"/>
      <c r="O139" s="31"/>
      <c r="P139" s="31"/>
      <c r="Q139" s="31"/>
      <c r="R139" s="38" t="s">
        <v>3</v>
      </c>
    </row>
    <row r="140" spans="1:18" s="38" customFormat="1" ht="216.75">
      <c r="A140" s="109">
        <v>139</v>
      </c>
      <c r="B140" s="32">
        <v>40303</v>
      </c>
      <c r="C140" s="33">
        <v>40303.416666666664</v>
      </c>
      <c r="D140" s="33" t="s">
        <v>784</v>
      </c>
      <c r="E140" s="39">
        <v>40303.417361111111</v>
      </c>
      <c r="F140" s="31" t="s">
        <v>422</v>
      </c>
      <c r="G140" s="31" t="s">
        <v>735</v>
      </c>
      <c r="H140" s="40" t="s">
        <v>739</v>
      </c>
      <c r="I140" s="31" t="s">
        <v>169</v>
      </c>
      <c r="J140" s="40" t="s">
        <v>736</v>
      </c>
      <c r="K140" s="31" t="s">
        <v>769</v>
      </c>
      <c r="L140" s="40" t="s">
        <v>733</v>
      </c>
      <c r="M140" s="73" t="s">
        <v>769</v>
      </c>
      <c r="N140" s="40"/>
      <c r="O140" s="31"/>
      <c r="P140" s="31" t="s">
        <v>713</v>
      </c>
      <c r="Q140" s="31"/>
      <c r="R140" s="38" t="s">
        <v>737</v>
      </c>
    </row>
    <row r="141" spans="1:18" s="38" customFormat="1" ht="25.5">
      <c r="A141" s="109">
        <v>140</v>
      </c>
      <c r="B141" s="32"/>
      <c r="C141" s="33"/>
      <c r="D141" s="33" t="s">
        <v>784</v>
      </c>
      <c r="E141" s="58">
        <v>40303.4375</v>
      </c>
      <c r="F141" s="31" t="s">
        <v>740</v>
      </c>
      <c r="G141" s="31" t="s">
        <v>735</v>
      </c>
      <c r="H141" s="31"/>
      <c r="I141" s="31" t="s">
        <v>175</v>
      </c>
      <c r="J141" s="31"/>
      <c r="K141" s="31"/>
      <c r="L141" s="31"/>
      <c r="M141" s="73" t="s">
        <v>76</v>
      </c>
      <c r="N141" s="31"/>
      <c r="O141" s="31"/>
      <c r="P141" s="38" t="s">
        <v>262</v>
      </c>
      <c r="Q141" s="31"/>
      <c r="R141" s="38" t="s">
        <v>266</v>
      </c>
    </row>
    <row r="142" spans="1:18" s="38" customFormat="1" ht="38.25">
      <c r="A142" s="109">
        <v>141</v>
      </c>
      <c r="B142" s="32">
        <v>40303</v>
      </c>
      <c r="C142" s="41">
        <v>0.5</v>
      </c>
      <c r="D142" s="33" t="s">
        <v>784</v>
      </c>
      <c r="E142" s="34">
        <v>40303.5</v>
      </c>
      <c r="F142" s="31" t="s">
        <v>740</v>
      </c>
      <c r="G142" s="42" t="s">
        <v>735</v>
      </c>
      <c r="H142" s="42" t="s">
        <v>741</v>
      </c>
      <c r="I142" s="31" t="s">
        <v>742</v>
      </c>
      <c r="J142" s="31" t="s">
        <v>743</v>
      </c>
      <c r="K142" s="31"/>
      <c r="L142" s="31"/>
      <c r="M142" s="73" t="s">
        <v>744</v>
      </c>
      <c r="N142" s="31" t="s">
        <v>745</v>
      </c>
      <c r="O142" s="31"/>
      <c r="P142" s="31" t="s">
        <v>746</v>
      </c>
      <c r="Q142" s="31"/>
      <c r="R142" s="38" t="s">
        <v>747</v>
      </c>
    </row>
    <row r="143" spans="1:18" s="38" customFormat="1" ht="89.25">
      <c r="A143" s="109">
        <v>142</v>
      </c>
      <c r="B143" s="32">
        <v>40303</v>
      </c>
      <c r="C143" s="41">
        <v>0.5</v>
      </c>
      <c r="D143" s="33" t="s">
        <v>784</v>
      </c>
      <c r="E143" s="34">
        <v>40303.500694444447</v>
      </c>
      <c r="F143" s="31" t="s">
        <v>740</v>
      </c>
      <c r="G143" s="42" t="s">
        <v>735</v>
      </c>
      <c r="H143" s="42" t="s">
        <v>741</v>
      </c>
      <c r="I143" s="31" t="s">
        <v>742</v>
      </c>
      <c r="J143" s="31" t="s">
        <v>743</v>
      </c>
      <c r="K143" s="31"/>
      <c r="L143" s="31"/>
      <c r="M143" s="73" t="s">
        <v>748</v>
      </c>
      <c r="N143" s="31" t="s">
        <v>749</v>
      </c>
      <c r="O143" s="31"/>
      <c r="P143" s="31" t="s">
        <v>750</v>
      </c>
      <c r="Q143" s="31"/>
      <c r="R143" s="38" t="s">
        <v>747</v>
      </c>
    </row>
    <row r="144" spans="1:18" s="38" customFormat="1" ht="25.5">
      <c r="A144" s="109">
        <v>143</v>
      </c>
      <c r="B144" s="32"/>
      <c r="C144" s="33"/>
      <c r="D144" s="33" t="s">
        <v>784</v>
      </c>
      <c r="E144" s="58">
        <v>40303.541666666664</v>
      </c>
      <c r="F144" s="38" t="s">
        <v>740</v>
      </c>
      <c r="G144" s="31" t="s">
        <v>735</v>
      </c>
      <c r="H144" s="40"/>
      <c r="I144" s="31" t="s">
        <v>170</v>
      </c>
      <c r="J144" s="40"/>
      <c r="K144" s="31" t="s">
        <v>55</v>
      </c>
      <c r="L144" s="40"/>
      <c r="M144" s="73"/>
      <c r="N144" s="40" t="s">
        <v>582</v>
      </c>
      <c r="O144" s="31"/>
      <c r="P144" s="38" t="s">
        <v>565</v>
      </c>
      <c r="Q144" s="31"/>
      <c r="R144" s="38" t="s">
        <v>561</v>
      </c>
    </row>
    <row r="145" spans="1:18" s="38" customFormat="1" ht="25.5">
      <c r="A145" s="109">
        <v>144</v>
      </c>
      <c r="B145" s="32"/>
      <c r="C145" s="33"/>
      <c r="D145" s="33" t="s">
        <v>784</v>
      </c>
      <c r="E145" s="34">
        <v>40303.59375</v>
      </c>
      <c r="F145" s="31" t="s">
        <v>740</v>
      </c>
      <c r="G145" s="31" t="s">
        <v>609</v>
      </c>
      <c r="H145" s="40" t="s">
        <v>604</v>
      </c>
      <c r="I145" s="31" t="s">
        <v>552</v>
      </c>
      <c r="J145" s="40" t="s">
        <v>595</v>
      </c>
      <c r="K145" s="31"/>
      <c r="L145" s="40"/>
      <c r="M145" s="31" t="s">
        <v>285</v>
      </c>
      <c r="N145" s="40"/>
      <c r="O145" s="31"/>
      <c r="P145" s="31" t="s">
        <v>285</v>
      </c>
      <c r="Q145" s="31"/>
      <c r="R145" s="38" t="s">
        <v>270</v>
      </c>
    </row>
    <row r="146" spans="1:18" s="38" customFormat="1" ht="86.25" customHeight="1">
      <c r="A146" s="109">
        <v>145</v>
      </c>
      <c r="B146" s="32"/>
      <c r="C146" s="33"/>
      <c r="D146" s="33" t="s">
        <v>784</v>
      </c>
      <c r="E146" s="34">
        <v>40303.594444444447</v>
      </c>
      <c r="F146" s="56" t="s">
        <v>422</v>
      </c>
      <c r="G146" s="56" t="s">
        <v>735</v>
      </c>
      <c r="H146" s="56" t="s">
        <v>301</v>
      </c>
      <c r="I146" s="31" t="s">
        <v>176</v>
      </c>
      <c r="J146" s="56" t="s">
        <v>683</v>
      </c>
      <c r="K146" s="31" t="s">
        <v>807</v>
      </c>
      <c r="L146" s="31"/>
      <c r="M146" s="56" t="s">
        <v>808</v>
      </c>
      <c r="N146" s="31" t="s">
        <v>809</v>
      </c>
      <c r="O146" s="31"/>
      <c r="P146" s="56" t="s">
        <v>808</v>
      </c>
      <c r="Q146" s="31"/>
      <c r="R146" s="56" t="s">
        <v>308</v>
      </c>
    </row>
    <row r="147" spans="1:18" s="38" customFormat="1" ht="25.5">
      <c r="A147" s="109">
        <v>146</v>
      </c>
      <c r="B147" s="32"/>
      <c r="C147" s="33"/>
      <c r="D147" s="33" t="s">
        <v>784</v>
      </c>
      <c r="E147" s="39">
        <v>40303.604166666664</v>
      </c>
      <c r="F147" s="31" t="s">
        <v>394</v>
      </c>
      <c r="G147" s="31" t="s">
        <v>373</v>
      </c>
      <c r="H147" s="31" t="s">
        <v>780</v>
      </c>
      <c r="I147" s="31" t="s">
        <v>552</v>
      </c>
      <c r="J147" s="31" t="s">
        <v>392</v>
      </c>
      <c r="K147" s="31"/>
      <c r="L147" s="31">
        <v>13</v>
      </c>
      <c r="M147" s="31" t="s">
        <v>80</v>
      </c>
      <c r="N147" s="31"/>
      <c r="O147" s="31"/>
      <c r="P147" s="31" t="s">
        <v>401</v>
      </c>
      <c r="Q147" s="31"/>
      <c r="R147" s="38" t="s">
        <v>737</v>
      </c>
    </row>
    <row r="148" spans="1:18" s="38" customFormat="1" ht="51">
      <c r="A148" s="109">
        <v>147</v>
      </c>
      <c r="B148" s="32"/>
      <c r="C148" s="33"/>
      <c r="D148" s="33" t="s">
        <v>784</v>
      </c>
      <c r="E148" s="58">
        <v>40303.625</v>
      </c>
      <c r="F148" s="38" t="s">
        <v>740</v>
      </c>
      <c r="G148" s="31" t="s">
        <v>735</v>
      </c>
      <c r="H148" s="40"/>
      <c r="I148" s="31" t="s">
        <v>170</v>
      </c>
      <c r="J148" s="40"/>
      <c r="K148" s="31" t="s">
        <v>55</v>
      </c>
      <c r="L148" s="40"/>
      <c r="M148" s="73"/>
      <c r="N148" s="40" t="s">
        <v>577</v>
      </c>
      <c r="O148" s="31"/>
      <c r="P148" s="38" t="s">
        <v>570</v>
      </c>
      <c r="Q148" s="31"/>
      <c r="R148" s="38" t="s">
        <v>561</v>
      </c>
    </row>
    <row r="149" spans="1:18" s="38" customFormat="1" ht="25.5">
      <c r="A149" s="109">
        <v>148</v>
      </c>
      <c r="B149" s="32"/>
      <c r="C149" s="33"/>
      <c r="D149" s="33" t="s">
        <v>784</v>
      </c>
      <c r="E149" s="58">
        <v>40303.625</v>
      </c>
      <c r="F149" s="31" t="s">
        <v>119</v>
      </c>
      <c r="G149" s="31" t="s">
        <v>373</v>
      </c>
      <c r="H149" s="31" t="s">
        <v>777</v>
      </c>
      <c r="I149" s="31" t="s">
        <v>552</v>
      </c>
      <c r="J149" s="31" t="s">
        <v>595</v>
      </c>
      <c r="K149" s="31"/>
      <c r="L149" s="31">
        <v>5</v>
      </c>
      <c r="M149" s="31" t="s">
        <v>417</v>
      </c>
      <c r="N149" s="31"/>
      <c r="O149" s="31"/>
      <c r="P149" s="31" t="s">
        <v>417</v>
      </c>
      <c r="Q149" s="31"/>
      <c r="R149" s="38" t="s">
        <v>737</v>
      </c>
    </row>
    <row r="150" spans="1:18" s="38" customFormat="1" ht="25.5">
      <c r="A150" s="109">
        <v>149</v>
      </c>
      <c r="B150" s="80"/>
      <c r="C150" s="81"/>
      <c r="D150" s="33" t="s">
        <v>784</v>
      </c>
      <c r="E150" s="84">
        <v>40303.625</v>
      </c>
      <c r="F150" s="79" t="s">
        <v>38</v>
      </c>
      <c r="G150" s="79" t="s">
        <v>735</v>
      </c>
      <c r="H150" s="79"/>
      <c r="I150" s="79" t="s">
        <v>175</v>
      </c>
      <c r="J150" s="79"/>
      <c r="K150" s="31" t="s">
        <v>260</v>
      </c>
      <c r="L150" s="79"/>
      <c r="M150" s="85"/>
      <c r="N150" s="79"/>
      <c r="O150" s="79"/>
      <c r="P150" s="79" t="s">
        <v>260</v>
      </c>
      <c r="Q150" s="79"/>
      <c r="R150" s="79" t="s">
        <v>266</v>
      </c>
    </row>
    <row r="151" spans="1:18" s="38" customFormat="1" ht="409.5">
      <c r="A151" s="109">
        <v>150</v>
      </c>
      <c r="B151" s="32"/>
      <c r="C151" s="33"/>
      <c r="D151" s="33" t="s">
        <v>784</v>
      </c>
      <c r="E151" s="39">
        <v>40303.625694444447</v>
      </c>
      <c r="F151" s="31" t="s">
        <v>42</v>
      </c>
      <c r="G151" s="31" t="s">
        <v>373</v>
      </c>
      <c r="H151" s="31" t="s">
        <v>395</v>
      </c>
      <c r="I151" s="31" t="s">
        <v>552</v>
      </c>
      <c r="J151" s="31" t="s">
        <v>595</v>
      </c>
      <c r="K151" s="31" t="s">
        <v>43</v>
      </c>
      <c r="L151" s="31">
        <v>7</v>
      </c>
      <c r="M151" s="73" t="s">
        <v>81</v>
      </c>
      <c r="N151" s="31"/>
      <c r="O151" s="31"/>
      <c r="P151" s="31" t="s">
        <v>592</v>
      </c>
      <c r="Q151" s="31"/>
      <c r="R151" s="38" t="s">
        <v>737</v>
      </c>
    </row>
    <row r="152" spans="1:18" s="38" customFormat="1" ht="178.5">
      <c r="A152" s="109">
        <v>151</v>
      </c>
      <c r="B152" s="32"/>
      <c r="C152" s="33"/>
      <c r="D152" s="33" t="s">
        <v>784</v>
      </c>
      <c r="E152" s="39">
        <v>40303.626388888886</v>
      </c>
      <c r="F152" s="31" t="s">
        <v>42</v>
      </c>
      <c r="G152" s="31" t="s">
        <v>373</v>
      </c>
      <c r="H152" s="31" t="s">
        <v>395</v>
      </c>
      <c r="I152" s="31" t="s">
        <v>552</v>
      </c>
      <c r="J152" s="31" t="s">
        <v>595</v>
      </c>
      <c r="K152" s="31" t="s">
        <v>43</v>
      </c>
      <c r="L152" s="31">
        <v>7</v>
      </c>
      <c r="M152" s="73" t="s">
        <v>82</v>
      </c>
      <c r="N152" s="31"/>
      <c r="O152" s="31"/>
      <c r="P152" s="31" t="s">
        <v>593</v>
      </c>
      <c r="Q152" s="31"/>
      <c r="R152" s="38" t="s">
        <v>737</v>
      </c>
    </row>
    <row r="153" spans="1:18" s="38" customFormat="1" ht="408">
      <c r="A153" s="109">
        <v>152</v>
      </c>
      <c r="B153" s="32"/>
      <c r="C153" s="33"/>
      <c r="D153" s="33" t="s">
        <v>784</v>
      </c>
      <c r="E153" s="39">
        <v>40303.627083333333</v>
      </c>
      <c r="F153" s="31" t="s">
        <v>42</v>
      </c>
      <c r="G153" s="31" t="s">
        <v>373</v>
      </c>
      <c r="H153" s="31" t="s">
        <v>395</v>
      </c>
      <c r="I153" s="31" t="s">
        <v>552</v>
      </c>
      <c r="J153" s="31" t="s">
        <v>595</v>
      </c>
      <c r="K153" s="31" t="s">
        <v>43</v>
      </c>
      <c r="L153" s="31">
        <v>7</v>
      </c>
      <c r="M153" s="73" t="s">
        <v>83</v>
      </c>
      <c r="N153" s="31"/>
      <c r="O153" s="31"/>
      <c r="P153" s="31" t="s">
        <v>207</v>
      </c>
      <c r="Q153" s="31"/>
      <c r="R153" s="38" t="s">
        <v>737</v>
      </c>
    </row>
    <row r="154" spans="1:18" s="38" customFormat="1" ht="382.5">
      <c r="A154" s="109">
        <v>153</v>
      </c>
      <c r="B154" s="32"/>
      <c r="C154" s="33"/>
      <c r="D154" s="33" t="s">
        <v>783</v>
      </c>
      <c r="E154" s="39">
        <v>40303.62777777778</v>
      </c>
      <c r="F154" s="31" t="s">
        <v>42</v>
      </c>
      <c r="G154" s="31" t="s">
        <v>373</v>
      </c>
      <c r="H154" s="31" t="s">
        <v>395</v>
      </c>
      <c r="I154" s="31" t="s">
        <v>552</v>
      </c>
      <c r="J154" s="31" t="s">
        <v>595</v>
      </c>
      <c r="K154" s="31" t="s">
        <v>43</v>
      </c>
      <c r="L154" s="31">
        <v>7</v>
      </c>
      <c r="M154" s="73" t="s">
        <v>84</v>
      </c>
      <c r="N154" s="31"/>
      <c r="O154" s="31"/>
      <c r="P154" s="31" t="s">
        <v>208</v>
      </c>
      <c r="Q154" s="31"/>
      <c r="R154" s="38" t="s">
        <v>737</v>
      </c>
    </row>
    <row r="155" spans="1:18" s="38" customFormat="1" ht="306">
      <c r="A155" s="109">
        <v>154</v>
      </c>
      <c r="B155" s="32"/>
      <c r="C155" s="33"/>
      <c r="D155" s="33" t="s">
        <v>784</v>
      </c>
      <c r="E155" s="39">
        <v>40303.628472222219</v>
      </c>
      <c r="F155" s="31" t="s">
        <v>42</v>
      </c>
      <c r="G155" s="31" t="s">
        <v>373</v>
      </c>
      <c r="H155" s="31" t="s">
        <v>395</v>
      </c>
      <c r="I155" s="31" t="s">
        <v>552</v>
      </c>
      <c r="J155" s="31" t="s">
        <v>595</v>
      </c>
      <c r="K155" s="31" t="s">
        <v>43</v>
      </c>
      <c r="L155" s="31">
        <v>7</v>
      </c>
      <c r="M155" s="73" t="s">
        <v>85</v>
      </c>
      <c r="N155" s="31"/>
      <c r="O155" s="31"/>
      <c r="P155" s="31" t="s">
        <v>209</v>
      </c>
      <c r="Q155" s="31"/>
      <c r="R155" s="38" t="s">
        <v>737</v>
      </c>
    </row>
    <row r="156" spans="1:18" s="38" customFormat="1" ht="242.25">
      <c r="A156" s="109">
        <v>155</v>
      </c>
      <c r="B156" s="32"/>
      <c r="C156" s="33"/>
      <c r="D156" s="33" t="s">
        <v>784</v>
      </c>
      <c r="E156" s="39">
        <v>40303.629166666666</v>
      </c>
      <c r="F156" s="31" t="s">
        <v>42</v>
      </c>
      <c r="G156" s="31" t="s">
        <v>373</v>
      </c>
      <c r="H156" s="31" t="s">
        <v>395</v>
      </c>
      <c r="I156" s="31" t="s">
        <v>552</v>
      </c>
      <c r="J156" s="31" t="s">
        <v>595</v>
      </c>
      <c r="K156" s="31" t="s">
        <v>43</v>
      </c>
      <c r="L156" s="31">
        <v>7</v>
      </c>
      <c r="M156" s="73" t="s">
        <v>86</v>
      </c>
      <c r="N156" s="31"/>
      <c r="O156" s="31"/>
      <c r="P156" s="31" t="s">
        <v>210</v>
      </c>
      <c r="Q156" s="31"/>
      <c r="R156" s="38" t="s">
        <v>737</v>
      </c>
    </row>
    <row r="157" spans="1:18" s="38" customFormat="1" ht="102">
      <c r="A157" s="109">
        <v>156</v>
      </c>
      <c r="B157" s="32"/>
      <c r="C157" s="33"/>
      <c r="D157" s="33" t="s">
        <v>784</v>
      </c>
      <c r="E157" s="39">
        <v>40303.629861111112</v>
      </c>
      <c r="F157" s="31" t="s">
        <v>42</v>
      </c>
      <c r="G157" s="31" t="s">
        <v>373</v>
      </c>
      <c r="H157" s="31" t="s">
        <v>395</v>
      </c>
      <c r="I157" s="31" t="s">
        <v>552</v>
      </c>
      <c r="J157" s="31" t="s">
        <v>595</v>
      </c>
      <c r="K157" s="31" t="s">
        <v>43</v>
      </c>
      <c r="L157" s="31">
        <v>7</v>
      </c>
      <c r="M157" s="73" t="s">
        <v>87</v>
      </c>
      <c r="N157" s="31"/>
      <c r="O157" s="31"/>
      <c r="P157" s="31" t="s">
        <v>211</v>
      </c>
      <c r="Q157" s="31"/>
      <c r="R157" s="38" t="s">
        <v>737</v>
      </c>
    </row>
    <row r="158" spans="1:18" s="38" customFormat="1" ht="25.5">
      <c r="A158" s="109">
        <v>157</v>
      </c>
      <c r="B158" s="32"/>
      <c r="C158" s="33"/>
      <c r="D158" s="33" t="s">
        <v>787</v>
      </c>
      <c r="E158" s="34">
        <v>40303.635416666664</v>
      </c>
      <c r="F158" s="56" t="s">
        <v>422</v>
      </c>
      <c r="G158" s="56" t="s">
        <v>735</v>
      </c>
      <c r="H158" s="56" t="s">
        <v>301</v>
      </c>
      <c r="I158" s="31" t="s">
        <v>176</v>
      </c>
      <c r="J158" s="56" t="s">
        <v>303</v>
      </c>
      <c r="K158" s="56" t="s">
        <v>810</v>
      </c>
      <c r="L158" s="31"/>
      <c r="M158" s="56" t="s">
        <v>293</v>
      </c>
      <c r="N158" s="31"/>
      <c r="O158" s="31"/>
      <c r="P158" s="56" t="s">
        <v>293</v>
      </c>
      <c r="Q158" s="31"/>
      <c r="R158" s="56" t="s">
        <v>308</v>
      </c>
    </row>
    <row r="159" spans="1:18" s="38" customFormat="1" ht="38.25">
      <c r="A159" s="109">
        <v>158</v>
      </c>
      <c r="B159" s="32"/>
      <c r="C159" s="33"/>
      <c r="D159" s="33" t="s">
        <v>784</v>
      </c>
      <c r="E159" s="58">
        <v>40303.647222222222</v>
      </c>
      <c r="F159" s="31" t="s">
        <v>740</v>
      </c>
      <c r="G159" s="31" t="s">
        <v>735</v>
      </c>
      <c r="H159" s="31"/>
      <c r="I159" s="31" t="s">
        <v>175</v>
      </c>
      <c r="J159" s="31"/>
      <c r="K159" s="31" t="s">
        <v>805</v>
      </c>
      <c r="L159" s="31"/>
      <c r="M159" s="38" t="s">
        <v>263</v>
      </c>
      <c r="N159" s="31"/>
      <c r="O159" s="31"/>
      <c r="P159" s="38" t="s">
        <v>263</v>
      </c>
      <c r="Q159" s="31"/>
      <c r="R159" s="38" t="s">
        <v>266</v>
      </c>
    </row>
    <row r="160" spans="1:18" s="38" customFormat="1" ht="229.5">
      <c r="A160" s="109">
        <v>159</v>
      </c>
      <c r="B160" s="32">
        <v>40303</v>
      </c>
      <c r="C160" s="33">
        <v>40303.666666666664</v>
      </c>
      <c r="D160" s="33" t="s">
        <v>784</v>
      </c>
      <c r="E160" s="39">
        <v>40303.666666666664</v>
      </c>
      <c r="F160" s="31" t="s">
        <v>422</v>
      </c>
      <c r="G160" s="31" t="s">
        <v>735</v>
      </c>
      <c r="H160" s="40" t="s">
        <v>739</v>
      </c>
      <c r="I160" s="31" t="s">
        <v>169</v>
      </c>
      <c r="J160" s="40" t="s">
        <v>736</v>
      </c>
      <c r="K160" s="31" t="s">
        <v>770</v>
      </c>
      <c r="L160" s="40" t="s">
        <v>733</v>
      </c>
      <c r="M160" s="73" t="s">
        <v>770</v>
      </c>
      <c r="N160" s="40"/>
      <c r="O160" s="31"/>
      <c r="P160" s="31" t="s">
        <v>714</v>
      </c>
      <c r="Q160" s="31"/>
      <c r="R160" s="38" t="s">
        <v>737</v>
      </c>
    </row>
    <row r="161" spans="1:18" s="38" customFormat="1" ht="204">
      <c r="A161" s="109">
        <v>160</v>
      </c>
      <c r="B161" s="32"/>
      <c r="C161" s="33"/>
      <c r="D161" s="33" t="s">
        <v>784</v>
      </c>
      <c r="E161" s="34">
        <v>40303.677083333336</v>
      </c>
      <c r="F161" s="38" t="s">
        <v>740</v>
      </c>
      <c r="G161" s="31" t="s">
        <v>232</v>
      </c>
      <c r="H161" s="38" t="s">
        <v>234</v>
      </c>
      <c r="I161" s="31" t="s">
        <v>186</v>
      </c>
      <c r="J161" s="31" t="s">
        <v>331</v>
      </c>
      <c r="K161" s="31" t="s">
        <v>235</v>
      </c>
      <c r="L161" s="31"/>
      <c r="M161" s="38" t="s">
        <v>233</v>
      </c>
      <c r="N161" s="38" t="s">
        <v>236</v>
      </c>
      <c r="O161" s="38" t="s">
        <v>237</v>
      </c>
      <c r="P161" s="38" t="s">
        <v>88</v>
      </c>
      <c r="Q161" s="38" t="s">
        <v>238</v>
      </c>
      <c r="R161" s="38" t="s">
        <v>227</v>
      </c>
    </row>
    <row r="162" spans="1:18" s="38" customFormat="1" ht="63.75">
      <c r="A162" s="109">
        <v>161</v>
      </c>
      <c r="B162" s="32"/>
      <c r="C162" s="33"/>
      <c r="D162" s="33" t="s">
        <v>784</v>
      </c>
      <c r="E162" s="34">
        <v>40304.291666666664</v>
      </c>
      <c r="F162" s="56" t="s">
        <v>740</v>
      </c>
      <c r="G162" s="56" t="s">
        <v>735</v>
      </c>
      <c r="H162" s="56" t="s">
        <v>302</v>
      </c>
      <c r="I162" s="31" t="s">
        <v>176</v>
      </c>
      <c r="J162" s="56" t="s">
        <v>307</v>
      </c>
      <c r="K162" s="56" t="s">
        <v>811</v>
      </c>
      <c r="L162" s="31"/>
      <c r="M162" s="56" t="s">
        <v>813</v>
      </c>
      <c r="N162" s="31"/>
      <c r="O162" s="31"/>
      <c r="P162" s="112" t="s">
        <v>812</v>
      </c>
      <c r="Q162" s="31"/>
      <c r="R162" s="56" t="s">
        <v>308</v>
      </c>
    </row>
    <row r="163" spans="1:18" s="38" customFormat="1" ht="216.75">
      <c r="A163" s="109">
        <v>162</v>
      </c>
      <c r="B163" s="32"/>
      <c r="C163" s="33"/>
      <c r="D163" s="33" t="s">
        <v>784</v>
      </c>
      <c r="E163" s="34">
        <v>40303.697916666664</v>
      </c>
      <c r="F163" s="31" t="s">
        <v>422</v>
      </c>
      <c r="G163" s="31" t="s">
        <v>775</v>
      </c>
      <c r="H163" s="31" t="s">
        <v>267</v>
      </c>
      <c r="I163" s="31" t="s">
        <v>552</v>
      </c>
      <c r="J163" s="31" t="s">
        <v>553</v>
      </c>
      <c r="K163" s="31" t="s">
        <v>89</v>
      </c>
      <c r="L163" s="31"/>
      <c r="M163" s="73" t="s">
        <v>90</v>
      </c>
      <c r="N163" s="31"/>
      <c r="O163" s="61" t="s">
        <v>340</v>
      </c>
      <c r="P163" s="31" t="s">
        <v>341</v>
      </c>
      <c r="Q163" s="31"/>
      <c r="R163" s="38" t="s">
        <v>270</v>
      </c>
    </row>
    <row r="164" spans="1:18" s="38" customFormat="1" ht="51">
      <c r="A164" s="109">
        <v>163</v>
      </c>
      <c r="B164" s="32"/>
      <c r="C164" s="33"/>
      <c r="D164" s="33" t="s">
        <v>784</v>
      </c>
      <c r="E164" s="58">
        <v>40303.711111111123</v>
      </c>
      <c r="F164" s="38" t="s">
        <v>740</v>
      </c>
      <c r="G164" s="31" t="s">
        <v>735</v>
      </c>
      <c r="H164" s="40"/>
      <c r="I164" s="31" t="s">
        <v>170</v>
      </c>
      <c r="J164" s="40"/>
      <c r="K164" s="31" t="s">
        <v>55</v>
      </c>
      <c r="L164" s="40"/>
      <c r="M164" s="38" t="s">
        <v>563</v>
      </c>
      <c r="N164" s="38" t="s">
        <v>574</v>
      </c>
      <c r="O164" s="31"/>
      <c r="P164" s="38" t="s">
        <v>573</v>
      </c>
      <c r="Q164" s="38" t="s">
        <v>585</v>
      </c>
      <c r="R164" s="38" t="s">
        <v>561</v>
      </c>
    </row>
    <row r="165" spans="1:18" s="38" customFormat="1" ht="51">
      <c r="A165" s="109">
        <v>164</v>
      </c>
      <c r="B165" s="32"/>
      <c r="C165" s="33"/>
      <c r="D165" s="33" t="s">
        <v>784</v>
      </c>
      <c r="E165" s="58">
        <v>40303.75</v>
      </c>
      <c r="F165" s="38" t="s">
        <v>740</v>
      </c>
      <c r="G165" s="31" t="s">
        <v>735</v>
      </c>
      <c r="H165" s="40"/>
      <c r="I165" s="31" t="s">
        <v>170</v>
      </c>
      <c r="J165" s="40"/>
      <c r="K165" s="31" t="s">
        <v>55</v>
      </c>
      <c r="L165" s="40"/>
      <c r="M165" s="38" t="s">
        <v>568</v>
      </c>
      <c r="N165" s="40" t="s">
        <v>579</v>
      </c>
      <c r="O165" s="31"/>
      <c r="P165" s="38" t="s">
        <v>568</v>
      </c>
      <c r="Q165" s="31"/>
      <c r="R165" s="38" t="s">
        <v>561</v>
      </c>
    </row>
    <row r="166" spans="1:18" s="38" customFormat="1" ht="25.5">
      <c r="A166" s="109">
        <v>165</v>
      </c>
      <c r="B166" s="32"/>
      <c r="C166" s="33"/>
      <c r="D166" s="33" t="s">
        <v>784</v>
      </c>
      <c r="E166" s="58">
        <v>40303.750694444447</v>
      </c>
      <c r="F166" s="31" t="s">
        <v>740</v>
      </c>
      <c r="G166" s="31" t="s">
        <v>735</v>
      </c>
      <c r="H166" s="31" t="s">
        <v>598</v>
      </c>
      <c r="I166" s="31" t="s">
        <v>171</v>
      </c>
      <c r="J166" s="40" t="s">
        <v>595</v>
      </c>
      <c r="K166" s="31"/>
      <c r="L166" s="40"/>
      <c r="M166" s="31" t="s">
        <v>92</v>
      </c>
      <c r="N166" s="40"/>
      <c r="O166" s="31"/>
      <c r="P166" s="31" t="s">
        <v>600</v>
      </c>
      <c r="Q166" s="31" t="s">
        <v>597</v>
      </c>
      <c r="R166" s="38" t="s">
        <v>646</v>
      </c>
    </row>
    <row r="167" spans="1:18" s="38" customFormat="1" ht="51">
      <c r="A167" s="109">
        <v>166</v>
      </c>
      <c r="B167" s="32"/>
      <c r="C167" s="33"/>
      <c r="D167" s="33" t="s">
        <v>784</v>
      </c>
      <c r="E167" s="34">
        <v>40303.760416666664</v>
      </c>
      <c r="F167" s="56" t="s">
        <v>422</v>
      </c>
      <c r="G167" s="56" t="s">
        <v>735</v>
      </c>
      <c r="H167" s="56" t="s">
        <v>653</v>
      </c>
      <c r="I167" s="31" t="s">
        <v>176</v>
      </c>
      <c r="J167" s="56" t="s">
        <v>303</v>
      </c>
      <c r="K167" s="56"/>
      <c r="L167" s="31"/>
      <c r="M167" s="56" t="s">
        <v>291</v>
      </c>
      <c r="N167" s="31"/>
      <c r="O167" s="31"/>
      <c r="P167" s="56" t="s">
        <v>291</v>
      </c>
      <c r="Q167" s="31"/>
      <c r="R167" s="56" t="s">
        <v>308</v>
      </c>
    </row>
    <row r="168" spans="1:18" s="38" customFormat="1" ht="38.25">
      <c r="A168" s="109">
        <v>167</v>
      </c>
      <c r="B168" s="32"/>
      <c r="C168" s="33"/>
      <c r="D168" s="33" t="s">
        <v>784</v>
      </c>
      <c r="E168" s="34">
        <v>40303.767361111109</v>
      </c>
      <c r="F168" s="56" t="s">
        <v>422</v>
      </c>
      <c r="G168" s="56" t="s">
        <v>735</v>
      </c>
      <c r="H168" s="56" t="s">
        <v>653</v>
      </c>
      <c r="I168" s="31" t="s">
        <v>176</v>
      </c>
      <c r="J168" s="56" t="s">
        <v>683</v>
      </c>
      <c r="K168" s="56"/>
      <c r="L168" s="31"/>
      <c r="M168" s="56" t="s">
        <v>290</v>
      </c>
      <c r="N168" s="31"/>
      <c r="O168" s="31"/>
      <c r="P168" s="56" t="s">
        <v>290</v>
      </c>
      <c r="Q168" s="31"/>
      <c r="R168" s="56" t="s">
        <v>308</v>
      </c>
    </row>
    <row r="169" spans="1:18" s="38" customFormat="1" ht="63.75">
      <c r="A169" s="109">
        <v>168</v>
      </c>
      <c r="B169" s="32"/>
      <c r="C169" s="33"/>
      <c r="D169" s="33" t="s">
        <v>784</v>
      </c>
      <c r="E169" s="34">
        <v>40303.802083333336</v>
      </c>
      <c r="F169" s="56" t="s">
        <v>740</v>
      </c>
      <c r="G169" s="56" t="s">
        <v>735</v>
      </c>
      <c r="H169" s="56" t="s">
        <v>301</v>
      </c>
      <c r="I169" s="31" t="s">
        <v>189</v>
      </c>
      <c r="J169" s="56" t="s">
        <v>683</v>
      </c>
      <c r="K169" s="56"/>
      <c r="L169" s="31"/>
      <c r="M169" s="56" t="s">
        <v>297</v>
      </c>
      <c r="N169" s="31"/>
      <c r="O169" s="31"/>
      <c r="P169" s="56" t="s">
        <v>297</v>
      </c>
      <c r="Q169" s="31"/>
      <c r="R169" s="56" t="s">
        <v>308</v>
      </c>
    </row>
    <row r="170" spans="1:18" s="38" customFormat="1">
      <c r="A170" s="109">
        <v>169</v>
      </c>
      <c r="B170" s="32"/>
      <c r="C170" s="33"/>
      <c r="D170" s="33" t="s">
        <v>784</v>
      </c>
      <c r="E170" s="58">
        <v>40303.802777777775</v>
      </c>
      <c r="F170" s="31" t="s">
        <v>740</v>
      </c>
      <c r="G170" s="31" t="s">
        <v>735</v>
      </c>
      <c r="H170" s="31"/>
      <c r="I170" s="31" t="s">
        <v>175</v>
      </c>
      <c r="J170" s="31"/>
      <c r="K170" s="31"/>
      <c r="L170" s="31"/>
      <c r="M170" s="38" t="s">
        <v>258</v>
      </c>
      <c r="N170" s="31"/>
      <c r="O170" s="31"/>
      <c r="P170" s="38" t="s">
        <v>258</v>
      </c>
      <c r="Q170" s="31"/>
      <c r="R170" s="38" t="s">
        <v>266</v>
      </c>
    </row>
    <row r="171" spans="1:18" s="38" customFormat="1" ht="204">
      <c r="A171" s="109">
        <v>170</v>
      </c>
      <c r="B171" s="32">
        <v>40303</v>
      </c>
      <c r="C171" s="33">
        <v>40303.916666666664</v>
      </c>
      <c r="D171" s="33" t="s">
        <v>784</v>
      </c>
      <c r="E171" s="39">
        <v>40303.916666666664</v>
      </c>
      <c r="F171" s="31" t="s">
        <v>422</v>
      </c>
      <c r="G171" s="31" t="s">
        <v>735</v>
      </c>
      <c r="H171" s="40" t="s">
        <v>739</v>
      </c>
      <c r="I171" s="31" t="s">
        <v>169</v>
      </c>
      <c r="J171" s="40" t="s">
        <v>736</v>
      </c>
      <c r="K171" s="31" t="s">
        <v>771</v>
      </c>
      <c r="L171" s="40" t="s">
        <v>733</v>
      </c>
      <c r="M171" s="31" t="s">
        <v>771</v>
      </c>
      <c r="N171" s="40"/>
      <c r="O171" s="31"/>
      <c r="P171" s="31" t="s">
        <v>715</v>
      </c>
      <c r="Q171" s="31"/>
      <c r="R171" s="38" t="s">
        <v>737</v>
      </c>
    </row>
    <row r="172" spans="1:18" s="38" customFormat="1" ht="191.25">
      <c r="A172" s="109">
        <v>171</v>
      </c>
      <c r="B172" s="32">
        <v>40304</v>
      </c>
      <c r="C172" s="33">
        <v>40304.166666666664</v>
      </c>
      <c r="D172" s="33" t="s">
        <v>784</v>
      </c>
      <c r="E172" s="39">
        <v>40304.166666666664</v>
      </c>
      <c r="F172" s="31" t="s">
        <v>422</v>
      </c>
      <c r="G172" s="31" t="s">
        <v>735</v>
      </c>
      <c r="H172" s="40" t="s">
        <v>739</v>
      </c>
      <c r="I172" s="31" t="s">
        <v>169</v>
      </c>
      <c r="J172" s="40" t="s">
        <v>736</v>
      </c>
      <c r="K172" s="31" t="s">
        <v>772</v>
      </c>
      <c r="L172" s="40" t="s">
        <v>733</v>
      </c>
      <c r="M172" s="31" t="s">
        <v>772</v>
      </c>
      <c r="N172" s="40"/>
      <c r="O172" s="31"/>
      <c r="P172" s="31" t="s">
        <v>716</v>
      </c>
      <c r="Q172" s="31"/>
      <c r="R172" s="38" t="s">
        <v>737</v>
      </c>
    </row>
    <row r="173" spans="1:18" s="38" customFormat="1">
      <c r="A173" s="109">
        <v>172</v>
      </c>
      <c r="B173" s="47">
        <v>40304</v>
      </c>
      <c r="C173" s="48"/>
      <c r="D173" s="33" t="s">
        <v>784</v>
      </c>
      <c r="E173" s="49">
        <v>40304.208333333336</v>
      </c>
      <c r="F173" s="35"/>
      <c r="G173" s="35"/>
      <c r="H173" s="50"/>
      <c r="I173" s="35"/>
      <c r="J173" s="50"/>
      <c r="K173" s="31"/>
      <c r="L173" s="50"/>
      <c r="M173" s="77"/>
      <c r="N173" s="50"/>
      <c r="O173" s="35"/>
      <c r="P173" s="55" t="s">
        <v>391</v>
      </c>
      <c r="Q173" s="35"/>
      <c r="R173" s="35" t="s">
        <v>737</v>
      </c>
    </row>
    <row r="174" spans="1:18" s="38" customFormat="1" ht="38.25">
      <c r="A174" s="109">
        <v>173</v>
      </c>
      <c r="B174" s="32"/>
      <c r="C174" s="33"/>
      <c r="D174" s="33" t="s">
        <v>784</v>
      </c>
      <c r="E174" s="58">
        <v>40304.25</v>
      </c>
      <c r="F174" s="38" t="s">
        <v>740</v>
      </c>
      <c r="G174" s="31" t="s">
        <v>735</v>
      </c>
      <c r="H174" s="40"/>
      <c r="I174" s="31" t="s">
        <v>170</v>
      </c>
      <c r="J174" s="40"/>
      <c r="K174" s="31" t="s">
        <v>55</v>
      </c>
      <c r="L174" s="40"/>
      <c r="M174" s="73" t="s">
        <v>95</v>
      </c>
      <c r="N174" s="40" t="s">
        <v>580</v>
      </c>
      <c r="O174" s="31"/>
      <c r="P174" s="38" t="s">
        <v>567</v>
      </c>
      <c r="Q174" s="31"/>
      <c r="R174" s="38" t="s">
        <v>561</v>
      </c>
    </row>
    <row r="175" spans="1:18" s="38" customFormat="1" ht="51">
      <c r="A175" s="109">
        <v>174</v>
      </c>
      <c r="B175" s="32"/>
      <c r="C175" s="33"/>
      <c r="D175" s="33" t="s">
        <v>784</v>
      </c>
      <c r="E175" s="39">
        <v>40304.291666666664</v>
      </c>
      <c r="F175" s="31" t="s">
        <v>422</v>
      </c>
      <c r="G175" s="31" t="s">
        <v>373</v>
      </c>
      <c r="H175" s="31" t="s">
        <v>653</v>
      </c>
      <c r="I175" s="31" t="s">
        <v>552</v>
      </c>
      <c r="J175" s="31" t="s">
        <v>653</v>
      </c>
      <c r="K175" s="31"/>
      <c r="L175" s="31"/>
      <c r="M175" s="73" t="s">
        <v>94</v>
      </c>
      <c r="N175" s="31"/>
      <c r="O175" s="31"/>
      <c r="P175" s="31" t="s">
        <v>133</v>
      </c>
      <c r="Q175" s="31"/>
      <c r="R175" s="38" t="s">
        <v>737</v>
      </c>
    </row>
    <row r="176" spans="1:18" s="38" customFormat="1" ht="25.5">
      <c r="A176" s="109">
        <v>175</v>
      </c>
      <c r="B176" s="32"/>
      <c r="C176" s="33"/>
      <c r="D176" s="33" t="s">
        <v>784</v>
      </c>
      <c r="E176" s="34">
        <v>40303.760416666664</v>
      </c>
      <c r="F176" s="56" t="s">
        <v>740</v>
      </c>
      <c r="G176" s="56" t="s">
        <v>735</v>
      </c>
      <c r="H176" s="56" t="s">
        <v>300</v>
      </c>
      <c r="I176" s="31" t="s">
        <v>176</v>
      </c>
      <c r="J176" s="56" t="s">
        <v>306</v>
      </c>
      <c r="K176" s="56" t="s">
        <v>814</v>
      </c>
      <c r="L176" s="31"/>
      <c r="M176" s="56" t="s">
        <v>292</v>
      </c>
      <c r="N176" s="31"/>
      <c r="O176" s="31"/>
      <c r="P176" s="56" t="s">
        <v>292</v>
      </c>
      <c r="Q176" s="31"/>
      <c r="R176" s="56" t="s">
        <v>308</v>
      </c>
    </row>
    <row r="177" spans="1:18" s="38" customFormat="1" ht="25.5">
      <c r="A177" s="109">
        <v>176</v>
      </c>
      <c r="B177" s="32"/>
      <c r="C177" s="33"/>
      <c r="D177" s="33" t="s">
        <v>784</v>
      </c>
      <c r="E177" s="58">
        <v>40304.305555555555</v>
      </c>
      <c r="F177" s="31" t="s">
        <v>422</v>
      </c>
      <c r="G177" s="31" t="s">
        <v>621</v>
      </c>
      <c r="H177" s="40" t="s">
        <v>604</v>
      </c>
      <c r="I177" s="31" t="s">
        <v>179</v>
      </c>
      <c r="J177" s="40" t="s">
        <v>595</v>
      </c>
      <c r="K177" s="31" t="s">
        <v>620</v>
      </c>
      <c r="L177" s="40"/>
      <c r="M177" s="31" t="s">
        <v>620</v>
      </c>
      <c r="N177" s="40"/>
      <c r="O177" s="31"/>
      <c r="P177" s="31" t="s">
        <v>622</v>
      </c>
      <c r="Q177" s="31"/>
      <c r="R177" s="38" t="s">
        <v>646</v>
      </c>
    </row>
    <row r="178" spans="1:18" s="38" customFormat="1" ht="25.5">
      <c r="A178" s="109">
        <v>177</v>
      </c>
      <c r="B178" s="32"/>
      <c r="C178" s="33"/>
      <c r="D178" s="33" t="s">
        <v>784</v>
      </c>
      <c r="E178" s="58">
        <v>40304.319444444445</v>
      </c>
      <c r="F178" s="31" t="s">
        <v>422</v>
      </c>
      <c r="G178" s="31" t="s">
        <v>632</v>
      </c>
      <c r="H178" s="40" t="s">
        <v>604</v>
      </c>
      <c r="I178" s="31" t="s">
        <v>179</v>
      </c>
      <c r="J178" s="40" t="s">
        <v>633</v>
      </c>
      <c r="K178" s="31"/>
      <c r="L178" s="40"/>
      <c r="M178" s="31" t="s">
        <v>631</v>
      </c>
      <c r="N178" s="40"/>
      <c r="O178" s="31"/>
      <c r="P178" s="31" t="s">
        <v>634</v>
      </c>
      <c r="Q178" s="31"/>
      <c r="R178" s="38" t="s">
        <v>646</v>
      </c>
    </row>
    <row r="179" spans="1:18" s="38" customFormat="1" ht="89.25">
      <c r="A179" s="109">
        <v>178</v>
      </c>
      <c r="B179" s="32"/>
      <c r="C179" s="33"/>
      <c r="D179" s="33" t="s">
        <v>784</v>
      </c>
      <c r="E179" s="52">
        <v>40304.333333333336</v>
      </c>
      <c r="F179" s="31" t="s">
        <v>422</v>
      </c>
      <c r="G179" s="31" t="s">
        <v>373</v>
      </c>
      <c r="H179" s="31" t="s">
        <v>653</v>
      </c>
      <c r="I179" s="31" t="s">
        <v>552</v>
      </c>
      <c r="J179" s="31" t="s">
        <v>415</v>
      </c>
      <c r="K179" s="31"/>
      <c r="L179" s="31"/>
      <c r="M179" s="31" t="s">
        <v>414</v>
      </c>
      <c r="N179" s="31"/>
      <c r="O179" s="31"/>
      <c r="P179" s="31" t="s">
        <v>776</v>
      </c>
      <c r="Q179" s="31"/>
      <c r="R179" s="38" t="s">
        <v>737</v>
      </c>
    </row>
    <row r="180" spans="1:18" s="38" customFormat="1" ht="76.5">
      <c r="A180" s="109">
        <v>179</v>
      </c>
      <c r="D180" s="33" t="s">
        <v>784</v>
      </c>
      <c r="E180" s="58">
        <v>40304.333333333336</v>
      </c>
      <c r="F180" s="38" t="s">
        <v>740</v>
      </c>
      <c r="G180" s="38" t="s">
        <v>735</v>
      </c>
      <c r="H180" s="38" t="s">
        <v>333</v>
      </c>
      <c r="I180" s="38" t="s">
        <v>179</v>
      </c>
      <c r="J180" s="38" t="s">
        <v>220</v>
      </c>
      <c r="K180" s="31"/>
      <c r="M180" s="75" t="s">
        <v>106</v>
      </c>
      <c r="N180" s="38" t="s">
        <v>222</v>
      </c>
      <c r="O180" s="38" t="s">
        <v>221</v>
      </c>
      <c r="P180" s="38" t="s">
        <v>332</v>
      </c>
      <c r="R180" s="38" t="s">
        <v>223</v>
      </c>
    </row>
    <row r="181" spans="1:18" s="38" customFormat="1">
      <c r="A181" s="109">
        <v>180</v>
      </c>
      <c r="B181" s="32"/>
      <c r="C181" s="33"/>
      <c r="D181" s="33" t="s">
        <v>784</v>
      </c>
      <c r="E181" s="58">
        <v>40304.333333333336</v>
      </c>
      <c r="F181" s="31" t="s">
        <v>422</v>
      </c>
      <c r="G181" s="31" t="s">
        <v>735</v>
      </c>
      <c r="H181" s="40" t="s">
        <v>643</v>
      </c>
      <c r="I181" s="31" t="s">
        <v>174</v>
      </c>
      <c r="J181" s="40" t="s">
        <v>595</v>
      </c>
      <c r="K181" s="31"/>
      <c r="L181" s="40"/>
      <c r="M181" s="31" t="s">
        <v>644</v>
      </c>
      <c r="N181" s="40"/>
      <c r="O181" s="31"/>
      <c r="P181" s="31"/>
      <c r="Q181" s="31"/>
      <c r="R181" s="38" t="s">
        <v>646</v>
      </c>
    </row>
    <row r="182" spans="1:18" s="38" customFormat="1" ht="38.25">
      <c r="A182" s="109">
        <v>181</v>
      </c>
      <c r="B182" s="32"/>
      <c r="C182" s="33"/>
      <c r="D182" s="33" t="s">
        <v>784</v>
      </c>
      <c r="E182" s="58">
        <v>40304.334027777775</v>
      </c>
      <c r="F182" s="31" t="s">
        <v>422</v>
      </c>
      <c r="G182" s="42"/>
      <c r="H182" s="42"/>
      <c r="I182" s="31" t="s">
        <v>190</v>
      </c>
      <c r="J182" s="40" t="s">
        <v>595</v>
      </c>
      <c r="K182" s="31"/>
      <c r="L182" s="31"/>
      <c r="M182" s="73" t="s">
        <v>105</v>
      </c>
      <c r="N182" s="31"/>
      <c r="O182" s="31"/>
      <c r="P182" s="38" t="s">
        <v>650</v>
      </c>
      <c r="Q182" s="31"/>
      <c r="R182" s="38" t="s">
        <v>423</v>
      </c>
    </row>
    <row r="183" spans="1:18" s="38" customFormat="1" ht="38.25">
      <c r="A183" s="109">
        <v>182</v>
      </c>
      <c r="B183" s="32"/>
      <c r="C183" s="33"/>
      <c r="D183" s="33" t="s">
        <v>784</v>
      </c>
      <c r="E183" s="34">
        <v>40303.840277777781</v>
      </c>
      <c r="F183" s="56" t="s">
        <v>740</v>
      </c>
      <c r="G183" s="56" t="s">
        <v>735</v>
      </c>
      <c r="H183" s="56" t="s">
        <v>816</v>
      </c>
      <c r="I183" s="31" t="s">
        <v>176</v>
      </c>
      <c r="J183" s="56" t="s">
        <v>303</v>
      </c>
      <c r="K183" s="56" t="s">
        <v>815</v>
      </c>
      <c r="L183" s="31"/>
      <c r="M183" s="73" t="s">
        <v>107</v>
      </c>
      <c r="N183" s="31"/>
      <c r="O183" s="31"/>
      <c r="P183" s="56" t="s">
        <v>298</v>
      </c>
      <c r="Q183" s="31"/>
      <c r="R183" s="56" t="s">
        <v>308</v>
      </c>
    </row>
    <row r="184" spans="1:18" s="38" customFormat="1" ht="89.25">
      <c r="A184" s="109">
        <v>183</v>
      </c>
      <c r="B184" s="32"/>
      <c r="C184" s="33"/>
      <c r="D184" s="33" t="s">
        <v>784</v>
      </c>
      <c r="E184" s="34">
        <v>40304.344444444447</v>
      </c>
      <c r="F184" s="31" t="s">
        <v>740</v>
      </c>
      <c r="G184" s="31" t="s">
        <v>373</v>
      </c>
      <c r="H184" s="35" t="s">
        <v>653</v>
      </c>
      <c r="I184" s="31" t="s">
        <v>552</v>
      </c>
      <c r="J184" s="31" t="s">
        <v>229</v>
      </c>
      <c r="K184" s="31"/>
      <c r="L184" s="31"/>
      <c r="M184" s="75" t="s">
        <v>108</v>
      </c>
      <c r="N184" s="38" t="s">
        <v>226</v>
      </c>
      <c r="O184" s="75" t="s">
        <v>228</v>
      </c>
      <c r="P184" s="38" t="s">
        <v>134</v>
      </c>
      <c r="R184" s="38" t="s">
        <v>227</v>
      </c>
    </row>
    <row r="185" spans="1:18" s="79" customFormat="1" ht="25.5">
      <c r="A185" s="109">
        <v>184</v>
      </c>
      <c r="B185" s="32"/>
      <c r="C185" s="33"/>
      <c r="D185" s="33" t="s">
        <v>784</v>
      </c>
      <c r="E185" s="58">
        <v>40304.347222222219</v>
      </c>
      <c r="F185" s="31" t="s">
        <v>740</v>
      </c>
      <c r="G185" s="31" t="s">
        <v>735</v>
      </c>
      <c r="H185" s="31" t="s">
        <v>598</v>
      </c>
      <c r="I185" s="31" t="s">
        <v>174</v>
      </c>
      <c r="J185" s="40" t="s">
        <v>595</v>
      </c>
      <c r="K185" s="31"/>
      <c r="L185" s="40"/>
      <c r="M185" s="31" t="s">
        <v>96</v>
      </c>
      <c r="N185" s="40"/>
      <c r="O185" s="31"/>
      <c r="P185" s="31" t="s">
        <v>601</v>
      </c>
      <c r="Q185" s="31" t="s">
        <v>602</v>
      </c>
      <c r="R185" s="38" t="s">
        <v>646</v>
      </c>
    </row>
    <row r="186" spans="1:18" s="38" customFormat="1" ht="71.25" customHeight="1">
      <c r="A186" s="109">
        <v>185</v>
      </c>
      <c r="B186" s="32"/>
      <c r="C186" s="33"/>
      <c r="D186" s="33" t="s">
        <v>784</v>
      </c>
      <c r="E186" s="58">
        <v>40304.354166666664</v>
      </c>
      <c r="F186" s="31" t="s">
        <v>422</v>
      </c>
      <c r="G186" s="42"/>
      <c r="H186" s="42"/>
      <c r="I186" s="31" t="s">
        <v>190</v>
      </c>
      <c r="J186" s="40" t="s">
        <v>595</v>
      </c>
      <c r="K186" s="31"/>
      <c r="L186" s="31"/>
      <c r="M186" s="73" t="s">
        <v>104</v>
      </c>
      <c r="N186" s="31"/>
      <c r="O186" s="31" t="s">
        <v>817</v>
      </c>
      <c r="P186" s="38" t="s">
        <v>649</v>
      </c>
      <c r="Q186" s="31"/>
      <c r="R186" s="38" t="s">
        <v>423</v>
      </c>
    </row>
    <row r="187" spans="1:18" s="38" customFormat="1" ht="25.5">
      <c r="A187" s="109">
        <v>186</v>
      </c>
      <c r="B187" s="32"/>
      <c r="C187" s="33"/>
      <c r="D187" s="33" t="s">
        <v>784</v>
      </c>
      <c r="E187" s="58">
        <v>40304.361111111109</v>
      </c>
      <c r="F187" s="31" t="s">
        <v>422</v>
      </c>
      <c r="G187" s="31" t="s">
        <v>775</v>
      </c>
      <c r="H187" s="31" t="s">
        <v>624</v>
      </c>
      <c r="I187" s="31" t="s">
        <v>171</v>
      </c>
      <c r="J187" s="40" t="s">
        <v>595</v>
      </c>
      <c r="K187" s="31"/>
      <c r="L187" s="40"/>
      <c r="M187" s="31" t="s">
        <v>623</v>
      </c>
      <c r="N187" s="40"/>
      <c r="O187" s="31"/>
      <c r="P187" s="31" t="s">
        <v>626</v>
      </c>
      <c r="Q187" s="31"/>
      <c r="R187" s="38" t="s">
        <v>646</v>
      </c>
    </row>
    <row r="188" spans="1:18" s="38" customFormat="1" ht="25.5">
      <c r="A188" s="109">
        <v>187</v>
      </c>
      <c r="B188" s="32"/>
      <c r="C188" s="33"/>
      <c r="D188" s="33" t="s">
        <v>784</v>
      </c>
      <c r="E188" s="58">
        <v>40304.375</v>
      </c>
      <c r="F188" s="31" t="s">
        <v>422</v>
      </c>
      <c r="G188" s="42"/>
      <c r="H188" s="42"/>
      <c r="I188" s="31" t="s">
        <v>190</v>
      </c>
      <c r="J188" s="40" t="s">
        <v>595</v>
      </c>
      <c r="K188" s="31"/>
      <c r="L188" s="31"/>
      <c r="M188" s="73" t="s">
        <v>104</v>
      </c>
      <c r="N188" s="31"/>
      <c r="O188" s="31"/>
      <c r="P188" s="38" t="s">
        <v>651</v>
      </c>
      <c r="Q188" s="31"/>
      <c r="R188" s="38" t="s">
        <v>423</v>
      </c>
    </row>
    <row r="189" spans="1:18" s="38" customFormat="1" ht="51">
      <c r="A189" s="109">
        <v>188</v>
      </c>
      <c r="B189" s="32"/>
      <c r="C189" s="33"/>
      <c r="D189" s="33" t="s">
        <v>784</v>
      </c>
      <c r="E189" s="58">
        <v>40304.381944444445</v>
      </c>
      <c r="F189" s="31" t="s">
        <v>740</v>
      </c>
      <c r="G189" s="42"/>
      <c r="H189" s="42"/>
      <c r="I189" s="31" t="s">
        <v>190</v>
      </c>
      <c r="J189" s="40" t="s">
        <v>595</v>
      </c>
      <c r="K189" s="31"/>
      <c r="L189" s="31"/>
      <c r="M189" s="73" t="s">
        <v>75</v>
      </c>
      <c r="N189" s="31"/>
      <c r="O189" s="31"/>
      <c r="P189" s="38" t="s">
        <v>648</v>
      </c>
      <c r="Q189" s="31"/>
      <c r="R189" s="38" t="s">
        <v>423</v>
      </c>
    </row>
    <row r="190" spans="1:18" s="38" customFormat="1" ht="127.5">
      <c r="A190" s="109">
        <v>189</v>
      </c>
      <c r="B190" s="32"/>
      <c r="C190" s="33"/>
      <c r="D190" s="33" t="s">
        <v>784</v>
      </c>
      <c r="E190" s="34">
        <v>40304.385416666664</v>
      </c>
      <c r="F190" s="31" t="s">
        <v>422</v>
      </c>
      <c r="G190" s="31" t="s">
        <v>277</v>
      </c>
      <c r="H190" s="31" t="s">
        <v>278</v>
      </c>
      <c r="I190" s="31" t="s">
        <v>191</v>
      </c>
      <c r="J190" s="31" t="s">
        <v>606</v>
      </c>
      <c r="K190" s="31"/>
      <c r="L190" s="31"/>
      <c r="M190" s="73" t="s">
        <v>109</v>
      </c>
      <c r="N190" s="31"/>
      <c r="O190" s="31" t="s">
        <v>279</v>
      </c>
      <c r="P190" s="31" t="s">
        <v>339</v>
      </c>
      <c r="Q190" s="31"/>
      <c r="R190" s="38" t="s">
        <v>270</v>
      </c>
    </row>
    <row r="191" spans="1:18" s="38" customFormat="1">
      <c r="A191" s="109">
        <v>190</v>
      </c>
      <c r="B191" s="32"/>
      <c r="C191" s="33"/>
      <c r="D191" s="33" t="s">
        <v>784</v>
      </c>
      <c r="E191" s="58">
        <v>40304.388888888891</v>
      </c>
      <c r="F191" s="31" t="s">
        <v>740</v>
      </c>
      <c r="G191" s="31" t="s">
        <v>609</v>
      </c>
      <c r="H191" s="40" t="s">
        <v>604</v>
      </c>
      <c r="I191" s="31" t="s">
        <v>179</v>
      </c>
      <c r="J191" s="40" t="s">
        <v>595</v>
      </c>
      <c r="K191" s="31"/>
      <c r="L191" s="40"/>
      <c r="M191" s="73" t="s">
        <v>98</v>
      </c>
      <c r="N191" s="40"/>
      <c r="O191" s="31"/>
      <c r="P191" s="31"/>
      <c r="Q191" s="31"/>
      <c r="R191" s="38" t="s">
        <v>646</v>
      </c>
    </row>
    <row r="192" spans="1:18" s="38" customFormat="1" ht="51">
      <c r="A192" s="109">
        <v>191</v>
      </c>
      <c r="B192" s="32"/>
      <c r="C192" s="33"/>
      <c r="D192" s="33" t="s">
        <v>784</v>
      </c>
      <c r="E192" s="58">
        <v>40304.395833333336</v>
      </c>
      <c r="F192" s="31" t="s">
        <v>422</v>
      </c>
      <c r="G192" s="42"/>
      <c r="H192" s="42"/>
      <c r="I192" s="31" t="s">
        <v>190</v>
      </c>
      <c r="J192" s="40" t="s">
        <v>595</v>
      </c>
      <c r="K192" s="31"/>
      <c r="L192" s="31"/>
      <c r="M192" s="73" t="s">
        <v>110</v>
      </c>
      <c r="N192" s="31"/>
      <c r="O192" s="31"/>
      <c r="P192" s="38" t="s">
        <v>12</v>
      </c>
      <c r="Q192" s="31"/>
      <c r="R192" s="38" t="s">
        <v>423</v>
      </c>
    </row>
    <row r="193" spans="1:18" s="38" customFormat="1" ht="25.5">
      <c r="A193" s="109">
        <v>192</v>
      </c>
      <c r="B193" s="32"/>
      <c r="C193" s="33"/>
      <c r="D193" s="33" t="s">
        <v>784</v>
      </c>
      <c r="E193" s="58">
        <v>40304.402777777781</v>
      </c>
      <c r="F193" s="31" t="s">
        <v>740</v>
      </c>
      <c r="G193" s="31" t="s">
        <v>740</v>
      </c>
      <c r="H193" s="31" t="s">
        <v>628</v>
      </c>
      <c r="I193" s="31"/>
      <c r="J193" s="40" t="s">
        <v>629</v>
      </c>
      <c r="K193" s="31"/>
      <c r="L193" s="40"/>
      <c r="M193" s="31" t="s">
        <v>627</v>
      </c>
      <c r="N193" s="40"/>
      <c r="O193" s="31"/>
      <c r="P193" s="31" t="s">
        <v>630</v>
      </c>
      <c r="Q193" s="31"/>
      <c r="R193" s="38" t="s">
        <v>646</v>
      </c>
    </row>
    <row r="194" spans="1:18" s="38" customFormat="1" ht="25.5">
      <c r="A194" s="109">
        <v>193</v>
      </c>
      <c r="B194" s="32"/>
      <c r="C194" s="33"/>
      <c r="D194" s="33" t="s">
        <v>784</v>
      </c>
      <c r="E194" s="39">
        <v>40304.40625</v>
      </c>
      <c r="F194" s="31" t="s">
        <v>394</v>
      </c>
      <c r="G194" s="31" t="s">
        <v>373</v>
      </c>
      <c r="H194" s="31" t="s">
        <v>777</v>
      </c>
      <c r="I194" s="31" t="s">
        <v>552</v>
      </c>
      <c r="J194" s="31" t="s">
        <v>392</v>
      </c>
      <c r="K194" s="31"/>
      <c r="L194" s="31">
        <v>5</v>
      </c>
      <c r="M194" s="73" t="s">
        <v>75</v>
      </c>
      <c r="N194" s="31"/>
      <c r="O194" s="31"/>
      <c r="P194" s="31" t="s">
        <v>407</v>
      </c>
      <c r="Q194" s="31"/>
      <c r="R194" s="38" t="s">
        <v>737</v>
      </c>
    </row>
    <row r="195" spans="1:18" s="38" customFormat="1" ht="25.5">
      <c r="A195" s="109">
        <v>194</v>
      </c>
      <c r="B195" s="32"/>
      <c r="C195" s="33"/>
      <c r="D195" s="33" t="s">
        <v>784</v>
      </c>
      <c r="E195" s="39">
        <v>40304.409722222219</v>
      </c>
      <c r="F195" s="31" t="s">
        <v>394</v>
      </c>
      <c r="G195" s="31" t="s">
        <v>373</v>
      </c>
      <c r="H195" s="31" t="s">
        <v>777</v>
      </c>
      <c r="I195" s="31" t="s">
        <v>552</v>
      </c>
      <c r="J195" s="31" t="s">
        <v>392</v>
      </c>
      <c r="K195" s="31"/>
      <c r="L195" s="31">
        <v>5</v>
      </c>
      <c r="M195" s="73" t="s">
        <v>113</v>
      </c>
      <c r="N195" s="31"/>
      <c r="O195" s="31"/>
      <c r="P195" s="31" t="s">
        <v>412</v>
      </c>
      <c r="Q195" s="31"/>
      <c r="R195" s="38" t="s">
        <v>737</v>
      </c>
    </row>
    <row r="196" spans="1:18" s="38" customFormat="1" ht="38.25">
      <c r="A196" s="109">
        <v>195</v>
      </c>
      <c r="B196" s="32"/>
      <c r="C196" s="33"/>
      <c r="D196" s="33" t="s">
        <v>784</v>
      </c>
      <c r="E196" s="58">
        <v>40304.416666666664</v>
      </c>
      <c r="F196" s="38" t="s">
        <v>422</v>
      </c>
      <c r="G196" s="31" t="s">
        <v>735</v>
      </c>
      <c r="H196" s="40"/>
      <c r="I196" s="31" t="s">
        <v>170</v>
      </c>
      <c r="J196" s="40"/>
      <c r="K196" s="31" t="s">
        <v>55</v>
      </c>
      <c r="L196" s="40"/>
      <c r="M196" s="73"/>
      <c r="N196" s="40" t="s">
        <v>578</v>
      </c>
      <c r="O196" s="31"/>
      <c r="P196" s="38" t="s">
        <v>569</v>
      </c>
      <c r="Q196" s="31"/>
      <c r="R196" s="38" t="s">
        <v>561</v>
      </c>
    </row>
    <row r="197" spans="1:18" s="38" customFormat="1" ht="204">
      <c r="A197" s="109">
        <v>196</v>
      </c>
      <c r="B197" s="32">
        <v>40304</v>
      </c>
      <c r="C197" s="33">
        <v>40304.416666666664</v>
      </c>
      <c r="D197" s="33" t="s">
        <v>784</v>
      </c>
      <c r="E197" s="39">
        <v>40304.417361111111</v>
      </c>
      <c r="F197" s="31" t="s">
        <v>422</v>
      </c>
      <c r="G197" s="31" t="s">
        <v>735</v>
      </c>
      <c r="H197" s="40" t="s">
        <v>739</v>
      </c>
      <c r="I197" s="31" t="s">
        <v>169</v>
      </c>
      <c r="J197" s="40" t="s">
        <v>736</v>
      </c>
      <c r="K197" s="31" t="s">
        <v>773</v>
      </c>
      <c r="L197" s="40" t="s">
        <v>733</v>
      </c>
      <c r="M197" s="31" t="s">
        <v>773</v>
      </c>
      <c r="N197" s="40"/>
      <c r="O197" s="31"/>
      <c r="P197" s="31" t="s">
        <v>359</v>
      </c>
      <c r="Q197" s="31"/>
      <c r="R197" s="38" t="s">
        <v>737</v>
      </c>
    </row>
    <row r="198" spans="1:18" s="38" customFormat="1" ht="38.25">
      <c r="A198" s="109">
        <v>197</v>
      </c>
      <c r="B198" s="32"/>
      <c r="C198" s="33"/>
      <c r="D198" s="33" t="s">
        <v>784</v>
      </c>
      <c r="E198" s="39">
        <v>40304.423611111109</v>
      </c>
      <c r="F198" s="31" t="s">
        <v>394</v>
      </c>
      <c r="G198" s="31" t="s">
        <v>373</v>
      </c>
      <c r="H198" s="31" t="s">
        <v>777</v>
      </c>
      <c r="I198" s="31" t="s">
        <v>552</v>
      </c>
      <c r="J198" s="31" t="s">
        <v>392</v>
      </c>
      <c r="K198" s="31"/>
      <c r="L198" s="31">
        <v>5</v>
      </c>
      <c r="M198" s="73" t="s">
        <v>113</v>
      </c>
      <c r="N198" s="31"/>
      <c r="O198" s="31"/>
      <c r="P198" s="31" t="s">
        <v>411</v>
      </c>
      <c r="Q198" s="31"/>
      <c r="R198" s="38" t="s">
        <v>737</v>
      </c>
    </row>
    <row r="199" spans="1:18" ht="89.25">
      <c r="A199" s="109">
        <v>198</v>
      </c>
      <c r="D199" s="33" t="s">
        <v>784</v>
      </c>
      <c r="E199" s="34">
        <v>40304.427083333336</v>
      </c>
      <c r="F199" s="38" t="s">
        <v>394</v>
      </c>
      <c r="G199" s="31" t="s">
        <v>232</v>
      </c>
      <c r="H199" s="38" t="s">
        <v>653</v>
      </c>
      <c r="I199" s="31" t="s">
        <v>552</v>
      </c>
      <c r="J199" s="31" t="s">
        <v>252</v>
      </c>
      <c r="M199" s="73" t="s">
        <v>75</v>
      </c>
      <c r="N199" s="38" t="s">
        <v>254</v>
      </c>
      <c r="O199" s="38" t="s">
        <v>253</v>
      </c>
      <c r="P199" s="38" t="s">
        <v>255</v>
      </c>
      <c r="Q199" s="38" t="s">
        <v>255</v>
      </c>
      <c r="R199" s="38" t="s">
        <v>227</v>
      </c>
    </row>
    <row r="200" spans="1:18">
      <c r="A200" s="109">
        <v>199</v>
      </c>
      <c r="D200" s="33" t="s">
        <v>784</v>
      </c>
      <c r="E200" s="58">
        <v>40304.430555555555</v>
      </c>
      <c r="F200" s="31" t="s">
        <v>740</v>
      </c>
      <c r="G200" s="31" t="s">
        <v>609</v>
      </c>
      <c r="H200" s="40" t="s">
        <v>604</v>
      </c>
      <c r="I200" s="31" t="s">
        <v>179</v>
      </c>
      <c r="J200" s="40" t="s">
        <v>595</v>
      </c>
      <c r="L200" s="40"/>
      <c r="M200" s="31" t="s">
        <v>100</v>
      </c>
      <c r="N200" s="40"/>
      <c r="O200" s="31"/>
      <c r="P200" s="31" t="s">
        <v>618</v>
      </c>
      <c r="Q200" s="31"/>
      <c r="R200" s="38" t="s">
        <v>646</v>
      </c>
    </row>
    <row r="201" spans="1:18" ht="25.5">
      <c r="A201" s="109">
        <v>200</v>
      </c>
      <c r="D201" s="33" t="s">
        <v>784</v>
      </c>
      <c r="E201" s="39">
        <v>40304.4375</v>
      </c>
      <c r="F201" s="31" t="s">
        <v>394</v>
      </c>
      <c r="G201" s="31" t="s">
        <v>373</v>
      </c>
      <c r="H201" s="31" t="s">
        <v>781</v>
      </c>
      <c r="I201" s="31" t="s">
        <v>552</v>
      </c>
      <c r="J201" s="31" t="s">
        <v>392</v>
      </c>
      <c r="L201" s="31">
        <v>9</v>
      </c>
      <c r="M201" s="73" t="s">
        <v>111</v>
      </c>
      <c r="O201" s="31"/>
      <c r="P201" s="31" t="s">
        <v>335</v>
      </c>
      <c r="Q201" s="31"/>
      <c r="R201" s="38" t="s">
        <v>737</v>
      </c>
    </row>
    <row r="202" spans="1:18">
      <c r="A202" s="109">
        <v>201</v>
      </c>
      <c r="D202" s="33" t="s">
        <v>784</v>
      </c>
      <c r="E202" s="39">
        <v>40304.438194444447</v>
      </c>
      <c r="F202" s="31" t="s">
        <v>394</v>
      </c>
      <c r="G202" s="31" t="s">
        <v>373</v>
      </c>
      <c r="H202" s="31" t="s">
        <v>780</v>
      </c>
      <c r="I202" s="31" t="s">
        <v>552</v>
      </c>
      <c r="J202" s="31" t="s">
        <v>595</v>
      </c>
      <c r="L202" s="31">
        <v>13</v>
      </c>
      <c r="M202" s="73" t="s">
        <v>112</v>
      </c>
      <c r="O202" s="31"/>
      <c r="P202" s="31" t="s">
        <v>406</v>
      </c>
      <c r="Q202" s="31"/>
      <c r="R202" s="38" t="s">
        <v>737</v>
      </c>
    </row>
    <row r="203" spans="1:18" ht="25.5">
      <c r="A203" s="109">
        <v>202</v>
      </c>
      <c r="D203" s="33" t="s">
        <v>784</v>
      </c>
      <c r="E203" s="39">
        <v>40304.439583333333</v>
      </c>
      <c r="F203" s="31" t="s">
        <v>394</v>
      </c>
      <c r="G203" s="31" t="s">
        <v>373</v>
      </c>
      <c r="H203" s="31" t="s">
        <v>777</v>
      </c>
      <c r="I203" s="31" t="s">
        <v>552</v>
      </c>
      <c r="J203" s="31" t="s">
        <v>392</v>
      </c>
      <c r="L203" s="31">
        <v>5</v>
      </c>
      <c r="M203" s="73" t="s">
        <v>75</v>
      </c>
      <c r="O203" s="31"/>
      <c r="P203" s="31" t="s">
        <v>408</v>
      </c>
      <c r="Q203" s="31"/>
      <c r="R203" s="38" t="s">
        <v>737</v>
      </c>
    </row>
    <row r="204" spans="1:18" ht="38.25">
      <c r="A204" s="109">
        <v>203</v>
      </c>
      <c r="D204" s="33" t="s">
        <v>784</v>
      </c>
      <c r="E204" s="39">
        <v>40304.440972222234</v>
      </c>
      <c r="F204" s="31" t="s">
        <v>394</v>
      </c>
      <c r="G204" s="31" t="s">
        <v>373</v>
      </c>
      <c r="H204" s="31" t="s">
        <v>777</v>
      </c>
      <c r="I204" s="31" t="s">
        <v>552</v>
      </c>
      <c r="J204" s="31" t="s">
        <v>392</v>
      </c>
      <c r="L204" s="31">
        <v>5</v>
      </c>
      <c r="M204" s="73" t="s">
        <v>113</v>
      </c>
      <c r="O204" s="31"/>
      <c r="P204" s="31" t="s">
        <v>410</v>
      </c>
      <c r="Q204" s="31"/>
      <c r="R204" s="38" t="s">
        <v>737</v>
      </c>
    </row>
    <row r="205" spans="1:18" ht="51">
      <c r="A205" s="109">
        <v>204</v>
      </c>
      <c r="D205" s="33" t="s">
        <v>784</v>
      </c>
      <c r="E205" s="39">
        <v>40304.443055555574</v>
      </c>
      <c r="F205" s="31" t="s">
        <v>394</v>
      </c>
      <c r="G205" s="31" t="s">
        <v>373</v>
      </c>
      <c r="H205" s="31" t="s">
        <v>778</v>
      </c>
      <c r="I205" s="31" t="s">
        <v>552</v>
      </c>
      <c r="J205" s="31" t="s">
        <v>392</v>
      </c>
      <c r="L205" s="31">
        <v>1</v>
      </c>
      <c r="M205" s="73" t="s">
        <v>114</v>
      </c>
      <c r="O205" s="31"/>
      <c r="P205" s="31" t="s">
        <v>413</v>
      </c>
      <c r="Q205" s="31"/>
      <c r="R205" s="38" t="s">
        <v>737</v>
      </c>
    </row>
    <row r="206" spans="1:18" ht="25.5">
      <c r="A206" s="109">
        <v>205</v>
      </c>
      <c r="D206" s="33" t="s">
        <v>784</v>
      </c>
      <c r="E206" s="39">
        <v>40304.44375000002</v>
      </c>
      <c r="F206" s="31" t="s">
        <v>394</v>
      </c>
      <c r="G206" s="31" t="s">
        <v>373</v>
      </c>
      <c r="H206" s="31" t="s">
        <v>399</v>
      </c>
      <c r="I206" s="31" t="s">
        <v>552</v>
      </c>
      <c r="J206" s="31" t="s">
        <v>595</v>
      </c>
      <c r="L206" s="31">
        <v>13</v>
      </c>
      <c r="M206" s="73" t="s">
        <v>115</v>
      </c>
      <c r="O206" s="31"/>
      <c r="P206" s="31" t="s">
        <v>587</v>
      </c>
      <c r="Q206" s="31"/>
      <c r="R206" s="38" t="s">
        <v>737</v>
      </c>
    </row>
    <row r="207" spans="1:18" ht="25.5">
      <c r="A207" s="109">
        <v>206</v>
      </c>
      <c r="D207" s="33" t="s">
        <v>784</v>
      </c>
      <c r="E207" s="58">
        <v>40304.444444444445</v>
      </c>
      <c r="F207" s="31" t="s">
        <v>740</v>
      </c>
      <c r="G207" s="31" t="s">
        <v>603</v>
      </c>
      <c r="H207" s="40" t="s">
        <v>604</v>
      </c>
      <c r="I207" s="31" t="s">
        <v>174</v>
      </c>
      <c r="J207" s="40" t="s">
        <v>606</v>
      </c>
      <c r="L207" s="40"/>
      <c r="M207" s="73" t="s">
        <v>101</v>
      </c>
      <c r="N207" s="40"/>
      <c r="O207" s="31"/>
      <c r="P207" s="31" t="s">
        <v>607</v>
      </c>
      <c r="Q207" s="31" t="s">
        <v>608</v>
      </c>
      <c r="R207" s="38" t="s">
        <v>646</v>
      </c>
    </row>
    <row r="208" spans="1:18" ht="63.75">
      <c r="A208" s="109">
        <v>207</v>
      </c>
      <c r="D208" s="33" t="s">
        <v>784</v>
      </c>
      <c r="E208" s="58">
        <v>40304.444444444467</v>
      </c>
      <c r="F208" s="31" t="s">
        <v>422</v>
      </c>
      <c r="G208" s="42"/>
      <c r="H208" s="42"/>
      <c r="I208" s="31" t="s">
        <v>190</v>
      </c>
      <c r="J208" s="40" t="s">
        <v>595</v>
      </c>
      <c r="M208" s="73" t="s">
        <v>116</v>
      </c>
      <c r="O208" s="31"/>
      <c r="P208" s="38" t="s">
        <v>13</v>
      </c>
      <c r="Q208" s="31"/>
      <c r="R208" s="38" t="s">
        <v>423</v>
      </c>
    </row>
    <row r="209" spans="1:18" ht="51">
      <c r="A209" s="109">
        <v>208</v>
      </c>
      <c r="B209" s="80"/>
      <c r="C209" s="81"/>
      <c r="D209" s="33" t="s">
        <v>784</v>
      </c>
      <c r="E209" s="82">
        <v>40304.447916666664</v>
      </c>
      <c r="F209" s="79" t="s">
        <v>394</v>
      </c>
      <c r="G209" s="79" t="s">
        <v>373</v>
      </c>
      <c r="H209" s="79" t="s">
        <v>698</v>
      </c>
      <c r="I209" s="31" t="s">
        <v>552</v>
      </c>
      <c r="J209" s="79" t="s">
        <v>553</v>
      </c>
      <c r="L209" s="79"/>
      <c r="M209" s="85" t="s">
        <v>135</v>
      </c>
      <c r="N209" s="79"/>
      <c r="O209" s="79"/>
      <c r="P209" s="79" t="s">
        <v>283</v>
      </c>
      <c r="Q209" s="79" t="s">
        <v>284</v>
      </c>
      <c r="R209" s="79" t="s">
        <v>270</v>
      </c>
    </row>
    <row r="210" spans="1:18" ht="51">
      <c r="A210" s="109">
        <v>209</v>
      </c>
      <c r="D210" s="33" t="s">
        <v>784</v>
      </c>
      <c r="E210" s="34">
        <v>40304.448611111111</v>
      </c>
      <c r="F210" s="56" t="s">
        <v>422</v>
      </c>
      <c r="G210" s="56" t="s">
        <v>735</v>
      </c>
      <c r="H210" s="56" t="s">
        <v>301</v>
      </c>
      <c r="I210" s="31" t="s">
        <v>172</v>
      </c>
      <c r="J210" s="56" t="s">
        <v>303</v>
      </c>
      <c r="K210" s="56"/>
      <c r="M210" s="56" t="s">
        <v>288</v>
      </c>
      <c r="O210" s="31"/>
      <c r="P210" s="56" t="s">
        <v>288</v>
      </c>
      <c r="Q210" s="31"/>
      <c r="R210" s="56" t="s">
        <v>308</v>
      </c>
    </row>
    <row r="211" spans="1:18" ht="38.25">
      <c r="A211" s="109">
        <v>210</v>
      </c>
      <c r="D211" s="33" t="s">
        <v>784</v>
      </c>
      <c r="E211" s="39">
        <v>40304.458333333336</v>
      </c>
      <c r="F211" s="40" t="s">
        <v>394</v>
      </c>
      <c r="G211" s="31" t="s">
        <v>373</v>
      </c>
      <c r="H211" s="40" t="s">
        <v>653</v>
      </c>
      <c r="I211" s="31" t="s">
        <v>552</v>
      </c>
      <c r="J211" s="40" t="s">
        <v>595</v>
      </c>
      <c r="M211" s="73" t="s">
        <v>117</v>
      </c>
      <c r="O211" s="31"/>
      <c r="P211" s="40" t="s">
        <v>418</v>
      </c>
      <c r="Q211" s="31"/>
      <c r="R211" s="38" t="s">
        <v>737</v>
      </c>
    </row>
    <row r="212" spans="1:18">
      <c r="A212" s="109">
        <v>211</v>
      </c>
      <c r="D212" s="33" t="s">
        <v>784</v>
      </c>
      <c r="E212" s="58">
        <v>40304.458333333336</v>
      </c>
      <c r="F212" s="31" t="s">
        <v>740</v>
      </c>
      <c r="G212" s="31" t="s">
        <v>609</v>
      </c>
      <c r="H212" s="40" t="s">
        <v>604</v>
      </c>
      <c r="I212" s="31" t="s">
        <v>552</v>
      </c>
      <c r="J212" s="40" t="s">
        <v>595</v>
      </c>
      <c r="L212" s="40"/>
      <c r="M212" s="73" t="s">
        <v>102</v>
      </c>
      <c r="N212" s="40"/>
      <c r="O212" s="31"/>
      <c r="P212" s="31" t="s">
        <v>637</v>
      </c>
      <c r="Q212" s="31"/>
      <c r="R212" s="38" t="s">
        <v>646</v>
      </c>
    </row>
    <row r="213" spans="1:18" ht="102">
      <c r="A213" s="109">
        <v>212</v>
      </c>
      <c r="D213" s="33" t="s">
        <v>784</v>
      </c>
      <c r="E213" s="34">
        <v>40304.46875</v>
      </c>
      <c r="F213" s="38" t="s">
        <v>619</v>
      </c>
      <c r="G213" s="31" t="s">
        <v>232</v>
      </c>
      <c r="H213" s="38"/>
      <c r="I213" s="31" t="s">
        <v>192</v>
      </c>
      <c r="J213" s="31" t="s">
        <v>239</v>
      </c>
      <c r="K213" s="31" t="s">
        <v>241</v>
      </c>
      <c r="M213" s="75" t="s">
        <v>240</v>
      </c>
      <c r="N213" s="38" t="s">
        <v>242</v>
      </c>
      <c r="O213" s="38" t="s">
        <v>243</v>
      </c>
      <c r="P213" s="38" t="s">
        <v>244</v>
      </c>
      <c r="Q213" s="38" t="s">
        <v>244</v>
      </c>
      <c r="R213" s="38" t="s">
        <v>227</v>
      </c>
    </row>
    <row r="214" spans="1:18" ht="25.5">
      <c r="A214" s="109">
        <v>213</v>
      </c>
      <c r="D214" s="33" t="s">
        <v>784</v>
      </c>
      <c r="E214" s="58">
        <v>40304.472222222219</v>
      </c>
      <c r="F214" s="31" t="s">
        <v>422</v>
      </c>
      <c r="G214" s="31" t="s">
        <v>635</v>
      </c>
      <c r="H214" s="40" t="s">
        <v>604</v>
      </c>
      <c r="I214" s="31" t="s">
        <v>179</v>
      </c>
      <c r="J214" s="40" t="s">
        <v>736</v>
      </c>
      <c r="K214" s="99"/>
      <c r="L214" s="40"/>
      <c r="M214" s="73" t="s">
        <v>103</v>
      </c>
      <c r="N214" s="40"/>
      <c r="O214" s="31"/>
      <c r="P214" s="31" t="s">
        <v>636</v>
      </c>
      <c r="Q214" s="31"/>
      <c r="R214" s="38" t="s">
        <v>646</v>
      </c>
    </row>
    <row r="215" spans="1:18" ht="38.25">
      <c r="A215" s="109">
        <v>214</v>
      </c>
      <c r="D215" s="33" t="s">
        <v>784</v>
      </c>
      <c r="E215" s="39">
        <v>40304.481944444444</v>
      </c>
      <c r="F215" s="31" t="s">
        <v>394</v>
      </c>
      <c r="G215" s="31" t="s">
        <v>373</v>
      </c>
      <c r="H215" s="31" t="s">
        <v>777</v>
      </c>
      <c r="I215" s="31" t="s">
        <v>552</v>
      </c>
      <c r="J215" s="31" t="s">
        <v>392</v>
      </c>
      <c r="L215" s="31">
        <v>5</v>
      </c>
      <c r="M215" s="73" t="s">
        <v>113</v>
      </c>
      <c r="O215" s="31"/>
      <c r="P215" s="31" t="s">
        <v>409</v>
      </c>
      <c r="Q215" s="31"/>
      <c r="R215" s="38" t="s">
        <v>737</v>
      </c>
    </row>
    <row r="216" spans="1:18" ht="25.5">
      <c r="A216" s="109">
        <v>215</v>
      </c>
      <c r="D216" s="33" t="s">
        <v>784</v>
      </c>
      <c r="E216" s="58">
        <v>40304.486111111109</v>
      </c>
      <c r="F216" s="31" t="s">
        <v>422</v>
      </c>
      <c r="G216" s="42"/>
      <c r="H216" s="42"/>
      <c r="I216" s="31" t="s">
        <v>190</v>
      </c>
      <c r="J216" s="40" t="s">
        <v>595</v>
      </c>
      <c r="M216" s="73" t="s">
        <v>104</v>
      </c>
      <c r="O216" s="31"/>
      <c r="P216" s="38" t="s">
        <v>11</v>
      </c>
      <c r="Q216" s="31"/>
      <c r="R216" s="38" t="s">
        <v>423</v>
      </c>
    </row>
    <row r="217" spans="1:18" ht="76.5">
      <c r="A217" s="109">
        <v>216</v>
      </c>
      <c r="D217" s="33" t="s">
        <v>784</v>
      </c>
      <c r="E217" s="58">
        <v>40304.499305555553</v>
      </c>
      <c r="F217" s="31" t="s">
        <v>422</v>
      </c>
      <c r="G217" s="42"/>
      <c r="H217" s="42"/>
      <c r="I217" s="31" t="s">
        <v>190</v>
      </c>
      <c r="J217" s="40" t="s">
        <v>595</v>
      </c>
      <c r="M217" s="73" t="s">
        <v>105</v>
      </c>
      <c r="O217" s="31"/>
      <c r="P217" s="38" t="s">
        <v>647</v>
      </c>
      <c r="Q217" s="31"/>
      <c r="R217" s="38" t="s">
        <v>423</v>
      </c>
    </row>
    <row r="218" spans="1:18" ht="38.25">
      <c r="A218" s="109">
        <v>217</v>
      </c>
      <c r="B218" s="32">
        <v>40304</v>
      </c>
      <c r="C218" s="41">
        <v>0.5</v>
      </c>
      <c r="D218" s="33" t="s">
        <v>784</v>
      </c>
      <c r="E218" s="34">
        <v>40304.5</v>
      </c>
      <c r="F218" s="31" t="s">
        <v>740</v>
      </c>
      <c r="G218" s="42" t="s">
        <v>735</v>
      </c>
      <c r="H218" s="42" t="s">
        <v>741</v>
      </c>
      <c r="I218" s="31" t="s">
        <v>742</v>
      </c>
      <c r="J218" s="31" t="s">
        <v>743</v>
      </c>
      <c r="M218" s="73" t="s">
        <v>744</v>
      </c>
      <c r="N218" s="31" t="s">
        <v>745</v>
      </c>
      <c r="O218" s="31"/>
      <c r="P218" s="31" t="s">
        <v>746</v>
      </c>
      <c r="Q218" s="31"/>
      <c r="R218" s="38" t="s">
        <v>747</v>
      </c>
    </row>
    <row r="219" spans="1:18" ht="38.25">
      <c r="A219" s="109">
        <v>218</v>
      </c>
      <c r="B219" s="32">
        <v>40304</v>
      </c>
      <c r="C219" s="41">
        <v>0.5</v>
      </c>
      <c r="D219" s="33" t="s">
        <v>787</v>
      </c>
      <c r="E219" s="34">
        <v>40304.500694444447</v>
      </c>
      <c r="F219" s="31" t="s">
        <v>740</v>
      </c>
      <c r="G219" s="42" t="s">
        <v>735</v>
      </c>
      <c r="H219" s="42" t="s">
        <v>741</v>
      </c>
      <c r="I219" s="31" t="s">
        <v>742</v>
      </c>
      <c r="J219" s="31" t="s">
        <v>743</v>
      </c>
      <c r="M219" s="73" t="s">
        <v>744</v>
      </c>
      <c r="N219" s="31" t="s">
        <v>745</v>
      </c>
      <c r="O219" s="31"/>
      <c r="P219" s="31" t="s">
        <v>746</v>
      </c>
      <c r="Q219" s="31"/>
      <c r="R219" s="38" t="s">
        <v>747</v>
      </c>
    </row>
    <row r="220" spans="1:18" ht="25.5">
      <c r="A220" s="109">
        <v>219</v>
      </c>
      <c r="D220" s="33" t="s">
        <v>787</v>
      </c>
      <c r="E220" s="39">
        <v>40304.520833333336</v>
      </c>
      <c r="F220" s="31" t="s">
        <v>394</v>
      </c>
      <c r="G220" s="31" t="s">
        <v>373</v>
      </c>
      <c r="H220" s="31" t="s">
        <v>779</v>
      </c>
      <c r="I220" s="31" t="s">
        <v>552</v>
      </c>
      <c r="J220" s="31" t="s">
        <v>392</v>
      </c>
      <c r="L220" s="31">
        <v>7</v>
      </c>
      <c r="M220" s="31" t="s">
        <v>405</v>
      </c>
      <c r="O220" s="31"/>
      <c r="P220" s="31" t="s">
        <v>405</v>
      </c>
      <c r="Q220" s="31"/>
      <c r="R220" s="38" t="s">
        <v>737</v>
      </c>
    </row>
    <row r="221" spans="1:18" ht="51">
      <c r="A221" s="109">
        <v>220</v>
      </c>
      <c r="D221" s="33" t="s">
        <v>787</v>
      </c>
      <c r="E221" s="39">
        <v>40304.521527777775</v>
      </c>
      <c r="F221" s="40" t="s">
        <v>394</v>
      </c>
      <c r="G221" s="31" t="s">
        <v>373</v>
      </c>
      <c r="H221" s="40" t="s">
        <v>780</v>
      </c>
      <c r="I221" s="31" t="s">
        <v>552</v>
      </c>
      <c r="J221" s="40" t="s">
        <v>595</v>
      </c>
      <c r="L221" s="31">
        <v>13</v>
      </c>
      <c r="M221" s="40" t="s">
        <v>416</v>
      </c>
      <c r="O221" s="31"/>
      <c r="P221" s="40" t="s">
        <v>416</v>
      </c>
      <c r="Q221" s="31"/>
      <c r="R221" s="38" t="s">
        <v>737</v>
      </c>
    </row>
    <row r="222" spans="1:18" ht="76.5">
      <c r="A222" s="109">
        <v>221</v>
      </c>
      <c r="D222" s="33" t="s">
        <v>787</v>
      </c>
      <c r="E222" s="58">
        <v>40304.541666666664</v>
      </c>
      <c r="F222" s="38" t="s">
        <v>740</v>
      </c>
      <c r="G222" s="31" t="s">
        <v>735</v>
      </c>
      <c r="H222" s="40"/>
      <c r="I222" s="31" t="s">
        <v>170</v>
      </c>
      <c r="J222" s="40"/>
      <c r="K222" s="31" t="s">
        <v>55</v>
      </c>
      <c r="L222" s="40"/>
      <c r="M222" s="73"/>
      <c r="N222" s="40" t="s">
        <v>575</v>
      </c>
      <c r="O222" s="31"/>
      <c r="P222" s="38" t="s">
        <v>572</v>
      </c>
      <c r="Q222" s="31"/>
      <c r="R222" s="38" t="s">
        <v>561</v>
      </c>
    </row>
    <row r="223" spans="1:18" ht="63.75">
      <c r="A223" s="109">
        <v>222</v>
      </c>
      <c r="D223" s="33" t="s">
        <v>787</v>
      </c>
      <c r="E223" s="34">
        <v>40304.552083333336</v>
      </c>
      <c r="F223" s="38" t="s">
        <v>740</v>
      </c>
      <c r="G223" s="31" t="s">
        <v>232</v>
      </c>
      <c r="H223" s="38" t="s">
        <v>653</v>
      </c>
      <c r="I223" s="31" t="s">
        <v>552</v>
      </c>
      <c r="J223" s="31" t="s">
        <v>225</v>
      </c>
      <c r="M223" s="75" t="s">
        <v>118</v>
      </c>
      <c r="N223" s="38" t="s">
        <v>245</v>
      </c>
      <c r="O223" s="38"/>
      <c r="P223" s="38" t="s">
        <v>246</v>
      </c>
      <c r="Q223" s="38" t="s">
        <v>246</v>
      </c>
      <c r="R223" s="38" t="s">
        <v>227</v>
      </c>
    </row>
    <row r="224" spans="1:18" ht="127.5">
      <c r="A224" s="109">
        <v>223</v>
      </c>
      <c r="D224" s="33" t="s">
        <v>787</v>
      </c>
      <c r="E224" s="34">
        <v>40304.59375</v>
      </c>
      <c r="F224" s="38" t="s">
        <v>740</v>
      </c>
      <c r="G224" s="31" t="s">
        <v>232</v>
      </c>
      <c r="H224" s="35" t="s">
        <v>247</v>
      </c>
      <c r="I224" s="31" t="s">
        <v>552</v>
      </c>
      <c r="J224" s="31" t="s">
        <v>248</v>
      </c>
      <c r="M224" s="38" t="s">
        <v>249</v>
      </c>
      <c r="N224" s="38" t="s">
        <v>250</v>
      </c>
      <c r="O224" s="38"/>
      <c r="P224" s="38" t="s">
        <v>251</v>
      </c>
      <c r="Q224" s="38" t="s">
        <v>251</v>
      </c>
      <c r="R224" s="38" t="s">
        <v>227</v>
      </c>
    </row>
    <row r="225" spans="1:18" ht="38.25">
      <c r="A225" s="109">
        <v>224</v>
      </c>
      <c r="D225" s="33" t="s">
        <v>787</v>
      </c>
      <c r="E225" s="104">
        <v>40304.635416666664</v>
      </c>
      <c r="F225" s="106" t="s">
        <v>740</v>
      </c>
      <c r="G225" s="106" t="s">
        <v>735</v>
      </c>
      <c r="H225" s="56" t="s">
        <v>301</v>
      </c>
      <c r="I225" s="31"/>
      <c r="J225" s="56" t="s">
        <v>306</v>
      </c>
      <c r="K225" s="56"/>
      <c r="M225" s="56" t="s">
        <v>299</v>
      </c>
      <c r="O225" s="31"/>
      <c r="P225" s="56" t="s">
        <v>299</v>
      </c>
      <c r="Q225" s="31"/>
      <c r="R225" s="56" t="s">
        <v>308</v>
      </c>
    </row>
    <row r="226" spans="1:18" ht="216.75">
      <c r="A226" s="109">
        <v>225</v>
      </c>
      <c r="B226" s="32">
        <v>40304</v>
      </c>
      <c r="C226" s="33">
        <v>40304.666666666664</v>
      </c>
      <c r="D226" s="33" t="s">
        <v>787</v>
      </c>
      <c r="E226" s="102">
        <v>40304.666666666664</v>
      </c>
      <c r="F226" s="97" t="s">
        <v>422</v>
      </c>
      <c r="G226" s="97" t="s">
        <v>735</v>
      </c>
      <c r="H226" s="40" t="s">
        <v>739</v>
      </c>
      <c r="I226" s="31" t="s">
        <v>169</v>
      </c>
      <c r="J226" s="40" t="s">
        <v>736</v>
      </c>
      <c r="K226" s="31" t="s">
        <v>774</v>
      </c>
      <c r="L226" s="40" t="s">
        <v>733</v>
      </c>
      <c r="M226" s="31" t="s">
        <v>774</v>
      </c>
      <c r="N226" s="40"/>
      <c r="O226" s="31"/>
      <c r="P226" s="31" t="s">
        <v>360</v>
      </c>
      <c r="Q226" s="31"/>
      <c r="R226" s="38" t="s">
        <v>737</v>
      </c>
    </row>
    <row r="227" spans="1:18">
      <c r="A227" s="109">
        <v>226</v>
      </c>
      <c r="B227" s="47">
        <v>40305</v>
      </c>
      <c r="C227" s="51">
        <v>0.66666666666666663</v>
      </c>
      <c r="D227" s="33" t="s">
        <v>783</v>
      </c>
      <c r="E227" s="103">
        <v>40304.666666666664</v>
      </c>
      <c r="F227" s="105"/>
      <c r="G227" s="107"/>
      <c r="H227" s="53"/>
      <c r="I227" s="35"/>
      <c r="J227" s="35"/>
      <c r="L227" s="35"/>
      <c r="M227" s="77"/>
      <c r="N227" s="35"/>
      <c r="O227" s="35"/>
      <c r="P227" s="55" t="s">
        <v>560</v>
      </c>
      <c r="Q227" s="35"/>
      <c r="R227" s="35" t="s">
        <v>737</v>
      </c>
    </row>
    <row r="228" spans="1:18" ht="51">
      <c r="A228" s="109">
        <v>227</v>
      </c>
      <c r="C228" s="59"/>
      <c r="D228" s="33" t="s">
        <v>787</v>
      </c>
      <c r="E228" s="111">
        <v>40304.708333333336</v>
      </c>
      <c r="F228" s="24" t="s">
        <v>36</v>
      </c>
      <c r="G228" t="s">
        <v>2</v>
      </c>
      <c r="I228" s="31"/>
      <c r="M228" s="31"/>
      <c r="O228" s="31"/>
      <c r="Q228" s="31"/>
      <c r="R228" s="38" t="s">
        <v>3</v>
      </c>
    </row>
    <row r="229" spans="1:18" ht="38.25">
      <c r="A229" s="109">
        <v>228</v>
      </c>
      <c r="C229" s="59"/>
      <c r="D229" s="33" t="s">
        <v>787</v>
      </c>
      <c r="E229" s="94">
        <v>40304.75</v>
      </c>
      <c r="F229" s="95"/>
      <c r="G229" s="97"/>
      <c r="I229" s="31"/>
      <c r="K229" s="73" t="s">
        <v>201</v>
      </c>
      <c r="M229" s="31"/>
      <c r="O229" s="31"/>
      <c r="P229" s="73" t="s">
        <v>201</v>
      </c>
      <c r="Q229" s="31"/>
      <c r="R229" s="38"/>
    </row>
    <row r="230" spans="1:18" ht="63.75">
      <c r="A230" s="109">
        <v>229</v>
      </c>
      <c r="D230" s="33" t="s">
        <v>787</v>
      </c>
      <c r="E230" s="94">
        <v>40304.75</v>
      </c>
      <c r="F230" s="97"/>
      <c r="G230" s="97"/>
      <c r="H230" s="40"/>
      <c r="I230" s="31"/>
      <c r="J230" s="40"/>
      <c r="K230" s="73" t="s">
        <v>0</v>
      </c>
      <c r="L230" s="40"/>
      <c r="M230" s="31"/>
      <c r="N230" s="40"/>
      <c r="O230" s="31"/>
      <c r="P230" s="73" t="s">
        <v>0</v>
      </c>
      <c r="Q230" s="31"/>
      <c r="R230" s="38"/>
    </row>
    <row r="231" spans="1:18" ht="25.5">
      <c r="A231" s="109">
        <v>230</v>
      </c>
      <c r="C231" s="59"/>
      <c r="D231" s="33" t="s">
        <v>787</v>
      </c>
      <c r="E231" s="94">
        <v>40304.75</v>
      </c>
      <c r="F231" s="95"/>
      <c r="G231" s="97"/>
      <c r="I231" s="31"/>
      <c r="K231" s="73" t="s">
        <v>203</v>
      </c>
      <c r="M231" s="31"/>
      <c r="O231" s="31"/>
      <c r="P231" s="73" t="s">
        <v>203</v>
      </c>
      <c r="Q231" s="31"/>
      <c r="R231" s="38"/>
    </row>
    <row r="232" spans="1:18" ht="25.5">
      <c r="A232" s="109">
        <v>231</v>
      </c>
      <c r="D232" s="33" t="s">
        <v>787</v>
      </c>
      <c r="E232" s="94">
        <v>40304.75</v>
      </c>
      <c r="F232" s="97"/>
      <c r="G232" s="97"/>
      <c r="H232" s="40"/>
      <c r="I232" s="31"/>
      <c r="J232" s="40"/>
      <c r="K232" s="73" t="s">
        <v>206</v>
      </c>
      <c r="L232" s="40"/>
      <c r="M232" s="31"/>
      <c r="N232" s="40"/>
      <c r="O232" s="31"/>
      <c r="P232" s="73" t="s">
        <v>206</v>
      </c>
      <c r="Q232" s="31"/>
      <c r="R232" s="38"/>
    </row>
    <row r="233" spans="1:18">
      <c r="A233" s="109">
        <v>232</v>
      </c>
      <c r="C233" s="59"/>
      <c r="D233" s="33" t="s">
        <v>787</v>
      </c>
      <c r="E233" s="94">
        <v>40304.75</v>
      </c>
      <c r="F233" s="95"/>
      <c r="G233" s="97"/>
      <c r="I233" s="31"/>
      <c r="K233" s="73" t="s">
        <v>200</v>
      </c>
      <c r="M233" s="31"/>
      <c r="O233" s="31"/>
      <c r="P233" s="73" t="s">
        <v>200</v>
      </c>
      <c r="Q233" s="31"/>
      <c r="R233" s="38"/>
    </row>
    <row r="234" spans="1:18" ht="38.25">
      <c r="A234" s="109">
        <v>233</v>
      </c>
      <c r="C234" s="59"/>
      <c r="D234" s="33" t="s">
        <v>787</v>
      </c>
      <c r="E234" s="94">
        <v>40304.75</v>
      </c>
      <c r="F234" s="95"/>
      <c r="G234" s="97"/>
      <c r="I234" s="31"/>
      <c r="K234" s="100" t="s">
        <v>198</v>
      </c>
      <c r="M234" s="31"/>
      <c r="O234" s="31"/>
      <c r="P234" s="100" t="s">
        <v>198</v>
      </c>
      <c r="Q234" s="31"/>
      <c r="R234" s="38"/>
    </row>
    <row r="235" spans="1:18" ht="38.25">
      <c r="A235" s="109">
        <v>234</v>
      </c>
      <c r="C235" s="59"/>
      <c r="D235" s="33" t="s">
        <v>787</v>
      </c>
      <c r="E235" s="94">
        <v>40304.75</v>
      </c>
      <c r="F235" s="95"/>
      <c r="G235" s="97"/>
      <c r="I235" s="31"/>
      <c r="K235" s="73" t="s">
        <v>409</v>
      </c>
      <c r="M235" s="31"/>
      <c r="O235" s="31"/>
      <c r="P235" s="73" t="s">
        <v>409</v>
      </c>
      <c r="Q235" s="31"/>
      <c r="R235" s="38"/>
    </row>
    <row r="236" spans="1:18">
      <c r="A236" s="109">
        <v>235</v>
      </c>
      <c r="C236" s="59"/>
      <c r="D236" s="33" t="s">
        <v>787</v>
      </c>
      <c r="E236" s="94">
        <v>40304.75</v>
      </c>
      <c r="F236" s="95"/>
      <c r="G236" s="97"/>
      <c r="I236" s="31"/>
      <c r="K236" s="100" t="s">
        <v>202</v>
      </c>
      <c r="M236" s="31"/>
      <c r="O236" s="31"/>
      <c r="P236" s="100" t="s">
        <v>202</v>
      </c>
      <c r="Q236" s="31"/>
      <c r="R236" s="38"/>
    </row>
    <row r="237" spans="1:18" ht="25.5">
      <c r="A237" s="109">
        <v>236</v>
      </c>
      <c r="C237" s="59"/>
      <c r="D237" s="33" t="s">
        <v>787</v>
      </c>
      <c r="E237" s="94">
        <v>40304.75</v>
      </c>
      <c r="F237" s="95"/>
      <c r="G237" s="97"/>
      <c r="I237" s="31"/>
      <c r="K237" s="100" t="s">
        <v>199</v>
      </c>
      <c r="M237" s="31"/>
      <c r="O237" s="31"/>
      <c r="P237" s="100" t="s">
        <v>199</v>
      </c>
      <c r="Q237" s="31"/>
      <c r="R237" s="38"/>
    </row>
    <row r="238" spans="1:18" ht="25.5">
      <c r="A238" s="109">
        <v>237</v>
      </c>
      <c r="C238" s="59"/>
      <c r="D238" s="33" t="s">
        <v>787</v>
      </c>
      <c r="E238" s="94">
        <v>40304.75</v>
      </c>
      <c r="F238" s="95"/>
      <c r="G238" s="97"/>
      <c r="I238" s="31"/>
      <c r="K238" s="73" t="s">
        <v>204</v>
      </c>
      <c r="M238" s="31"/>
      <c r="O238" s="31"/>
      <c r="P238" s="73" t="s">
        <v>204</v>
      </c>
      <c r="Q238" s="31"/>
      <c r="R238" s="38"/>
    </row>
    <row r="239" spans="1:18" ht="25.5">
      <c r="A239" s="109">
        <v>238</v>
      </c>
      <c r="C239" s="59"/>
      <c r="D239" s="33" t="s">
        <v>787</v>
      </c>
      <c r="E239" s="94">
        <v>40304.75</v>
      </c>
      <c r="F239" s="95"/>
      <c r="G239" s="97"/>
      <c r="I239" s="31"/>
      <c r="K239" s="73" t="s">
        <v>205</v>
      </c>
      <c r="M239" s="31"/>
      <c r="O239" s="31"/>
      <c r="P239" s="73" t="s">
        <v>205</v>
      </c>
      <c r="Q239" s="31"/>
      <c r="R239" s="38"/>
    </row>
    <row r="240" spans="1:18" ht="63.75">
      <c r="A240" s="109">
        <v>239</v>
      </c>
      <c r="C240" s="59"/>
      <c r="D240" s="33" t="s">
        <v>787</v>
      </c>
      <c r="E240" s="94">
        <v>40304.75</v>
      </c>
      <c r="F240" s="95"/>
      <c r="G240" s="97"/>
      <c r="I240" s="31"/>
      <c r="K240" s="73" t="s">
        <v>413</v>
      </c>
      <c r="M240" s="31"/>
      <c r="O240" s="31"/>
      <c r="P240" s="73" t="s">
        <v>413</v>
      </c>
      <c r="Q240" s="31"/>
      <c r="R240" s="38"/>
    </row>
    <row r="500" spans="4:4">
      <c r="D500" s="33" t="s">
        <v>785</v>
      </c>
    </row>
    <row r="501" spans="4:4">
      <c r="D501" s="33" t="s">
        <v>784</v>
      </c>
    </row>
    <row r="502" spans="4:4">
      <c r="D502" s="33" t="s">
        <v>783</v>
      </c>
    </row>
    <row r="503" spans="4:4">
      <c r="D503" s="33" t="s">
        <v>786</v>
      </c>
    </row>
    <row r="504" spans="4:4">
      <c r="D504" s="33" t="s">
        <v>787</v>
      </c>
    </row>
  </sheetData>
  <customSheetViews>
    <customSheetView guid="{795CE737-CFBD-47E1-A5F3-F6879A411FBA}" showPageBreaks="1" fitToPage="1" showAutoFilter="1" topLeftCell="H1">
      <pane ySplit="1" topLeftCell="A2" activePane="bottomLeft" state="frozen"/>
      <selection pane="bottomLeft"/>
      <pageMargins left="0.75" right="0.5" top="0.53" bottom="0.55000000000000004" header="0.27" footer="0.3"/>
      <printOptions horizontalCentered="1" verticalCentered="1"/>
      <pageSetup paperSize="5" scale="35" fitToHeight="36" orientation="landscape" horizontalDpi="4294967292" r:id="rId1"/>
      <headerFooter>
        <oddHeader>&amp;L&amp;"Arial,Bold"&amp;12&amp;F&amp;R&amp;"Arial,Bold"&amp;12Exercise Only</oddHeader>
        <oddFooter>&amp;L&amp;"Arial,Bold"&amp;12Exercise Only&amp;C&amp;F
&amp;D&amp;T</oddFooter>
      </headerFooter>
      <autoFilter ref="B1:R1"/>
    </customSheetView>
    <customSheetView guid="{6D5C82C1-3F67-4DCA-9285-CC6695655904}" showPageBreaks="1" fitToPage="1" showAutoFilter="1" topLeftCell="B1">
      <pane ySplit="1" topLeftCell="A2" activePane="bottomLeft" state="frozen"/>
      <selection pane="bottomLeft" activeCell="B1" sqref="A1:IV65536"/>
      <pageMargins left="0.75" right="0.5" top="0.53" bottom="0.55000000000000004" header="0.27" footer="0.3"/>
      <printOptions horizontalCentered="1" verticalCentered="1"/>
      <pageSetup paperSize="5" scale="35" fitToHeight="36" orientation="landscape" horizontalDpi="4294967292" r:id="rId2"/>
      <headerFooter>
        <oddHeader>&amp;L&amp;"Arial,Bold"&amp;12&amp;F&amp;R&amp;"Arial,Bold"&amp;12Exercise Only</oddHeader>
        <oddFooter>&amp;L&amp;"Arial,Bold"&amp;12Exercise Only&amp;C&amp;F
&amp;D&amp;T</oddFooter>
      </headerFooter>
      <autoFilter ref="B1:R1"/>
    </customSheetView>
    <customSheetView guid="{3225D158-A05E-4956-976D-0A8BB346F3CD}" scale="60" showPageBreaks="1" fitToPage="1" showAutoFilter="1" topLeftCell="K1">
      <pane ySplit="1" topLeftCell="A2" activePane="bottomLeft" state="frozen"/>
      <selection pane="bottomLeft" activeCell="T407" sqref="T407"/>
      <pageMargins left="0.75" right="0.5" top="0.53" bottom="0.55000000000000004" header="0.27" footer="0.3"/>
      <printOptions horizontalCentered="1" verticalCentered="1"/>
      <pageSetup paperSize="5" scale="35" fitToHeight="36" orientation="landscape" horizontalDpi="4294967292" r:id="rId3"/>
      <headerFooter>
        <oddHeader>&amp;L&amp;"Arial,Bold"&amp;12&amp;F&amp;R&amp;"Arial,Bold"&amp;12Exercise Only</oddHeader>
        <oddFooter>&amp;L&amp;"Arial,Bold"&amp;12Exercise Only&amp;C&amp;F
&amp;D&amp;T</oddFooter>
      </headerFooter>
      <autoFilter ref="B1:R1"/>
    </customSheetView>
    <customSheetView guid="{F5EBF6D5-E107-4B41-B3A9-DAA6D1B9A5D4}" scale="118" fitToPage="1" showAutoFilter="1" topLeftCell="M1">
      <pane ySplit="3" topLeftCell="A31" activePane="bottomLeft" state="frozen"/>
      <selection pane="bottomLeft" activeCell="P37" sqref="P37"/>
      <pageMargins left="0.75" right="0.75" top="0.53" bottom="1" header="0.27" footer="0.5"/>
      <pageSetup paperSize="5" scale="48" fitToHeight="36" orientation="landscape" r:id="rId4"/>
      <headerFooter>
        <oddHeader>&amp;L&amp;F&amp;RExercise Only</oddHeader>
        <oddFooter>&amp;LExercise Only&amp;C&amp;F
&amp;D&amp;T</oddFooter>
      </headerFooter>
      <autoFilter ref="B1:Q1"/>
    </customSheetView>
    <customSheetView guid="{5BBCA58B-D765-479F-9504-1E4279142E7F}" scale="60" fitToPage="1" showAutoFilter="1" topLeftCell="K1">
      <pane ySplit="1" topLeftCell="A2" activePane="bottomLeft" state="frozen"/>
      <selection pane="bottomLeft" activeCell="T407" sqref="T407"/>
      <pageMargins left="0.75" right="0.5" top="0.53" bottom="0.55000000000000004" header="0.27" footer="0.3"/>
      <printOptions horizontalCentered="1" verticalCentered="1"/>
      <pageSetup paperSize="5" scale="35" fitToHeight="36" orientation="landscape" horizontalDpi="4294967292" r:id="rId5"/>
      <headerFooter>
        <oddHeader>&amp;L&amp;"Arial,Bold"&amp;12&amp;F&amp;R&amp;"Arial,Bold"&amp;12Exercise Only</oddHeader>
        <oddFooter>&amp;L&amp;"Arial,Bold"&amp;12Exercise Only&amp;C&amp;F
&amp;D&amp;T</oddFooter>
      </headerFooter>
      <autoFilter ref="B1:R1"/>
    </customSheetView>
    <customSheetView guid="{C75FF036-91FF-4E44-9156-54230F8F355B}" scale="63" fitToPage="1" showAutoFilter="1" topLeftCell="K1">
      <pane ySplit="1" topLeftCell="A2" activePane="bottomLeft" state="frozen"/>
      <selection pane="bottomLeft" activeCell="O327" sqref="O327"/>
      <pageMargins left="0.75" right="0.5" top="0.53" bottom="0.55000000000000004" header="0.27" footer="0.3"/>
      <printOptions horizontalCentered="1" verticalCentered="1"/>
      <pageSetup paperSize="5" scale="35" fitToHeight="36" orientation="landscape" horizontalDpi="4294967292" r:id="rId6"/>
      <headerFooter>
        <oddHeader>&amp;L&amp;"Arial,Bold"&amp;12&amp;F&amp;R&amp;"Arial,Bold"&amp;12Exercise Only</oddHeader>
        <oddFooter>&amp;L&amp;"Arial,Bold"&amp;12Exercise Only&amp;C&amp;F
&amp;D&amp;T</oddFooter>
      </headerFooter>
      <autoFilter ref="B1:R1"/>
    </customSheetView>
    <customSheetView guid="{21D272AB-5ED3-41C2-B2AC-DB44252878EA}" scale="70" fitToPage="1" showAutoFilter="1" topLeftCell="G1">
      <pane ySplit="1" topLeftCell="A376" activePane="bottomLeft" state="frozen"/>
      <selection pane="bottomLeft" activeCell="J390" sqref="J390"/>
      <pageMargins left="0.75" right="0.5" top="0.53" bottom="0.55000000000000004" header="0.27" footer="0.3"/>
      <printOptions horizontalCentered="1" verticalCentered="1"/>
      <pageSetup paperSize="5" scale="35" fitToHeight="36" orientation="landscape" horizontalDpi="4294967292" r:id="rId7"/>
      <headerFooter>
        <oddHeader>&amp;L&amp;"Arial,Bold"&amp;12&amp;F&amp;R&amp;"Arial,Bold"&amp;12Exercise Only</oddHeader>
        <oddFooter>&amp;L&amp;"Arial,Bold"&amp;12Exercise Only&amp;C&amp;F
&amp;D&amp;T</oddFooter>
      </headerFooter>
      <autoFilter ref="B1:R1"/>
    </customSheetView>
  </customSheetViews>
  <phoneticPr fontId="1" type="noConversion"/>
  <conditionalFormatting sqref="A2:C2 E2:R2 A3:R5">
    <cfRule type="expression" dxfId="15" priority="37">
      <formula>$D2="Omitted"</formula>
    </cfRule>
    <cfRule type="expression" dxfId="14" priority="38">
      <formula>$D2="Deferred"</formula>
    </cfRule>
    <cfRule type="expression" dxfId="13" priority="39">
      <formula>$D2="Deleted"</formula>
    </cfRule>
    <cfRule type="expression" dxfId="12" priority="40">
      <formula>$D2="Injected"</formula>
    </cfRule>
  </conditionalFormatting>
  <conditionalFormatting sqref="D2:D393">
    <cfRule type="expression" dxfId="11" priority="9">
      <formula>$D2="Omitted"</formula>
    </cfRule>
    <cfRule type="expression" dxfId="10" priority="10">
      <formula>$D2="Deferred"</formula>
    </cfRule>
    <cfRule type="expression" dxfId="9" priority="11">
      <formula>$D2="Deleted"</formula>
    </cfRule>
    <cfRule type="expression" dxfId="8" priority="12">
      <formula>$D2="Injected"</formula>
    </cfRule>
  </conditionalFormatting>
  <conditionalFormatting sqref="D2">
    <cfRule type="expression" dxfId="7" priority="1">
      <formula>$D2="Omitted"</formula>
    </cfRule>
    <cfRule type="expression" dxfId="6" priority="2">
      <formula>$D2="Deferred"</formula>
    </cfRule>
    <cfRule type="expression" dxfId="5" priority="3">
      <formula>$D2="Deleted"</formula>
    </cfRule>
    <cfRule type="expression" dxfId="4" priority="4">
      <formula>$D2="Injected"</formula>
    </cfRule>
  </conditionalFormatting>
  <conditionalFormatting sqref="B3:C3">
    <cfRule type="expression" dxfId="3" priority="53">
      <formula>$D3="Omitted"</formula>
    </cfRule>
    <cfRule type="expression" dxfId="2" priority="54">
      <formula>E$2="Deferred"</formula>
    </cfRule>
    <cfRule type="expression" dxfId="1" priority="55">
      <formula>$D$2="Deleted"</formula>
    </cfRule>
    <cfRule type="expression" dxfId="0" priority="56">
      <formula>$D$2="Injected"</formula>
    </cfRule>
  </conditionalFormatting>
  <dataValidations count="1">
    <dataValidation type="list" allowBlank="1" showInputMessage="1" showErrorMessage="1" sqref="D2:D445">
      <formula1>$D$500:$D$504</formula1>
    </dataValidation>
  </dataValidations>
  <printOptions horizontalCentered="1" verticalCentered="1"/>
  <pageMargins left="0.75" right="0.5" top="0.53" bottom="0.55000000000000004" header="0.27" footer="0.3"/>
  <pageSetup paperSize="5" scale="49" fitToHeight="36" orientation="landscape" horizontalDpi="4294967292" r:id="rId8"/>
  <headerFooter>
    <oddHeader>&amp;L&amp;"Arial,Bold"&amp;12&amp;F&amp;R&amp;"Arial,Bold"&amp;12Exercise Only</oddHeader>
    <oddFooter>&amp;L&amp;"Arial,Bold"&amp;12Exercise Only&amp;C&amp;F
&amp;D&amp;T</oddFooter>
  </headerFooter>
</worksheet>
</file>

<file path=xl/worksheets/sheet2.xml><?xml version="1.0" encoding="utf-8"?>
<worksheet xmlns="http://schemas.openxmlformats.org/spreadsheetml/2006/main" xmlns:r="http://schemas.openxmlformats.org/officeDocument/2006/relationships">
  <sheetPr>
    <pageSetUpPr fitToPage="1"/>
  </sheetPr>
  <dimension ref="A1:Q446"/>
  <sheetViews>
    <sheetView tabSelected="1" zoomScale="60" zoomScaleNormal="60" workbookViewId="0">
      <pane ySplit="1" topLeftCell="A336" activePane="bottomLeft" state="frozen"/>
      <selection activeCell="H1" sqref="H1"/>
      <selection pane="bottomLeft" activeCell="D337" sqref="D337"/>
    </sheetView>
  </sheetViews>
  <sheetFormatPr defaultRowHeight="12.75"/>
  <cols>
    <col min="1" max="1" width="20.42578125" style="143" customWidth="1"/>
    <col min="2" max="2" width="14.42578125" style="144" hidden="1" customWidth="1"/>
    <col min="3" max="3" width="14.42578125" style="145" hidden="1" customWidth="1"/>
    <col min="4" max="4" width="26.7109375" style="146" customWidth="1"/>
    <col min="5" max="5" width="14.28515625" style="143" hidden="1" customWidth="1"/>
    <col min="6" max="6" width="20.5703125" style="143" hidden="1" customWidth="1"/>
    <col min="7" max="7" width="23.5703125" style="143" hidden="1" customWidth="1"/>
    <col min="8" max="8" width="15.28515625" style="143" hidden="1" customWidth="1"/>
    <col min="9" max="9" width="52.7109375" style="143" hidden="1" customWidth="1"/>
    <col min="10" max="10" width="0" style="143" hidden="1" customWidth="1"/>
    <col min="11" max="11" width="36.7109375" style="143" bestFit="1" customWidth="1"/>
    <col min="12" max="12" width="35.7109375" style="143" customWidth="1"/>
    <col min="13" max="13" width="31" style="143" bestFit="1" customWidth="1"/>
    <col min="14" max="14" width="20.5703125" style="143" customWidth="1"/>
    <col min="15" max="15" width="27" style="143" customWidth="1"/>
    <col min="16" max="16" width="64.85546875" style="143" customWidth="1"/>
    <col min="17" max="17" width="60.7109375" style="143" bestFit="1" customWidth="1"/>
    <col min="18" max="16384" width="9.140625" style="60"/>
  </cols>
  <sheetData>
    <row r="1" spans="1:17" s="114" customFormat="1" ht="86.25" customHeight="1" thickBot="1">
      <c r="A1" s="25" t="s">
        <v>731</v>
      </c>
      <c r="B1" s="26" t="s">
        <v>734</v>
      </c>
      <c r="C1" s="27" t="s">
        <v>540</v>
      </c>
      <c r="D1" s="222" t="s">
        <v>704</v>
      </c>
      <c r="E1" s="25" t="s">
        <v>721</v>
      </c>
      <c r="F1" s="30" t="s">
        <v>722</v>
      </c>
      <c r="G1" s="29" t="s">
        <v>719</v>
      </c>
      <c r="H1" s="30" t="s">
        <v>723</v>
      </c>
      <c r="I1" s="29" t="s">
        <v>720</v>
      </c>
      <c r="J1" s="29" t="s">
        <v>727</v>
      </c>
      <c r="K1" s="29" t="s">
        <v>728</v>
      </c>
      <c r="L1" s="30" t="s">
        <v>721</v>
      </c>
      <c r="M1" s="113" t="s">
        <v>825</v>
      </c>
      <c r="N1" s="113" t="s">
        <v>833</v>
      </c>
      <c r="O1" s="113" t="s">
        <v>967</v>
      </c>
      <c r="P1" s="29" t="s">
        <v>834</v>
      </c>
      <c r="Q1" s="29" t="s">
        <v>725</v>
      </c>
    </row>
    <row r="2" spans="1:17" s="122" customFormat="1" ht="13.5" thickBot="1">
      <c r="A2" s="115"/>
      <c r="B2" s="116"/>
      <c r="C2" s="117"/>
      <c r="D2" s="117"/>
      <c r="E2" s="118" t="s">
        <v>826</v>
      </c>
      <c r="F2" s="116"/>
      <c r="G2" s="116"/>
      <c r="H2" s="116"/>
      <c r="I2" s="116"/>
      <c r="J2" s="116"/>
      <c r="K2" s="119" t="s">
        <v>826</v>
      </c>
      <c r="L2" s="120"/>
      <c r="M2" s="121"/>
    </row>
    <row r="3" spans="1:17" s="122" customFormat="1" ht="15.75" thickBot="1">
      <c r="A3" s="115"/>
      <c r="C3" s="123"/>
      <c r="D3" s="123"/>
      <c r="E3" s="124" t="s">
        <v>827</v>
      </c>
      <c r="K3" s="125" t="s">
        <v>827</v>
      </c>
      <c r="L3" s="120"/>
      <c r="M3" s="121"/>
    </row>
    <row r="4" spans="1:17" s="122" customFormat="1" ht="23.25" thickBot="1">
      <c r="A4" s="126"/>
      <c r="C4" s="123"/>
      <c r="D4" s="123"/>
      <c r="E4" s="127" t="s">
        <v>828</v>
      </c>
      <c r="K4" s="128" t="s">
        <v>828</v>
      </c>
      <c r="L4" s="120"/>
      <c r="M4" s="121"/>
    </row>
    <row r="5" spans="1:17" s="122" customFormat="1" ht="23.25" thickBot="1">
      <c r="A5" s="126"/>
      <c r="C5" s="123"/>
      <c r="D5" s="123"/>
      <c r="E5" s="129" t="s">
        <v>829</v>
      </c>
      <c r="K5" s="130" t="s">
        <v>829</v>
      </c>
      <c r="L5" s="120"/>
      <c r="M5" s="121"/>
    </row>
    <row r="6" spans="1:17" s="122" customFormat="1" ht="13.5" thickBot="1">
      <c r="A6" s="126"/>
      <c r="C6" s="123"/>
      <c r="D6" s="123"/>
      <c r="E6" s="131" t="s">
        <v>830</v>
      </c>
      <c r="K6" s="132" t="s">
        <v>830</v>
      </c>
      <c r="L6" s="120"/>
      <c r="M6" s="121"/>
    </row>
    <row r="7" spans="1:17" s="122" customFormat="1" ht="13.5" thickBot="1">
      <c r="A7" s="126"/>
      <c r="C7" s="123"/>
      <c r="D7" s="123"/>
      <c r="E7" s="133" t="s">
        <v>831</v>
      </c>
      <c r="K7" s="134" t="s">
        <v>831</v>
      </c>
      <c r="L7" s="120"/>
      <c r="M7" s="121"/>
    </row>
    <row r="8" spans="1:17" s="122" customFormat="1" ht="13.5" thickBot="1">
      <c r="A8" s="115"/>
      <c r="B8" s="116"/>
      <c r="C8" s="117"/>
      <c r="D8" s="117"/>
      <c r="E8" s="135" t="s">
        <v>832</v>
      </c>
      <c r="F8" s="116"/>
      <c r="G8" s="116"/>
      <c r="H8" s="116"/>
      <c r="I8" s="116"/>
      <c r="J8" s="116"/>
      <c r="K8" s="136" t="s">
        <v>832</v>
      </c>
      <c r="L8" s="120"/>
      <c r="M8" s="121"/>
    </row>
    <row r="9" spans="1:17" s="138" customFormat="1" ht="13.5" thickBot="1">
      <c r="A9" s="137"/>
      <c r="C9" s="139"/>
      <c r="D9" s="139"/>
      <c r="E9" s="140"/>
      <c r="K9" s="139"/>
      <c r="L9" s="141"/>
      <c r="M9" s="142"/>
    </row>
    <row r="10" spans="1:17" ht="38.25">
      <c r="B10" s="144">
        <v>41399</v>
      </c>
      <c r="C10" s="145">
        <v>41399.166666666664</v>
      </c>
      <c r="D10" s="146">
        <v>41398.166666666664</v>
      </c>
      <c r="E10" s="143" t="s">
        <v>735</v>
      </c>
      <c r="F10" s="147" t="s">
        <v>739</v>
      </c>
      <c r="G10" s="143" t="s">
        <v>737</v>
      </c>
      <c r="H10" s="147" t="s">
        <v>736</v>
      </c>
      <c r="I10" s="143" t="s">
        <v>752</v>
      </c>
      <c r="J10" s="147" t="s">
        <v>733</v>
      </c>
      <c r="K10" s="143" t="s">
        <v>752</v>
      </c>
      <c r="L10" s="147" t="s">
        <v>864</v>
      </c>
      <c r="M10" s="143" t="s">
        <v>217</v>
      </c>
      <c r="N10" s="143" t="s">
        <v>271</v>
      </c>
      <c r="O10" s="143" t="s">
        <v>595</v>
      </c>
      <c r="P10" s="143" t="s">
        <v>820</v>
      </c>
    </row>
    <row r="11" spans="1:17" s="154" customFormat="1" ht="51">
      <c r="A11" s="148"/>
      <c r="B11" s="149">
        <v>41398.208333333336</v>
      </c>
      <c r="C11" s="150">
        <v>41398.208333333336</v>
      </c>
      <c r="D11" s="151">
        <v>41398.212500000001</v>
      </c>
      <c r="E11" s="148" t="s">
        <v>426</v>
      </c>
      <c r="F11" s="148"/>
      <c r="G11" s="148"/>
      <c r="H11" s="148"/>
      <c r="I11" s="152" t="s">
        <v>21</v>
      </c>
      <c r="J11" s="148"/>
      <c r="K11" s="153" t="s">
        <v>427</v>
      </c>
      <c r="L11" s="147" t="s">
        <v>864</v>
      </c>
      <c r="M11" s="143" t="s">
        <v>217</v>
      </c>
      <c r="N11" s="143" t="s">
        <v>271</v>
      </c>
      <c r="O11" s="143" t="s">
        <v>595</v>
      </c>
      <c r="P11" s="148"/>
      <c r="Q11" s="148"/>
    </row>
    <row r="12" spans="1:17" ht="51">
      <c r="B12" s="144">
        <v>41398.208333333336</v>
      </c>
      <c r="C12" s="155">
        <v>41398.208333333336</v>
      </c>
      <c r="D12" s="156">
        <v>41398.213194444441</v>
      </c>
      <c r="E12" s="143" t="s">
        <v>426</v>
      </c>
      <c r="I12" s="157" t="s">
        <v>21</v>
      </c>
      <c r="K12" s="158" t="s">
        <v>428</v>
      </c>
      <c r="L12" s="147" t="s">
        <v>864</v>
      </c>
      <c r="M12" s="143" t="s">
        <v>217</v>
      </c>
      <c r="N12" s="143" t="s">
        <v>271</v>
      </c>
      <c r="O12" s="143" t="s">
        <v>595</v>
      </c>
    </row>
    <row r="13" spans="1:17" ht="51">
      <c r="B13" s="144">
        <v>41398.208333333336</v>
      </c>
      <c r="C13" s="155">
        <v>41398.208333333336</v>
      </c>
      <c r="D13" s="156">
        <v>41398.213888888888</v>
      </c>
      <c r="E13" s="143" t="s">
        <v>426</v>
      </c>
      <c r="I13" s="157" t="s">
        <v>21</v>
      </c>
      <c r="K13" s="158" t="s">
        <v>429</v>
      </c>
      <c r="L13" s="147" t="s">
        <v>864</v>
      </c>
      <c r="M13" s="143" t="s">
        <v>217</v>
      </c>
      <c r="N13" s="143" t="s">
        <v>271</v>
      </c>
      <c r="O13" s="143" t="s">
        <v>595</v>
      </c>
    </row>
    <row r="14" spans="1:17" ht="51">
      <c r="B14" s="144">
        <v>41398.208333333336</v>
      </c>
      <c r="C14" s="155">
        <v>41398.208333333336</v>
      </c>
      <c r="D14" s="156">
        <v>41398.214583333334</v>
      </c>
      <c r="E14" s="143" t="s">
        <v>426</v>
      </c>
      <c r="I14" s="157" t="s">
        <v>21</v>
      </c>
      <c r="K14" s="158" t="s">
        <v>430</v>
      </c>
      <c r="L14" s="147" t="s">
        <v>864</v>
      </c>
      <c r="M14" s="143" t="s">
        <v>217</v>
      </c>
      <c r="N14" s="143" t="s">
        <v>271</v>
      </c>
      <c r="O14" s="143" t="s">
        <v>595</v>
      </c>
    </row>
    <row r="15" spans="1:17" ht="51">
      <c r="B15" s="144">
        <v>41398.208333333336</v>
      </c>
      <c r="C15" s="155">
        <v>41398.208333333336</v>
      </c>
      <c r="D15" s="156">
        <v>41398.215277777781</v>
      </c>
      <c r="E15" s="143" t="s">
        <v>426</v>
      </c>
      <c r="I15" s="157" t="s">
        <v>21</v>
      </c>
      <c r="K15" s="158" t="s">
        <v>431</v>
      </c>
      <c r="L15" s="147" t="s">
        <v>864</v>
      </c>
      <c r="M15" s="143" t="s">
        <v>217</v>
      </c>
      <c r="N15" s="143" t="s">
        <v>271</v>
      </c>
      <c r="O15" s="143" t="s">
        <v>595</v>
      </c>
    </row>
    <row r="16" spans="1:17" ht="51">
      <c r="B16" s="144">
        <v>41398.208333333336</v>
      </c>
      <c r="C16" s="155">
        <v>41398.208333333336</v>
      </c>
      <c r="D16" s="156">
        <v>41398.21597222222</v>
      </c>
      <c r="E16" s="143" t="s">
        <v>426</v>
      </c>
      <c r="I16" s="157" t="s">
        <v>21</v>
      </c>
      <c r="K16" s="158" t="s">
        <v>432</v>
      </c>
      <c r="L16" s="147" t="s">
        <v>864</v>
      </c>
      <c r="M16" s="143" t="s">
        <v>217</v>
      </c>
      <c r="N16" s="143" t="s">
        <v>271</v>
      </c>
      <c r="O16" s="143" t="s">
        <v>595</v>
      </c>
    </row>
    <row r="17" spans="2:15" ht="51">
      <c r="B17" s="144">
        <v>41398.208333333336</v>
      </c>
      <c r="C17" s="155">
        <v>41398.208333333336</v>
      </c>
      <c r="D17" s="156">
        <v>41398.216666666667</v>
      </c>
      <c r="E17" s="143" t="s">
        <v>426</v>
      </c>
      <c r="I17" s="157" t="s">
        <v>21</v>
      </c>
      <c r="K17" s="158" t="s">
        <v>433</v>
      </c>
      <c r="L17" s="147" t="s">
        <v>864</v>
      </c>
      <c r="M17" s="143" t="s">
        <v>217</v>
      </c>
      <c r="N17" s="143" t="s">
        <v>271</v>
      </c>
      <c r="O17" s="143" t="s">
        <v>595</v>
      </c>
    </row>
    <row r="18" spans="2:15" ht="51">
      <c r="B18" s="144">
        <v>41398.208333333336</v>
      </c>
      <c r="C18" s="155">
        <v>41398.208333333336</v>
      </c>
      <c r="D18" s="156">
        <v>41398.217361111114</v>
      </c>
      <c r="E18" s="143" t="s">
        <v>426</v>
      </c>
      <c r="I18" s="157" t="s">
        <v>21</v>
      </c>
      <c r="K18" s="158" t="s">
        <v>434</v>
      </c>
      <c r="L18" s="147" t="s">
        <v>864</v>
      </c>
      <c r="M18" s="143" t="s">
        <v>217</v>
      </c>
      <c r="N18" s="143" t="s">
        <v>271</v>
      </c>
      <c r="O18" s="143" t="s">
        <v>595</v>
      </c>
    </row>
    <row r="19" spans="2:15" ht="51">
      <c r="B19" s="144">
        <v>41398.208333333336</v>
      </c>
      <c r="C19" s="155">
        <v>41398.208333333336</v>
      </c>
      <c r="D19" s="156">
        <v>41398.218055555553</v>
      </c>
      <c r="E19" s="143" t="s">
        <v>426</v>
      </c>
      <c r="I19" s="157" t="s">
        <v>21</v>
      </c>
      <c r="K19" s="158" t="s">
        <v>435</v>
      </c>
      <c r="L19" s="147" t="s">
        <v>864</v>
      </c>
      <c r="M19" s="143" t="s">
        <v>217</v>
      </c>
      <c r="N19" s="143" t="s">
        <v>271</v>
      </c>
      <c r="O19" s="143" t="s">
        <v>595</v>
      </c>
    </row>
    <row r="20" spans="2:15" ht="51">
      <c r="B20" s="144">
        <v>41398.208333333336</v>
      </c>
      <c r="C20" s="155">
        <v>41398.208333333336</v>
      </c>
      <c r="D20" s="156">
        <v>41398.21875</v>
      </c>
      <c r="E20" s="143" t="s">
        <v>426</v>
      </c>
      <c r="I20" s="157" t="s">
        <v>21</v>
      </c>
      <c r="K20" s="158" t="s">
        <v>436</v>
      </c>
      <c r="L20" s="147" t="s">
        <v>864</v>
      </c>
      <c r="M20" s="143" t="s">
        <v>217</v>
      </c>
      <c r="N20" s="143" t="s">
        <v>271</v>
      </c>
      <c r="O20" s="143" t="s">
        <v>595</v>
      </c>
    </row>
    <row r="21" spans="2:15" ht="51">
      <c r="B21" s="144">
        <v>41398.208333333336</v>
      </c>
      <c r="C21" s="155">
        <v>41398.208333333336</v>
      </c>
      <c r="D21" s="156">
        <v>41398.219444444447</v>
      </c>
      <c r="E21" s="143" t="s">
        <v>426</v>
      </c>
      <c r="I21" s="157" t="s">
        <v>21</v>
      </c>
      <c r="K21" s="158" t="s">
        <v>437</v>
      </c>
      <c r="L21" s="147" t="s">
        <v>864</v>
      </c>
      <c r="M21" s="143" t="s">
        <v>217</v>
      </c>
      <c r="N21" s="143" t="s">
        <v>271</v>
      </c>
      <c r="O21" s="143" t="s">
        <v>595</v>
      </c>
    </row>
    <row r="22" spans="2:15" ht="51">
      <c r="B22" s="144">
        <v>41398.208333333336</v>
      </c>
      <c r="C22" s="155">
        <v>41398.208333333336</v>
      </c>
      <c r="D22" s="156">
        <v>41398.220138888886</v>
      </c>
      <c r="E22" s="143" t="s">
        <v>426</v>
      </c>
      <c r="I22" s="157" t="s">
        <v>21</v>
      </c>
      <c r="K22" s="158" t="s">
        <v>1014</v>
      </c>
      <c r="L22" s="147" t="s">
        <v>864</v>
      </c>
      <c r="M22" s="143" t="s">
        <v>217</v>
      </c>
      <c r="N22" s="143" t="s">
        <v>271</v>
      </c>
      <c r="O22" s="143" t="s">
        <v>595</v>
      </c>
    </row>
    <row r="23" spans="2:15" ht="51">
      <c r="B23" s="144">
        <v>41399.208333333336</v>
      </c>
      <c r="C23" s="155">
        <v>41399.208333333336</v>
      </c>
      <c r="D23" s="156">
        <v>41398.208333333336</v>
      </c>
      <c r="E23" s="143" t="s">
        <v>426</v>
      </c>
      <c r="I23" s="157" t="s">
        <v>21</v>
      </c>
      <c r="K23" s="158" t="s">
        <v>438</v>
      </c>
      <c r="L23" s="147" t="s">
        <v>864</v>
      </c>
      <c r="M23" s="143" t="s">
        <v>217</v>
      </c>
      <c r="N23" s="143" t="s">
        <v>271</v>
      </c>
      <c r="O23" s="143" t="s">
        <v>595</v>
      </c>
    </row>
    <row r="24" spans="2:15" ht="51">
      <c r="B24" s="144">
        <v>41399.208333333336</v>
      </c>
      <c r="C24" s="155">
        <v>41399.208333333336</v>
      </c>
      <c r="D24" s="156">
        <v>41398.209027777775</v>
      </c>
      <c r="E24" s="143" t="s">
        <v>426</v>
      </c>
      <c r="I24" s="157" t="s">
        <v>21</v>
      </c>
      <c r="K24" s="158" t="s">
        <v>824</v>
      </c>
      <c r="L24" s="147" t="s">
        <v>864</v>
      </c>
      <c r="M24" s="143" t="s">
        <v>217</v>
      </c>
      <c r="N24" s="143" t="s">
        <v>271</v>
      </c>
      <c r="O24" s="143" t="s">
        <v>595</v>
      </c>
    </row>
    <row r="25" spans="2:15" ht="51">
      <c r="B25" s="144">
        <v>41399.208333333336</v>
      </c>
      <c r="C25" s="155">
        <v>41399.208333333336</v>
      </c>
      <c r="D25" s="156">
        <v>41398.209722222222</v>
      </c>
      <c r="E25" s="143" t="s">
        <v>426</v>
      </c>
      <c r="I25" s="157" t="s">
        <v>21</v>
      </c>
      <c r="K25" s="158" t="s">
        <v>439</v>
      </c>
      <c r="L25" s="147" t="s">
        <v>864</v>
      </c>
      <c r="M25" s="143" t="s">
        <v>217</v>
      </c>
      <c r="N25" s="143" t="s">
        <v>271</v>
      </c>
      <c r="O25" s="143" t="s">
        <v>595</v>
      </c>
    </row>
    <row r="26" spans="2:15" ht="51">
      <c r="B26" s="144">
        <v>41399.208333333336</v>
      </c>
      <c r="C26" s="155">
        <v>41399.208333333336</v>
      </c>
      <c r="D26" s="156">
        <v>41398.210416666669</v>
      </c>
      <c r="E26" s="143" t="s">
        <v>426</v>
      </c>
      <c r="I26" s="157" t="s">
        <v>21</v>
      </c>
      <c r="K26" s="158" t="s">
        <v>1015</v>
      </c>
      <c r="L26" s="147" t="s">
        <v>864</v>
      </c>
      <c r="M26" s="143" t="s">
        <v>217</v>
      </c>
      <c r="N26" s="143" t="s">
        <v>271</v>
      </c>
      <c r="O26" s="143" t="s">
        <v>595</v>
      </c>
    </row>
    <row r="27" spans="2:15" ht="51">
      <c r="B27" s="144">
        <v>41399.208333333336</v>
      </c>
      <c r="C27" s="155">
        <v>41399.208333333336</v>
      </c>
      <c r="D27" s="156">
        <v>41398.211111111108</v>
      </c>
      <c r="E27" s="143" t="s">
        <v>426</v>
      </c>
      <c r="I27" s="157" t="s">
        <v>21</v>
      </c>
      <c r="K27" s="158" t="s">
        <v>440</v>
      </c>
      <c r="L27" s="147" t="s">
        <v>864</v>
      </c>
      <c r="M27" s="143" t="s">
        <v>217</v>
      </c>
      <c r="N27" s="143" t="s">
        <v>271</v>
      </c>
      <c r="O27" s="143" t="s">
        <v>595</v>
      </c>
    </row>
    <row r="28" spans="2:15" ht="51">
      <c r="B28" s="144">
        <v>41399.208333333336</v>
      </c>
      <c r="C28" s="155">
        <v>41399.208333333336</v>
      </c>
      <c r="D28" s="156">
        <v>41398.211805555555</v>
      </c>
      <c r="E28" s="143" t="s">
        <v>426</v>
      </c>
      <c r="I28" s="157" t="s">
        <v>21</v>
      </c>
      <c r="K28" s="158" t="s">
        <v>441</v>
      </c>
      <c r="L28" s="147" t="s">
        <v>864</v>
      </c>
      <c r="M28" s="143" t="s">
        <v>217</v>
      </c>
      <c r="N28" s="143" t="s">
        <v>271</v>
      </c>
      <c r="O28" s="143" t="s">
        <v>595</v>
      </c>
    </row>
    <row r="29" spans="2:15" ht="51">
      <c r="B29" s="144">
        <v>41399.208333333336</v>
      </c>
      <c r="C29" s="155">
        <v>41399.208333333336</v>
      </c>
      <c r="D29" s="156">
        <v>41398.212500000001</v>
      </c>
      <c r="E29" s="143" t="s">
        <v>426</v>
      </c>
      <c r="I29" s="157" t="s">
        <v>21</v>
      </c>
      <c r="K29" s="158" t="s">
        <v>442</v>
      </c>
      <c r="L29" s="147" t="s">
        <v>864</v>
      </c>
      <c r="M29" s="143" t="s">
        <v>217</v>
      </c>
      <c r="N29" s="143" t="s">
        <v>271</v>
      </c>
      <c r="O29" s="143" t="s">
        <v>595</v>
      </c>
    </row>
    <row r="30" spans="2:15" ht="51">
      <c r="B30" s="144">
        <v>41399.208333333336</v>
      </c>
      <c r="C30" s="155">
        <v>41399.208333333336</v>
      </c>
      <c r="D30" s="156">
        <v>41397.213194444441</v>
      </c>
      <c r="E30" s="143" t="s">
        <v>426</v>
      </c>
      <c r="I30" s="157" t="s">
        <v>21</v>
      </c>
      <c r="K30" s="158" t="s">
        <v>443</v>
      </c>
      <c r="L30" s="147" t="s">
        <v>864</v>
      </c>
      <c r="M30" s="143" t="s">
        <v>217</v>
      </c>
      <c r="N30" s="143" t="s">
        <v>271</v>
      </c>
      <c r="O30" s="143" t="s">
        <v>595</v>
      </c>
    </row>
    <row r="31" spans="2:15" ht="51">
      <c r="B31" s="144">
        <v>41399.208333333336</v>
      </c>
      <c r="C31" s="155">
        <v>41399.208333333336</v>
      </c>
      <c r="D31" s="156">
        <v>41398.213888888888</v>
      </c>
      <c r="E31" s="143" t="s">
        <v>426</v>
      </c>
      <c r="I31" s="157" t="s">
        <v>21</v>
      </c>
      <c r="K31" s="158" t="s">
        <v>1038</v>
      </c>
      <c r="L31" s="147" t="s">
        <v>864</v>
      </c>
      <c r="M31" s="143" t="s">
        <v>217</v>
      </c>
      <c r="N31" s="143" t="s">
        <v>271</v>
      </c>
      <c r="O31" s="143" t="s">
        <v>595</v>
      </c>
    </row>
    <row r="32" spans="2:15" ht="51">
      <c r="B32" s="144">
        <v>41399.208333333336</v>
      </c>
      <c r="C32" s="155">
        <v>41399.208333333336</v>
      </c>
      <c r="D32" s="156">
        <v>41398.214583333334</v>
      </c>
      <c r="E32" s="143" t="s">
        <v>426</v>
      </c>
      <c r="I32" s="157" t="s">
        <v>21</v>
      </c>
      <c r="K32" s="158" t="s">
        <v>1039</v>
      </c>
      <c r="L32" s="147" t="s">
        <v>864</v>
      </c>
      <c r="M32" s="143" t="s">
        <v>217</v>
      </c>
      <c r="N32" s="143" t="s">
        <v>271</v>
      </c>
      <c r="O32" s="143" t="s">
        <v>595</v>
      </c>
    </row>
    <row r="33" spans="2:16" ht="51">
      <c r="B33" s="144">
        <v>41399.208333333336</v>
      </c>
      <c r="C33" s="155">
        <v>41399.208333333336</v>
      </c>
      <c r="D33" s="156">
        <v>41398.215277777781</v>
      </c>
      <c r="E33" s="143" t="s">
        <v>426</v>
      </c>
      <c r="I33" s="157" t="s">
        <v>21</v>
      </c>
      <c r="K33" s="158" t="s">
        <v>1040</v>
      </c>
      <c r="L33" s="147" t="s">
        <v>864</v>
      </c>
      <c r="M33" s="143" t="s">
        <v>217</v>
      </c>
      <c r="N33" s="143" t="s">
        <v>271</v>
      </c>
      <c r="O33" s="143" t="s">
        <v>595</v>
      </c>
    </row>
    <row r="34" spans="2:16" ht="51">
      <c r="B34" s="144">
        <v>41399.208333333336</v>
      </c>
      <c r="C34" s="155">
        <v>41399.208333333336</v>
      </c>
      <c r="D34" s="156">
        <v>41398.21597222222</v>
      </c>
      <c r="E34" s="143" t="s">
        <v>426</v>
      </c>
      <c r="I34" s="157" t="s">
        <v>21</v>
      </c>
      <c r="K34" s="158" t="s">
        <v>1041</v>
      </c>
      <c r="L34" s="147" t="s">
        <v>864</v>
      </c>
      <c r="M34" s="143" t="s">
        <v>217</v>
      </c>
      <c r="N34" s="143" t="s">
        <v>271</v>
      </c>
      <c r="O34" s="143" t="s">
        <v>595</v>
      </c>
    </row>
    <row r="35" spans="2:16" ht="51">
      <c r="B35" s="144">
        <v>41399.208333333336</v>
      </c>
      <c r="C35" s="155">
        <v>41399.208333333336</v>
      </c>
      <c r="D35" s="156">
        <v>41398.216666666667</v>
      </c>
      <c r="E35" s="143" t="s">
        <v>426</v>
      </c>
      <c r="I35" s="157" t="s">
        <v>21</v>
      </c>
      <c r="K35" s="158" t="s">
        <v>1042</v>
      </c>
      <c r="L35" s="147" t="s">
        <v>864</v>
      </c>
      <c r="M35" s="143" t="s">
        <v>217</v>
      </c>
      <c r="N35" s="143" t="s">
        <v>271</v>
      </c>
      <c r="O35" s="143" t="s">
        <v>595</v>
      </c>
    </row>
    <row r="36" spans="2:16" ht="51">
      <c r="B36" s="144">
        <v>41399.208333333336</v>
      </c>
      <c r="C36" s="155">
        <v>41399.208333333336</v>
      </c>
      <c r="D36" s="156">
        <v>41398.217361111114</v>
      </c>
      <c r="E36" s="143" t="s">
        <v>426</v>
      </c>
      <c r="I36" s="157" t="s">
        <v>21</v>
      </c>
      <c r="K36" s="158" t="s">
        <v>1043</v>
      </c>
      <c r="L36" s="147" t="s">
        <v>864</v>
      </c>
      <c r="M36" s="143" t="s">
        <v>217</v>
      </c>
      <c r="N36" s="143" t="s">
        <v>271</v>
      </c>
      <c r="O36" s="143" t="s">
        <v>595</v>
      </c>
    </row>
    <row r="37" spans="2:16" ht="108.75" customHeight="1">
      <c r="B37" s="144">
        <v>41399</v>
      </c>
      <c r="C37" s="145">
        <v>41399.416666666664</v>
      </c>
      <c r="D37" s="146">
        <v>41398.416666666664</v>
      </c>
      <c r="E37" s="143" t="s">
        <v>735</v>
      </c>
      <c r="F37" s="147" t="s">
        <v>739</v>
      </c>
      <c r="G37" s="143" t="s">
        <v>737</v>
      </c>
      <c r="H37" s="147" t="s">
        <v>736</v>
      </c>
      <c r="I37" s="143" t="s">
        <v>753</v>
      </c>
      <c r="J37" s="147" t="s">
        <v>733</v>
      </c>
      <c r="K37" s="143" t="s">
        <v>753</v>
      </c>
      <c r="L37" s="147" t="s">
        <v>864</v>
      </c>
      <c r="M37" s="143" t="s">
        <v>217</v>
      </c>
      <c r="N37" s="143" t="s">
        <v>271</v>
      </c>
      <c r="O37" s="143" t="s">
        <v>595</v>
      </c>
      <c r="P37" s="143" t="s">
        <v>136</v>
      </c>
    </row>
    <row r="38" spans="2:16" ht="114.75">
      <c r="B38" s="144">
        <v>41399</v>
      </c>
      <c r="C38" s="145">
        <v>41399.666666666664</v>
      </c>
      <c r="D38" s="146">
        <v>41398.666666666664</v>
      </c>
      <c r="E38" s="143" t="s">
        <v>735</v>
      </c>
      <c r="F38" s="147" t="s">
        <v>739</v>
      </c>
      <c r="G38" s="143" t="s">
        <v>737</v>
      </c>
      <c r="H38" s="147" t="s">
        <v>736</v>
      </c>
      <c r="I38" s="143" t="s">
        <v>754</v>
      </c>
      <c r="J38" s="147" t="s">
        <v>733</v>
      </c>
      <c r="K38" s="143" t="s">
        <v>754</v>
      </c>
      <c r="L38" s="147" t="s">
        <v>864</v>
      </c>
      <c r="M38" s="143" t="s">
        <v>217</v>
      </c>
      <c r="N38" s="143" t="s">
        <v>271</v>
      </c>
      <c r="O38" s="143" t="s">
        <v>595</v>
      </c>
      <c r="P38" s="143" t="s">
        <v>137</v>
      </c>
    </row>
    <row r="39" spans="2:16" ht="112.5" customHeight="1">
      <c r="B39" s="144">
        <v>41399</v>
      </c>
      <c r="C39" s="145">
        <v>41399.916666666664</v>
      </c>
      <c r="D39" s="146">
        <v>41398.916666666664</v>
      </c>
      <c r="E39" s="143" t="s">
        <v>735</v>
      </c>
      <c r="F39" s="147" t="s">
        <v>739</v>
      </c>
      <c r="H39" s="147" t="s">
        <v>736</v>
      </c>
      <c r="I39" s="143" t="s">
        <v>755</v>
      </c>
      <c r="J39" s="147" t="s">
        <v>733</v>
      </c>
      <c r="K39" s="143" t="s">
        <v>755</v>
      </c>
      <c r="L39" s="147" t="s">
        <v>864</v>
      </c>
      <c r="M39" s="143" t="s">
        <v>217</v>
      </c>
      <c r="N39" s="143" t="s">
        <v>271</v>
      </c>
      <c r="O39" s="143" t="s">
        <v>595</v>
      </c>
      <c r="P39" s="143" t="s">
        <v>138</v>
      </c>
    </row>
    <row r="40" spans="2:16" ht="90.75" customHeight="1">
      <c r="B40" s="144">
        <v>41400.208333333336</v>
      </c>
      <c r="C40" s="155">
        <v>41400.208333333336</v>
      </c>
      <c r="D40" s="156">
        <v>41399.208333333336</v>
      </c>
      <c r="E40" s="143" t="s">
        <v>426</v>
      </c>
      <c r="I40" s="143" t="s">
        <v>756</v>
      </c>
      <c r="K40" s="143" t="s">
        <v>756</v>
      </c>
      <c r="L40" s="147" t="s">
        <v>864</v>
      </c>
      <c r="M40" s="143" t="s">
        <v>217</v>
      </c>
      <c r="N40" s="143" t="s">
        <v>271</v>
      </c>
      <c r="O40" s="143" t="s">
        <v>595</v>
      </c>
      <c r="P40" s="143" t="s">
        <v>840</v>
      </c>
    </row>
    <row r="41" spans="2:16" ht="51">
      <c r="B41" s="144">
        <v>41400.208333333336</v>
      </c>
      <c r="C41" s="155">
        <v>41400.208333333336</v>
      </c>
      <c r="D41" s="156">
        <v>41399.209027777775</v>
      </c>
      <c r="E41" s="143" t="s">
        <v>426</v>
      </c>
      <c r="I41" s="157" t="s">
        <v>21</v>
      </c>
      <c r="K41" s="158" t="s">
        <v>859</v>
      </c>
      <c r="L41" s="147" t="s">
        <v>864</v>
      </c>
      <c r="M41" s="143" t="s">
        <v>217</v>
      </c>
      <c r="N41" s="143" t="s">
        <v>271</v>
      </c>
      <c r="O41" s="143" t="s">
        <v>595</v>
      </c>
    </row>
    <row r="42" spans="2:16" ht="51">
      <c r="B42" s="144">
        <v>41399.208333333336</v>
      </c>
      <c r="C42" s="155">
        <v>41399.208333333336</v>
      </c>
      <c r="D42" s="156">
        <v>41399.209722222222</v>
      </c>
      <c r="E42" s="143" t="s">
        <v>426</v>
      </c>
      <c r="I42" s="157" t="s">
        <v>21</v>
      </c>
      <c r="K42" s="158" t="s">
        <v>823</v>
      </c>
      <c r="L42" s="147" t="s">
        <v>864</v>
      </c>
      <c r="M42" s="143" t="s">
        <v>217</v>
      </c>
      <c r="N42" s="143" t="s">
        <v>271</v>
      </c>
      <c r="O42" s="143" t="s">
        <v>595</v>
      </c>
    </row>
    <row r="43" spans="2:16" ht="51">
      <c r="B43" s="144">
        <v>41399.208333333336</v>
      </c>
      <c r="C43" s="155">
        <v>41399.208333333336</v>
      </c>
      <c r="D43" s="156">
        <v>41399.210416666669</v>
      </c>
      <c r="E43" s="143" t="s">
        <v>426</v>
      </c>
      <c r="I43" s="157" t="s">
        <v>21</v>
      </c>
      <c r="K43" s="158" t="s">
        <v>444</v>
      </c>
      <c r="L43" s="147" t="s">
        <v>864</v>
      </c>
      <c r="M43" s="143" t="s">
        <v>217</v>
      </c>
      <c r="N43" s="143" t="s">
        <v>271</v>
      </c>
      <c r="O43" s="143" t="s">
        <v>595</v>
      </c>
    </row>
    <row r="44" spans="2:16" ht="51">
      <c r="B44" s="144">
        <v>41399.208333333336</v>
      </c>
      <c r="C44" s="155">
        <v>41399.208333333336</v>
      </c>
      <c r="D44" s="156">
        <v>41399.211111111108</v>
      </c>
      <c r="E44" s="143" t="s">
        <v>426</v>
      </c>
      <c r="I44" s="157" t="s">
        <v>21</v>
      </c>
      <c r="K44" s="158" t="s">
        <v>857</v>
      </c>
      <c r="L44" s="147" t="s">
        <v>864</v>
      </c>
      <c r="M44" s="143" t="s">
        <v>217</v>
      </c>
      <c r="N44" s="143" t="s">
        <v>271</v>
      </c>
      <c r="O44" s="143" t="s">
        <v>595</v>
      </c>
    </row>
    <row r="45" spans="2:16" ht="51">
      <c r="B45" s="144">
        <v>41399.208333333336</v>
      </c>
      <c r="C45" s="155">
        <v>41399.208333333336</v>
      </c>
      <c r="D45" s="156">
        <v>41399.211805555555</v>
      </c>
      <c r="E45" s="143" t="s">
        <v>426</v>
      </c>
      <c r="I45" s="157" t="s">
        <v>21</v>
      </c>
      <c r="K45" s="158" t="s">
        <v>445</v>
      </c>
      <c r="L45" s="147" t="s">
        <v>864</v>
      </c>
      <c r="M45" s="143" t="s">
        <v>217</v>
      </c>
      <c r="N45" s="143" t="s">
        <v>271</v>
      </c>
      <c r="O45" s="143" t="s">
        <v>595</v>
      </c>
    </row>
    <row r="46" spans="2:16" ht="51">
      <c r="B46" s="144">
        <v>41399.208333333336</v>
      </c>
      <c r="C46" s="155">
        <v>41399.208333333336</v>
      </c>
      <c r="D46" s="156">
        <v>41399.212500000001</v>
      </c>
      <c r="E46" s="143" t="s">
        <v>426</v>
      </c>
      <c r="I46" s="157" t="s">
        <v>21</v>
      </c>
      <c r="K46" s="158" t="s">
        <v>446</v>
      </c>
      <c r="L46" s="147" t="s">
        <v>864</v>
      </c>
      <c r="M46" s="143" t="s">
        <v>217</v>
      </c>
      <c r="N46" s="143" t="s">
        <v>271</v>
      </c>
      <c r="O46" s="143" t="s">
        <v>595</v>
      </c>
    </row>
    <row r="47" spans="2:16" ht="51">
      <c r="B47" s="144">
        <v>41399.208333333336</v>
      </c>
      <c r="C47" s="155">
        <v>41399.208333333336</v>
      </c>
      <c r="D47" s="156">
        <v>41399.213194444441</v>
      </c>
      <c r="E47" s="143" t="s">
        <v>426</v>
      </c>
      <c r="I47" s="157" t="s">
        <v>21</v>
      </c>
      <c r="K47" s="158" t="s">
        <v>447</v>
      </c>
      <c r="L47" s="147" t="s">
        <v>864</v>
      </c>
      <c r="M47" s="143" t="s">
        <v>217</v>
      </c>
      <c r="N47" s="143" t="s">
        <v>271</v>
      </c>
      <c r="O47" s="143" t="s">
        <v>595</v>
      </c>
    </row>
    <row r="48" spans="2:16" ht="51">
      <c r="B48" s="144">
        <v>41399.208333333336</v>
      </c>
      <c r="C48" s="155">
        <v>41399.208333333336</v>
      </c>
      <c r="D48" s="156">
        <v>41399.213888888888</v>
      </c>
      <c r="E48" s="143" t="s">
        <v>426</v>
      </c>
      <c r="I48" s="157" t="s">
        <v>21</v>
      </c>
      <c r="K48" s="158" t="s">
        <v>448</v>
      </c>
      <c r="L48" s="147" t="s">
        <v>864</v>
      </c>
      <c r="M48" s="143" t="s">
        <v>217</v>
      </c>
      <c r="N48" s="143" t="s">
        <v>271</v>
      </c>
      <c r="O48" s="143" t="s">
        <v>595</v>
      </c>
    </row>
    <row r="49" spans="2:15" ht="51">
      <c r="B49" s="144">
        <v>41399.208333333336</v>
      </c>
      <c r="C49" s="155">
        <v>41399.208333333336</v>
      </c>
      <c r="D49" s="156">
        <v>41399.214583333334</v>
      </c>
      <c r="E49" s="143" t="s">
        <v>426</v>
      </c>
      <c r="I49" s="157" t="s">
        <v>21</v>
      </c>
      <c r="K49" s="158" t="s">
        <v>449</v>
      </c>
      <c r="L49" s="147" t="s">
        <v>864</v>
      </c>
      <c r="M49" s="143" t="s">
        <v>217</v>
      </c>
      <c r="N49" s="143" t="s">
        <v>271</v>
      </c>
      <c r="O49" s="143" t="s">
        <v>595</v>
      </c>
    </row>
    <row r="50" spans="2:15" ht="51">
      <c r="B50" s="144">
        <v>41399.208333333336</v>
      </c>
      <c r="C50" s="155">
        <v>41399.208333333336</v>
      </c>
      <c r="D50" s="156">
        <v>41399.215277777781</v>
      </c>
      <c r="E50" s="143" t="s">
        <v>426</v>
      </c>
      <c r="I50" s="157" t="s">
        <v>21</v>
      </c>
      <c r="K50" s="158" t="s">
        <v>450</v>
      </c>
      <c r="L50" s="147" t="s">
        <v>864</v>
      </c>
      <c r="M50" s="143" t="s">
        <v>217</v>
      </c>
      <c r="N50" s="143" t="s">
        <v>271</v>
      </c>
      <c r="O50" s="143" t="s">
        <v>595</v>
      </c>
    </row>
    <row r="51" spans="2:15" ht="51">
      <c r="B51" s="144">
        <v>41399.208333333336</v>
      </c>
      <c r="C51" s="155">
        <v>41399.208333333336</v>
      </c>
      <c r="D51" s="156">
        <v>41399.21597222222</v>
      </c>
      <c r="E51" s="143" t="s">
        <v>426</v>
      </c>
      <c r="I51" s="157" t="s">
        <v>21</v>
      </c>
      <c r="K51" s="158" t="s">
        <v>451</v>
      </c>
      <c r="L51" s="147" t="s">
        <v>864</v>
      </c>
      <c r="M51" s="143" t="s">
        <v>217</v>
      </c>
      <c r="N51" s="143" t="s">
        <v>271</v>
      </c>
      <c r="O51" s="143" t="s">
        <v>595</v>
      </c>
    </row>
    <row r="52" spans="2:15" ht="51">
      <c r="B52" s="144">
        <v>41399.208333333336</v>
      </c>
      <c r="C52" s="155">
        <v>41399.208333333336</v>
      </c>
      <c r="D52" s="156">
        <v>41399.216666666667</v>
      </c>
      <c r="E52" s="143" t="s">
        <v>426</v>
      </c>
      <c r="I52" s="157" t="s">
        <v>21</v>
      </c>
      <c r="K52" s="158" t="s">
        <v>452</v>
      </c>
      <c r="L52" s="147" t="s">
        <v>864</v>
      </c>
      <c r="M52" s="143" t="s">
        <v>217</v>
      </c>
      <c r="N52" s="143" t="s">
        <v>271</v>
      </c>
      <c r="O52" s="143" t="s">
        <v>595</v>
      </c>
    </row>
    <row r="53" spans="2:15" ht="51">
      <c r="B53" s="144">
        <v>41399.208333333336</v>
      </c>
      <c r="C53" s="155">
        <v>41399.208333333336</v>
      </c>
      <c r="D53" s="156">
        <v>41399.217361111114</v>
      </c>
      <c r="E53" s="143" t="s">
        <v>426</v>
      </c>
      <c r="I53" s="157" t="s">
        <v>21</v>
      </c>
      <c r="K53" s="158" t="s">
        <v>453</v>
      </c>
      <c r="L53" s="147" t="s">
        <v>864</v>
      </c>
      <c r="M53" s="143" t="s">
        <v>217</v>
      </c>
      <c r="N53" s="143" t="s">
        <v>271</v>
      </c>
      <c r="O53" s="143" t="s">
        <v>595</v>
      </c>
    </row>
    <row r="54" spans="2:15" ht="51">
      <c r="B54" s="144">
        <v>41399.208333333336</v>
      </c>
      <c r="C54" s="155">
        <v>41399.208333333336</v>
      </c>
      <c r="D54" s="156">
        <v>41399.218055555553</v>
      </c>
      <c r="E54" s="143" t="s">
        <v>426</v>
      </c>
      <c r="I54" s="157" t="s">
        <v>21</v>
      </c>
      <c r="K54" s="158" t="s">
        <v>454</v>
      </c>
      <c r="L54" s="147" t="s">
        <v>864</v>
      </c>
      <c r="M54" s="143" t="s">
        <v>217</v>
      </c>
      <c r="N54" s="143" t="s">
        <v>271</v>
      </c>
      <c r="O54" s="143" t="s">
        <v>595</v>
      </c>
    </row>
    <row r="55" spans="2:15" ht="51">
      <c r="B55" s="144">
        <v>41399.208333333336</v>
      </c>
      <c r="C55" s="155">
        <v>41399.208333333336</v>
      </c>
      <c r="D55" s="156">
        <v>41399.21875</v>
      </c>
      <c r="E55" s="143" t="s">
        <v>426</v>
      </c>
      <c r="I55" s="157" t="s">
        <v>21</v>
      </c>
      <c r="K55" s="158" t="s">
        <v>455</v>
      </c>
      <c r="L55" s="147" t="s">
        <v>864</v>
      </c>
      <c r="M55" s="143" t="s">
        <v>217</v>
      </c>
      <c r="N55" s="143" t="s">
        <v>271</v>
      </c>
      <c r="O55" s="143" t="s">
        <v>595</v>
      </c>
    </row>
    <row r="56" spans="2:15" ht="51">
      <c r="B56" s="144">
        <v>41399.208333333336</v>
      </c>
      <c r="C56" s="155">
        <v>41399.208333333336</v>
      </c>
      <c r="D56" s="156">
        <v>41399.219444444447</v>
      </c>
      <c r="E56" s="143" t="s">
        <v>426</v>
      </c>
      <c r="I56" s="157" t="s">
        <v>21</v>
      </c>
      <c r="K56" s="158" t="s">
        <v>456</v>
      </c>
      <c r="L56" s="147" t="s">
        <v>864</v>
      </c>
      <c r="M56" s="143" t="s">
        <v>217</v>
      </c>
      <c r="N56" s="143" t="s">
        <v>271</v>
      </c>
      <c r="O56" s="143" t="s">
        <v>595</v>
      </c>
    </row>
    <row r="57" spans="2:15" ht="51">
      <c r="B57" s="144">
        <v>41399.208333333336</v>
      </c>
      <c r="C57" s="155">
        <v>41399.208333333336</v>
      </c>
      <c r="D57" s="156">
        <v>41399.220138888886</v>
      </c>
      <c r="E57" s="143" t="s">
        <v>426</v>
      </c>
      <c r="I57" s="157" t="s">
        <v>21</v>
      </c>
      <c r="K57" s="158" t="s">
        <v>457</v>
      </c>
      <c r="L57" s="147" t="s">
        <v>864</v>
      </c>
      <c r="M57" s="143" t="s">
        <v>217</v>
      </c>
      <c r="N57" s="143" t="s">
        <v>271</v>
      </c>
      <c r="O57" s="143" t="s">
        <v>595</v>
      </c>
    </row>
    <row r="58" spans="2:15" ht="51">
      <c r="B58" s="144">
        <v>41399.208333333336</v>
      </c>
      <c r="C58" s="155">
        <v>41399.208333333336</v>
      </c>
      <c r="D58" s="156">
        <v>41399.220833333333</v>
      </c>
      <c r="E58" s="143" t="s">
        <v>426</v>
      </c>
      <c r="I58" s="157" t="s">
        <v>21</v>
      </c>
      <c r="K58" s="158" t="s">
        <v>458</v>
      </c>
      <c r="L58" s="147" t="s">
        <v>864</v>
      </c>
      <c r="M58" s="143" t="s">
        <v>217</v>
      </c>
      <c r="N58" s="143" t="s">
        <v>271</v>
      </c>
      <c r="O58" s="143" t="s">
        <v>595</v>
      </c>
    </row>
    <row r="59" spans="2:15" ht="51">
      <c r="B59" s="144">
        <v>41399.208333333336</v>
      </c>
      <c r="C59" s="155">
        <v>41399.208333333336</v>
      </c>
      <c r="D59" s="156">
        <v>41399.22152777778</v>
      </c>
      <c r="E59" s="143" t="s">
        <v>426</v>
      </c>
      <c r="I59" s="157" t="s">
        <v>21</v>
      </c>
      <c r="K59" s="158" t="s">
        <v>1044</v>
      </c>
      <c r="L59" s="147" t="s">
        <v>864</v>
      </c>
      <c r="M59" s="143" t="s">
        <v>217</v>
      </c>
      <c r="N59" s="143" t="s">
        <v>271</v>
      </c>
      <c r="O59" s="143" t="s">
        <v>595</v>
      </c>
    </row>
    <row r="60" spans="2:15" ht="51">
      <c r="B60" s="144">
        <v>41399.208333333336</v>
      </c>
      <c r="C60" s="155">
        <v>41399.208333333336</v>
      </c>
      <c r="D60" s="156">
        <v>41399.222222222219</v>
      </c>
      <c r="E60" s="143" t="s">
        <v>426</v>
      </c>
      <c r="I60" s="157" t="s">
        <v>21</v>
      </c>
      <c r="K60" s="158" t="s">
        <v>1045</v>
      </c>
      <c r="L60" s="147" t="s">
        <v>864</v>
      </c>
      <c r="M60" s="143" t="s">
        <v>217</v>
      </c>
      <c r="N60" s="143" t="s">
        <v>271</v>
      </c>
      <c r="O60" s="143" t="s">
        <v>595</v>
      </c>
    </row>
    <row r="61" spans="2:15" ht="51">
      <c r="B61" s="144">
        <v>41399.208333333336</v>
      </c>
      <c r="C61" s="155">
        <v>41399.208333333336</v>
      </c>
      <c r="D61" s="156">
        <v>41399.222916666666</v>
      </c>
      <c r="E61" s="143" t="s">
        <v>426</v>
      </c>
      <c r="I61" s="157" t="s">
        <v>21</v>
      </c>
      <c r="K61" s="158" t="s">
        <v>1046</v>
      </c>
      <c r="L61" s="147" t="s">
        <v>864</v>
      </c>
      <c r="M61" s="143" t="s">
        <v>217</v>
      </c>
      <c r="N61" s="143" t="s">
        <v>271</v>
      </c>
      <c r="O61" s="143" t="s">
        <v>595</v>
      </c>
    </row>
    <row r="62" spans="2:15" ht="51">
      <c r="B62" s="144">
        <v>41399.208333333336</v>
      </c>
      <c r="C62" s="155">
        <v>41399.208333333336</v>
      </c>
      <c r="D62" s="156">
        <v>41399.223611111112</v>
      </c>
      <c r="E62" s="143" t="s">
        <v>426</v>
      </c>
      <c r="I62" s="157" t="s">
        <v>21</v>
      </c>
      <c r="K62" s="158" t="s">
        <v>1047</v>
      </c>
      <c r="L62" s="147" t="s">
        <v>864</v>
      </c>
      <c r="M62" s="143" t="s">
        <v>217</v>
      </c>
      <c r="N62" s="143" t="s">
        <v>271</v>
      </c>
      <c r="O62" s="143" t="s">
        <v>595</v>
      </c>
    </row>
    <row r="63" spans="2:15" ht="51">
      <c r="B63" s="144">
        <v>41399.208333333336</v>
      </c>
      <c r="C63" s="155">
        <v>41399.208333333336</v>
      </c>
      <c r="D63" s="156">
        <v>41399.224305555559</v>
      </c>
      <c r="E63" s="143" t="s">
        <v>426</v>
      </c>
      <c r="I63" s="157" t="s">
        <v>21</v>
      </c>
      <c r="K63" s="158" t="s">
        <v>1048</v>
      </c>
      <c r="L63" s="147" t="s">
        <v>864</v>
      </c>
      <c r="M63" s="143" t="s">
        <v>217</v>
      </c>
      <c r="N63" s="143" t="s">
        <v>271</v>
      </c>
      <c r="O63" s="143" t="s">
        <v>595</v>
      </c>
    </row>
    <row r="64" spans="2:15" ht="51">
      <c r="B64" s="144">
        <v>41399.208333333336</v>
      </c>
      <c r="C64" s="155">
        <v>41399.208333333336</v>
      </c>
      <c r="D64" s="156">
        <v>41399.224999999999</v>
      </c>
      <c r="E64" s="143" t="s">
        <v>426</v>
      </c>
      <c r="I64" s="157" t="s">
        <v>21</v>
      </c>
      <c r="K64" s="158" t="s">
        <v>1049</v>
      </c>
      <c r="L64" s="147" t="s">
        <v>864</v>
      </c>
      <c r="M64" s="143" t="s">
        <v>217</v>
      </c>
      <c r="N64" s="143" t="s">
        <v>271</v>
      </c>
      <c r="O64" s="143" t="s">
        <v>595</v>
      </c>
    </row>
    <row r="65" spans="2:17" ht="76.5">
      <c r="B65" s="144">
        <v>41399.208333333336</v>
      </c>
      <c r="C65" s="155">
        <v>41399.208333333336</v>
      </c>
      <c r="D65" s="156">
        <v>41399.225694444445</v>
      </c>
      <c r="E65" s="143" t="s">
        <v>426</v>
      </c>
      <c r="I65" s="157" t="s">
        <v>21</v>
      </c>
      <c r="K65" s="158" t="s">
        <v>1050</v>
      </c>
      <c r="L65" s="147" t="s">
        <v>864</v>
      </c>
      <c r="M65" s="143" t="s">
        <v>217</v>
      </c>
      <c r="N65" s="143" t="s">
        <v>271</v>
      </c>
      <c r="O65" s="143" t="s">
        <v>595</v>
      </c>
    </row>
    <row r="66" spans="2:17" ht="51">
      <c r="B66" s="144">
        <v>41399.208333333336</v>
      </c>
      <c r="C66" s="155">
        <v>41399.208333333336</v>
      </c>
      <c r="D66" s="156">
        <v>41399.226388888892</v>
      </c>
      <c r="E66" s="143" t="s">
        <v>426</v>
      </c>
      <c r="I66" s="157" t="s">
        <v>21</v>
      </c>
      <c r="K66" s="158" t="s">
        <v>1051</v>
      </c>
      <c r="L66" s="147" t="s">
        <v>864</v>
      </c>
      <c r="M66" s="143" t="s">
        <v>839</v>
      </c>
      <c r="N66" s="143" t="s">
        <v>271</v>
      </c>
      <c r="O66" s="143" t="s">
        <v>595</v>
      </c>
    </row>
    <row r="67" spans="2:17" ht="51">
      <c r="B67" s="144">
        <v>41399.208333333336</v>
      </c>
      <c r="C67" s="155">
        <v>41399.208333333336</v>
      </c>
      <c r="D67" s="156">
        <v>41399.227083333331</v>
      </c>
      <c r="E67" s="143" t="s">
        <v>426</v>
      </c>
      <c r="I67" s="157" t="s">
        <v>21</v>
      </c>
      <c r="K67" s="158" t="s">
        <v>459</v>
      </c>
      <c r="L67" s="147" t="s">
        <v>864</v>
      </c>
      <c r="M67" s="143" t="s">
        <v>839</v>
      </c>
      <c r="N67" s="143" t="s">
        <v>271</v>
      </c>
      <c r="O67" s="143" t="s">
        <v>595</v>
      </c>
    </row>
    <row r="68" spans="2:17" ht="38.25" customHeight="1">
      <c r="B68" s="144">
        <v>41399</v>
      </c>
      <c r="C68" s="145">
        <v>41399.416666666664</v>
      </c>
      <c r="D68" s="146">
        <v>41399.416666666664</v>
      </c>
      <c r="E68" s="143" t="s">
        <v>735</v>
      </c>
      <c r="F68" s="147" t="s">
        <v>739</v>
      </c>
      <c r="H68" s="147" t="s">
        <v>736</v>
      </c>
      <c r="I68" s="143" t="s">
        <v>757</v>
      </c>
      <c r="J68" s="147" t="s">
        <v>733</v>
      </c>
      <c r="K68" s="143" t="s">
        <v>757</v>
      </c>
      <c r="L68" s="147" t="s">
        <v>864</v>
      </c>
      <c r="M68" s="143" t="s">
        <v>217</v>
      </c>
      <c r="N68" s="143" t="s">
        <v>271</v>
      </c>
      <c r="O68" s="143" t="s">
        <v>595</v>
      </c>
      <c r="P68" s="143" t="s">
        <v>139</v>
      </c>
    </row>
    <row r="69" spans="2:17" s="167" customFormat="1" ht="36" customHeight="1">
      <c r="B69" s="184"/>
      <c r="C69" s="185"/>
      <c r="D69" s="186" t="s">
        <v>841</v>
      </c>
      <c r="F69" s="194"/>
      <c r="H69" s="194"/>
      <c r="J69" s="194"/>
      <c r="K69" s="167" t="s">
        <v>837</v>
      </c>
      <c r="L69" s="194" t="s">
        <v>864</v>
      </c>
      <c r="M69" s="167" t="s">
        <v>839</v>
      </c>
      <c r="N69" s="167" t="s">
        <v>271</v>
      </c>
      <c r="O69" s="167" t="s">
        <v>977</v>
      </c>
      <c r="P69" s="167" t="s">
        <v>835</v>
      </c>
    </row>
    <row r="70" spans="2:17" ht="79.5" customHeight="1">
      <c r="D70" s="146">
        <v>41399.425000000003</v>
      </c>
      <c r="F70" s="147"/>
      <c r="H70" s="147"/>
      <c r="J70" s="147"/>
      <c r="K70" s="143" t="s">
        <v>842</v>
      </c>
      <c r="L70" s="159" t="s">
        <v>864</v>
      </c>
      <c r="M70" s="143" t="s">
        <v>740</v>
      </c>
      <c r="N70" s="143" t="s">
        <v>653</v>
      </c>
      <c r="P70" s="160" t="s">
        <v>836</v>
      </c>
    </row>
    <row r="71" spans="2:17" ht="51.75" customHeight="1">
      <c r="D71" s="146">
        <v>41399.427083333336</v>
      </c>
      <c r="F71" s="147"/>
      <c r="H71" s="147"/>
      <c r="J71" s="147"/>
      <c r="K71" s="143" t="s">
        <v>875</v>
      </c>
      <c r="L71" s="159" t="s">
        <v>864</v>
      </c>
      <c r="M71" s="143" t="s">
        <v>740</v>
      </c>
      <c r="N71" s="143" t="s">
        <v>653</v>
      </c>
      <c r="P71" s="143" t="s">
        <v>838</v>
      </c>
    </row>
    <row r="72" spans="2:17" s="167" customFormat="1" ht="38.25">
      <c r="B72" s="184">
        <v>40301</v>
      </c>
      <c r="C72" s="185">
        <v>41400.375</v>
      </c>
      <c r="D72" s="186">
        <v>41399.427777777775</v>
      </c>
      <c r="E72" s="167" t="s">
        <v>735</v>
      </c>
      <c r="F72" s="202" t="s">
        <v>365</v>
      </c>
      <c r="H72" s="167" t="s">
        <v>363</v>
      </c>
      <c r="J72" s="194"/>
      <c r="K72" s="203" t="s">
        <v>868</v>
      </c>
      <c r="L72" s="194" t="s">
        <v>864</v>
      </c>
      <c r="M72" s="167" t="s">
        <v>609</v>
      </c>
      <c r="N72" s="167" t="s">
        <v>365</v>
      </c>
      <c r="O72" s="167" t="s">
        <v>595</v>
      </c>
      <c r="P72" s="203" t="s">
        <v>361</v>
      </c>
      <c r="Q72" s="194" t="s">
        <v>364</v>
      </c>
    </row>
    <row r="73" spans="2:17" s="167" customFormat="1" ht="38.25">
      <c r="B73" s="184">
        <v>40301</v>
      </c>
      <c r="C73" s="185">
        <v>41400.375</v>
      </c>
      <c r="D73" s="186">
        <v>41400.428472222222</v>
      </c>
      <c r="E73" s="167" t="s">
        <v>735</v>
      </c>
      <c r="F73" s="202" t="s">
        <v>365</v>
      </c>
      <c r="H73" s="167" t="s">
        <v>363</v>
      </c>
      <c r="J73" s="194"/>
      <c r="K73" s="203" t="s">
        <v>868</v>
      </c>
      <c r="L73" s="194" t="s">
        <v>864</v>
      </c>
      <c r="M73" s="167" t="s">
        <v>609</v>
      </c>
      <c r="N73" s="167" t="s">
        <v>365</v>
      </c>
      <c r="O73" s="167" t="s">
        <v>595</v>
      </c>
      <c r="P73" s="203" t="s">
        <v>362</v>
      </c>
      <c r="Q73" s="194" t="s">
        <v>364</v>
      </c>
    </row>
    <row r="74" spans="2:17">
      <c r="B74" s="144">
        <v>41399</v>
      </c>
      <c r="C74" s="162">
        <v>0.5</v>
      </c>
      <c r="D74" s="146">
        <v>41399.5</v>
      </c>
      <c r="E74" s="163" t="s">
        <v>735</v>
      </c>
      <c r="F74" s="163" t="s">
        <v>741</v>
      </c>
      <c r="G74" s="143" t="s">
        <v>742</v>
      </c>
      <c r="H74" s="143" t="s">
        <v>743</v>
      </c>
      <c r="K74" s="143" t="s">
        <v>744</v>
      </c>
      <c r="L74" s="143" t="s">
        <v>864</v>
      </c>
      <c r="M74" s="143" t="s">
        <v>217</v>
      </c>
      <c r="N74" s="143" t="s">
        <v>271</v>
      </c>
      <c r="O74" s="143" t="s">
        <v>595</v>
      </c>
      <c r="P74" s="143" t="s">
        <v>746</v>
      </c>
    </row>
    <row r="75" spans="2:17" ht="114.75">
      <c r="B75" s="144">
        <v>41399</v>
      </c>
      <c r="C75" s="145">
        <v>41401.666666666664</v>
      </c>
      <c r="D75" s="146">
        <v>41399.666666666664</v>
      </c>
      <c r="E75" s="143" t="s">
        <v>735</v>
      </c>
      <c r="F75" s="147" t="s">
        <v>739</v>
      </c>
      <c r="H75" s="147" t="s">
        <v>736</v>
      </c>
      <c r="I75" s="143" t="s">
        <v>758</v>
      </c>
      <c r="J75" s="147" t="s">
        <v>733</v>
      </c>
      <c r="K75" s="143" t="s">
        <v>758</v>
      </c>
      <c r="L75" s="143" t="s">
        <v>864</v>
      </c>
      <c r="M75" s="143" t="s">
        <v>217</v>
      </c>
      <c r="N75" s="143" t="s">
        <v>271</v>
      </c>
      <c r="O75" s="143" t="s">
        <v>595</v>
      </c>
      <c r="P75" s="143" t="s">
        <v>140</v>
      </c>
    </row>
    <row r="76" spans="2:17" ht="114.75">
      <c r="B76" s="144">
        <v>41401</v>
      </c>
      <c r="C76" s="145">
        <v>41401.916666666664</v>
      </c>
      <c r="D76" s="146">
        <v>41399.916666666664</v>
      </c>
      <c r="E76" s="143" t="s">
        <v>735</v>
      </c>
      <c r="F76" s="147" t="s">
        <v>739</v>
      </c>
      <c r="H76" s="147" t="s">
        <v>736</v>
      </c>
      <c r="I76" s="143" t="s">
        <v>759</v>
      </c>
      <c r="J76" s="147" t="s">
        <v>733</v>
      </c>
      <c r="K76" s="143" t="s">
        <v>759</v>
      </c>
      <c r="L76" s="143" t="s">
        <v>864</v>
      </c>
      <c r="M76" s="143" t="s">
        <v>217</v>
      </c>
      <c r="N76" s="143" t="s">
        <v>271</v>
      </c>
      <c r="O76" s="143" t="s">
        <v>595</v>
      </c>
      <c r="P76" s="143" t="s">
        <v>141</v>
      </c>
    </row>
    <row r="77" spans="2:17" ht="102">
      <c r="B77" s="144">
        <v>40301</v>
      </c>
      <c r="C77" s="145">
        <v>41401.166666666664</v>
      </c>
      <c r="D77" s="146">
        <v>41400.166666666664</v>
      </c>
      <c r="E77" s="143" t="s">
        <v>735</v>
      </c>
      <c r="F77" s="147" t="s">
        <v>739</v>
      </c>
      <c r="H77" s="147" t="s">
        <v>736</v>
      </c>
      <c r="I77" s="143" t="s">
        <v>760</v>
      </c>
      <c r="J77" s="147" t="s">
        <v>733</v>
      </c>
      <c r="K77" s="143" t="s">
        <v>760</v>
      </c>
      <c r="L77" s="143" t="s">
        <v>864</v>
      </c>
      <c r="M77" s="143" t="s">
        <v>217</v>
      </c>
      <c r="N77" s="143" t="s">
        <v>271</v>
      </c>
      <c r="O77" s="143" t="s">
        <v>595</v>
      </c>
      <c r="P77" s="143" t="s">
        <v>142</v>
      </c>
    </row>
    <row r="78" spans="2:17" ht="51">
      <c r="B78" s="144">
        <v>41401.208333333336</v>
      </c>
      <c r="C78" s="155">
        <v>41401.208333333336</v>
      </c>
      <c r="D78" s="156">
        <v>41400.208333333336</v>
      </c>
      <c r="E78" s="143" t="s">
        <v>426</v>
      </c>
      <c r="I78" s="157" t="s">
        <v>21</v>
      </c>
      <c r="K78" s="158" t="s">
        <v>460</v>
      </c>
      <c r="L78" s="143" t="s">
        <v>864</v>
      </c>
      <c r="M78" s="143" t="s">
        <v>217</v>
      </c>
      <c r="N78" s="143" t="s">
        <v>271</v>
      </c>
      <c r="O78" s="143" t="s">
        <v>595</v>
      </c>
    </row>
    <row r="79" spans="2:17" ht="51">
      <c r="B79" s="144">
        <v>41400.208333333336</v>
      </c>
      <c r="C79" s="155">
        <v>41400.208333333336</v>
      </c>
      <c r="D79" s="156">
        <v>41400.209027777775</v>
      </c>
      <c r="E79" s="143" t="s">
        <v>426</v>
      </c>
      <c r="I79" s="157" t="s">
        <v>21</v>
      </c>
      <c r="K79" s="158" t="s">
        <v>475</v>
      </c>
      <c r="L79" s="143" t="s">
        <v>864</v>
      </c>
      <c r="M79" s="143" t="s">
        <v>217</v>
      </c>
      <c r="N79" s="143" t="s">
        <v>271</v>
      </c>
      <c r="O79" s="143" t="s">
        <v>595</v>
      </c>
    </row>
    <row r="80" spans="2:17" ht="51">
      <c r="B80" s="144">
        <v>41400.208333333336</v>
      </c>
      <c r="C80" s="155">
        <v>41400.208333333336</v>
      </c>
      <c r="D80" s="156">
        <v>41400.209722222222</v>
      </c>
      <c r="E80" s="143" t="s">
        <v>426</v>
      </c>
      <c r="I80" s="157" t="s">
        <v>21</v>
      </c>
      <c r="K80" s="158" t="s">
        <v>860</v>
      </c>
      <c r="L80" s="143" t="s">
        <v>864</v>
      </c>
      <c r="M80" s="143" t="s">
        <v>217</v>
      </c>
      <c r="N80" s="143" t="s">
        <v>271</v>
      </c>
      <c r="O80" s="143" t="s">
        <v>595</v>
      </c>
    </row>
    <row r="81" spans="2:15" ht="51">
      <c r="B81" s="144">
        <v>41400.208333333336</v>
      </c>
      <c r="C81" s="155">
        <v>41400.208333333336</v>
      </c>
      <c r="D81" s="156">
        <v>41400.210416666669</v>
      </c>
      <c r="E81" s="143" t="s">
        <v>426</v>
      </c>
      <c r="I81" s="157" t="s">
        <v>21</v>
      </c>
      <c r="K81" s="158" t="s">
        <v>858</v>
      </c>
      <c r="L81" s="143" t="s">
        <v>864</v>
      </c>
      <c r="M81" s="143" t="s">
        <v>217</v>
      </c>
      <c r="N81" s="143" t="s">
        <v>271</v>
      </c>
      <c r="O81" s="143" t="s">
        <v>595</v>
      </c>
    </row>
    <row r="82" spans="2:15" ht="51">
      <c r="B82" s="144">
        <v>41400.208333333336</v>
      </c>
      <c r="C82" s="155">
        <v>41400.208333333336</v>
      </c>
      <c r="D82" s="156">
        <v>41400.211111111108</v>
      </c>
      <c r="E82" s="143" t="s">
        <v>426</v>
      </c>
      <c r="I82" s="157" t="s">
        <v>21</v>
      </c>
      <c r="K82" s="158" t="s">
        <v>461</v>
      </c>
      <c r="L82" s="143" t="s">
        <v>864</v>
      </c>
      <c r="M82" s="143" t="s">
        <v>217</v>
      </c>
      <c r="N82" s="143" t="s">
        <v>271</v>
      </c>
      <c r="O82" s="143" t="s">
        <v>595</v>
      </c>
    </row>
    <row r="83" spans="2:15" ht="51">
      <c r="B83" s="144">
        <v>41400.208333333336</v>
      </c>
      <c r="C83" s="155">
        <v>41400.208333333336</v>
      </c>
      <c r="D83" s="156">
        <v>41400.211805555555</v>
      </c>
      <c r="E83" s="143" t="s">
        <v>426</v>
      </c>
      <c r="I83" s="157" t="s">
        <v>21</v>
      </c>
      <c r="K83" s="158" t="s">
        <v>462</v>
      </c>
      <c r="L83" s="143" t="s">
        <v>864</v>
      </c>
      <c r="M83" s="143" t="s">
        <v>217</v>
      </c>
      <c r="N83" s="143" t="s">
        <v>271</v>
      </c>
      <c r="O83" s="143" t="s">
        <v>595</v>
      </c>
    </row>
    <row r="84" spans="2:15" ht="51">
      <c r="B84" s="144">
        <v>41400.208333333336</v>
      </c>
      <c r="C84" s="155">
        <v>41400.208333333336</v>
      </c>
      <c r="D84" s="156">
        <v>41400.212500000001</v>
      </c>
      <c r="E84" s="143" t="s">
        <v>426</v>
      </c>
      <c r="I84" s="157" t="s">
        <v>21</v>
      </c>
      <c r="K84" s="158" t="s">
        <v>463</v>
      </c>
      <c r="L84" s="143" t="s">
        <v>864</v>
      </c>
      <c r="M84" s="143" t="s">
        <v>217</v>
      </c>
      <c r="N84" s="143" t="s">
        <v>271</v>
      </c>
      <c r="O84" s="143" t="s">
        <v>595</v>
      </c>
    </row>
    <row r="85" spans="2:15" ht="51">
      <c r="B85" s="144">
        <v>41400.208333333336</v>
      </c>
      <c r="C85" s="155">
        <v>41400.208333333336</v>
      </c>
      <c r="D85" s="156">
        <v>41400.213194444441</v>
      </c>
      <c r="E85" s="143" t="s">
        <v>426</v>
      </c>
      <c r="I85" s="157" t="s">
        <v>21</v>
      </c>
      <c r="K85" s="158" t="s">
        <v>464</v>
      </c>
      <c r="L85" s="143" t="s">
        <v>864</v>
      </c>
      <c r="M85" s="143" t="s">
        <v>217</v>
      </c>
      <c r="N85" s="143" t="s">
        <v>271</v>
      </c>
      <c r="O85" s="143" t="s">
        <v>595</v>
      </c>
    </row>
    <row r="86" spans="2:15" ht="51">
      <c r="B86" s="144">
        <v>41400.208333333336</v>
      </c>
      <c r="C86" s="155">
        <v>41400.208333333336</v>
      </c>
      <c r="D86" s="156">
        <v>41400.213888888888</v>
      </c>
      <c r="E86" s="143" t="s">
        <v>426</v>
      </c>
      <c r="I86" s="157" t="s">
        <v>21</v>
      </c>
      <c r="K86" s="158" t="s">
        <v>465</v>
      </c>
      <c r="L86" s="143" t="s">
        <v>864</v>
      </c>
      <c r="M86" s="143" t="s">
        <v>217</v>
      </c>
      <c r="N86" s="143" t="s">
        <v>271</v>
      </c>
      <c r="O86" s="143" t="s">
        <v>595</v>
      </c>
    </row>
    <row r="87" spans="2:15" ht="51">
      <c r="B87" s="144">
        <v>41400.208333333336</v>
      </c>
      <c r="C87" s="155">
        <v>41400.208333333336</v>
      </c>
      <c r="D87" s="156">
        <v>41400.214583333334</v>
      </c>
      <c r="E87" s="143" t="s">
        <v>426</v>
      </c>
      <c r="I87" s="157" t="s">
        <v>21</v>
      </c>
      <c r="K87" s="158" t="s">
        <v>466</v>
      </c>
      <c r="L87" s="143" t="s">
        <v>864</v>
      </c>
      <c r="M87" s="143" t="s">
        <v>217</v>
      </c>
      <c r="N87" s="143" t="s">
        <v>271</v>
      </c>
      <c r="O87" s="143" t="s">
        <v>595</v>
      </c>
    </row>
    <row r="88" spans="2:15" ht="51">
      <c r="B88" s="144">
        <v>41400.208333333336</v>
      </c>
      <c r="C88" s="155">
        <v>41400.208333333336</v>
      </c>
      <c r="D88" s="156">
        <v>41400.215277777781</v>
      </c>
      <c r="E88" s="143" t="s">
        <v>426</v>
      </c>
      <c r="I88" s="157" t="s">
        <v>21</v>
      </c>
      <c r="K88" s="158" t="s">
        <v>467</v>
      </c>
      <c r="L88" s="143" t="s">
        <v>864</v>
      </c>
      <c r="M88" s="143" t="s">
        <v>217</v>
      </c>
      <c r="N88" s="143" t="s">
        <v>271</v>
      </c>
      <c r="O88" s="143" t="s">
        <v>595</v>
      </c>
    </row>
    <row r="89" spans="2:15" ht="51">
      <c r="B89" s="144">
        <v>41400.208333333336</v>
      </c>
      <c r="C89" s="155">
        <v>41400.208333333336</v>
      </c>
      <c r="D89" s="156">
        <v>41400.21597222222</v>
      </c>
      <c r="E89" s="143" t="s">
        <v>426</v>
      </c>
      <c r="I89" s="157" t="s">
        <v>21</v>
      </c>
      <c r="K89" s="158" t="s">
        <v>468</v>
      </c>
      <c r="L89" s="143" t="s">
        <v>864</v>
      </c>
      <c r="M89" s="143" t="s">
        <v>217</v>
      </c>
      <c r="N89" s="143" t="s">
        <v>271</v>
      </c>
      <c r="O89" s="143" t="s">
        <v>595</v>
      </c>
    </row>
    <row r="90" spans="2:15" ht="51">
      <c r="B90" s="144">
        <v>41400.208333333336</v>
      </c>
      <c r="C90" s="155">
        <v>41400.208333333336</v>
      </c>
      <c r="D90" s="156">
        <v>41400.216666666667</v>
      </c>
      <c r="E90" s="143" t="s">
        <v>426</v>
      </c>
      <c r="I90" s="157" t="s">
        <v>21</v>
      </c>
      <c r="K90" s="158" t="s">
        <v>469</v>
      </c>
      <c r="L90" s="143" t="s">
        <v>864</v>
      </c>
      <c r="M90" s="143" t="s">
        <v>217</v>
      </c>
      <c r="N90" s="143" t="s">
        <v>271</v>
      </c>
      <c r="O90" s="143" t="s">
        <v>595</v>
      </c>
    </row>
    <row r="91" spans="2:15" ht="51">
      <c r="B91" s="144">
        <v>41400.208333333336</v>
      </c>
      <c r="C91" s="155">
        <v>41400.208333333336</v>
      </c>
      <c r="D91" s="156">
        <v>41400.217361111114</v>
      </c>
      <c r="E91" s="143" t="s">
        <v>426</v>
      </c>
      <c r="I91" s="157" t="s">
        <v>21</v>
      </c>
      <c r="K91" s="158" t="s">
        <v>470</v>
      </c>
      <c r="L91" s="143" t="s">
        <v>864</v>
      </c>
      <c r="M91" s="143" t="s">
        <v>217</v>
      </c>
      <c r="N91" s="143" t="s">
        <v>271</v>
      </c>
      <c r="O91" s="143" t="s">
        <v>595</v>
      </c>
    </row>
    <row r="92" spans="2:15" ht="51">
      <c r="B92" s="144">
        <v>41400.208333333336</v>
      </c>
      <c r="C92" s="155">
        <v>41400.208333333336</v>
      </c>
      <c r="D92" s="156">
        <v>41400.218055555553</v>
      </c>
      <c r="E92" s="143" t="s">
        <v>426</v>
      </c>
      <c r="I92" s="157" t="s">
        <v>21</v>
      </c>
      <c r="K92" s="158" t="s">
        <v>471</v>
      </c>
      <c r="L92" s="143" t="s">
        <v>864</v>
      </c>
      <c r="M92" s="143" t="s">
        <v>217</v>
      </c>
      <c r="N92" s="143" t="s">
        <v>271</v>
      </c>
      <c r="O92" s="143" t="s">
        <v>595</v>
      </c>
    </row>
    <row r="93" spans="2:15" ht="51">
      <c r="B93" s="144">
        <v>41400.208333333336</v>
      </c>
      <c r="C93" s="155">
        <v>41400.208333333336</v>
      </c>
      <c r="D93" s="156">
        <v>41400.21875</v>
      </c>
      <c r="E93" s="143" t="s">
        <v>426</v>
      </c>
      <c r="I93" s="157" t="s">
        <v>21</v>
      </c>
      <c r="K93" s="158" t="s">
        <v>472</v>
      </c>
      <c r="L93" s="143" t="s">
        <v>864</v>
      </c>
      <c r="M93" s="143" t="s">
        <v>217</v>
      </c>
      <c r="N93" s="143" t="s">
        <v>271</v>
      </c>
      <c r="O93" s="143" t="s">
        <v>595</v>
      </c>
    </row>
    <row r="94" spans="2:15" ht="51">
      <c r="B94" s="144">
        <v>41400.208333333336</v>
      </c>
      <c r="C94" s="155">
        <v>41400.208333333336</v>
      </c>
      <c r="D94" s="156">
        <v>41400.219444444447</v>
      </c>
      <c r="E94" s="143" t="s">
        <v>426</v>
      </c>
      <c r="I94" s="157" t="s">
        <v>21</v>
      </c>
      <c r="K94" s="158" t="s">
        <v>473</v>
      </c>
      <c r="L94" s="143" t="s">
        <v>864</v>
      </c>
      <c r="M94" s="143" t="s">
        <v>217</v>
      </c>
      <c r="N94" s="143" t="s">
        <v>271</v>
      </c>
      <c r="O94" s="143" t="s">
        <v>595</v>
      </c>
    </row>
    <row r="95" spans="2:15" ht="63.75">
      <c r="B95" s="144">
        <v>41400.208333333336</v>
      </c>
      <c r="C95" s="155">
        <v>41400.208333333336</v>
      </c>
      <c r="D95" s="156">
        <v>41400.220138888886</v>
      </c>
      <c r="E95" s="143" t="s">
        <v>426</v>
      </c>
      <c r="I95" s="157" t="s">
        <v>21</v>
      </c>
      <c r="K95" s="158" t="s">
        <v>1052</v>
      </c>
      <c r="L95" s="143" t="s">
        <v>864</v>
      </c>
      <c r="M95" s="143" t="s">
        <v>217</v>
      </c>
      <c r="N95" s="143" t="s">
        <v>271</v>
      </c>
      <c r="O95" s="143" t="s">
        <v>595</v>
      </c>
    </row>
    <row r="96" spans="2:15" ht="51">
      <c r="B96" s="144">
        <v>41400.208333333336</v>
      </c>
      <c r="C96" s="155">
        <v>41400.208333333336</v>
      </c>
      <c r="D96" s="156">
        <v>41400.220833333333</v>
      </c>
      <c r="E96" s="143" t="s">
        <v>426</v>
      </c>
      <c r="I96" s="157" t="s">
        <v>21</v>
      </c>
      <c r="K96" s="158" t="s">
        <v>1053</v>
      </c>
      <c r="L96" s="143" t="s">
        <v>864</v>
      </c>
      <c r="M96" s="143" t="s">
        <v>217</v>
      </c>
      <c r="N96" s="143" t="s">
        <v>271</v>
      </c>
      <c r="O96" s="143" t="s">
        <v>595</v>
      </c>
    </row>
    <row r="97" spans="2:16" ht="51">
      <c r="B97" s="144">
        <v>41400.208333333336</v>
      </c>
      <c r="C97" s="155">
        <v>41400.208333333336</v>
      </c>
      <c r="D97" s="156">
        <v>41400.22152777778</v>
      </c>
      <c r="E97" s="143" t="s">
        <v>426</v>
      </c>
      <c r="I97" s="157" t="s">
        <v>21</v>
      </c>
      <c r="K97" s="158" t="s">
        <v>1054</v>
      </c>
      <c r="L97" s="143" t="s">
        <v>864</v>
      </c>
      <c r="M97" s="143" t="s">
        <v>217</v>
      </c>
      <c r="N97" s="143" t="s">
        <v>271</v>
      </c>
      <c r="O97" s="143" t="s">
        <v>595</v>
      </c>
    </row>
    <row r="98" spans="2:16" ht="51">
      <c r="B98" s="144">
        <v>41400.208333333336</v>
      </c>
      <c r="C98" s="155">
        <v>41400.208333333336</v>
      </c>
      <c r="D98" s="156">
        <v>41400.222222222219</v>
      </c>
      <c r="E98" s="143" t="s">
        <v>426</v>
      </c>
      <c r="I98" s="157" t="s">
        <v>21</v>
      </c>
      <c r="K98" s="158" t="s">
        <v>1055</v>
      </c>
      <c r="L98" s="143" t="s">
        <v>864</v>
      </c>
      <c r="M98" s="143" t="s">
        <v>217</v>
      </c>
      <c r="N98" s="143" t="s">
        <v>271</v>
      </c>
      <c r="O98" s="143" t="s">
        <v>595</v>
      </c>
    </row>
    <row r="99" spans="2:16" ht="114.75">
      <c r="B99" s="144">
        <v>41400.208333333336</v>
      </c>
      <c r="C99" s="155">
        <v>41400.208333333336</v>
      </c>
      <c r="D99" s="156">
        <v>41400.222916666666</v>
      </c>
      <c r="E99" s="143" t="s">
        <v>426</v>
      </c>
      <c r="I99" s="157" t="s">
        <v>21</v>
      </c>
      <c r="K99" s="158" t="s">
        <v>1056</v>
      </c>
      <c r="L99" s="143" t="s">
        <v>864</v>
      </c>
      <c r="M99" s="143" t="s">
        <v>217</v>
      </c>
      <c r="N99" s="143" t="s">
        <v>271</v>
      </c>
      <c r="O99" s="143" t="s">
        <v>595</v>
      </c>
    </row>
    <row r="100" spans="2:16" ht="51">
      <c r="B100" s="144">
        <v>41400.208333333336</v>
      </c>
      <c r="C100" s="155">
        <v>41400.208333333336</v>
      </c>
      <c r="D100" s="156">
        <v>41400.223611111112</v>
      </c>
      <c r="E100" s="143" t="s">
        <v>426</v>
      </c>
      <c r="I100" s="157" t="s">
        <v>21</v>
      </c>
      <c r="K100" s="158" t="s">
        <v>1057</v>
      </c>
      <c r="L100" s="143" t="s">
        <v>864</v>
      </c>
      <c r="M100" s="143" t="s">
        <v>217</v>
      </c>
      <c r="N100" s="143" t="s">
        <v>271</v>
      </c>
      <c r="O100" s="143" t="s">
        <v>595</v>
      </c>
    </row>
    <row r="101" spans="2:16" ht="51">
      <c r="B101" s="144">
        <v>41400.208333333336</v>
      </c>
      <c r="C101" s="155">
        <v>41400.208333333336</v>
      </c>
      <c r="D101" s="156">
        <v>41400.224305555559</v>
      </c>
      <c r="E101" s="143" t="s">
        <v>426</v>
      </c>
      <c r="I101" s="157" t="s">
        <v>21</v>
      </c>
      <c r="K101" s="158" t="s">
        <v>1058</v>
      </c>
      <c r="L101" s="143" t="s">
        <v>864</v>
      </c>
      <c r="M101" s="143" t="s">
        <v>217</v>
      </c>
      <c r="N101" s="143" t="s">
        <v>271</v>
      </c>
      <c r="O101" s="143" t="s">
        <v>595</v>
      </c>
    </row>
    <row r="102" spans="2:16" ht="51">
      <c r="B102" s="144">
        <v>41400.208333333336</v>
      </c>
      <c r="C102" s="155">
        <v>41400.208333333336</v>
      </c>
      <c r="D102" s="156">
        <v>41400.224999999999</v>
      </c>
      <c r="E102" s="143" t="s">
        <v>426</v>
      </c>
      <c r="I102" s="157" t="s">
        <v>21</v>
      </c>
      <c r="K102" s="158" t="s">
        <v>474</v>
      </c>
      <c r="L102" s="143" t="s">
        <v>864</v>
      </c>
      <c r="M102" s="143" t="s">
        <v>217</v>
      </c>
      <c r="N102" s="143" t="s">
        <v>271</v>
      </c>
      <c r="O102" s="143" t="s">
        <v>595</v>
      </c>
    </row>
    <row r="103" spans="2:16" s="161" customFormat="1" ht="72.75" customHeight="1">
      <c r="B103" s="190">
        <v>41400.3125</v>
      </c>
      <c r="C103" s="191">
        <v>41400.3125</v>
      </c>
      <c r="D103" s="192">
        <v>41400.313194444447</v>
      </c>
      <c r="E103" s="161" t="s">
        <v>544</v>
      </c>
      <c r="F103" s="193" t="s">
        <v>545</v>
      </c>
      <c r="G103" s="161" t="s">
        <v>546</v>
      </c>
      <c r="H103" s="193" t="s">
        <v>547</v>
      </c>
      <c r="I103" s="161" t="s">
        <v>548</v>
      </c>
      <c r="J103" s="193"/>
      <c r="K103" s="161" t="s">
        <v>543</v>
      </c>
      <c r="L103" s="193" t="s">
        <v>775</v>
      </c>
      <c r="M103" s="161" t="s">
        <v>740</v>
      </c>
      <c r="N103" s="161" t="s">
        <v>1059</v>
      </c>
      <c r="P103" s="161" t="s">
        <v>968</v>
      </c>
    </row>
    <row r="104" spans="2:16" s="164" customFormat="1" ht="33" customHeight="1">
      <c r="B104" s="175"/>
      <c r="C104" s="179"/>
      <c r="D104" s="187">
        <v>41400.315972222219</v>
      </c>
      <c r="F104" s="188"/>
      <c r="H104" s="188"/>
      <c r="J104" s="188"/>
      <c r="K104" s="164" t="s">
        <v>394</v>
      </c>
      <c r="L104" s="164" t="s">
        <v>864</v>
      </c>
      <c r="M104" s="164" t="s">
        <v>609</v>
      </c>
      <c r="N104" s="164" t="s">
        <v>396</v>
      </c>
      <c r="P104" s="164" t="s">
        <v>381</v>
      </c>
    </row>
    <row r="105" spans="2:16" s="164" customFormat="1" ht="23.25" customHeight="1">
      <c r="B105" s="175"/>
      <c r="C105" s="179"/>
      <c r="D105" s="187">
        <v>41400.318749999999</v>
      </c>
      <c r="E105" s="164" t="s">
        <v>373</v>
      </c>
      <c r="F105" s="164" t="s">
        <v>397</v>
      </c>
      <c r="H105" s="164" t="s">
        <v>595</v>
      </c>
      <c r="J105" s="164">
        <v>5</v>
      </c>
      <c r="K105" s="164" t="s">
        <v>394</v>
      </c>
      <c r="L105" s="164" t="s">
        <v>864</v>
      </c>
      <c r="M105" s="164" t="s">
        <v>609</v>
      </c>
      <c r="N105" s="164" t="s">
        <v>881</v>
      </c>
      <c r="P105" s="164" t="s">
        <v>380</v>
      </c>
    </row>
    <row r="106" spans="2:16" ht="25.5">
      <c r="D106" s="146">
        <v>41400.322916666664</v>
      </c>
      <c r="E106" s="143" t="s">
        <v>373</v>
      </c>
      <c r="F106" s="143" t="s">
        <v>393</v>
      </c>
      <c r="H106" s="143" t="s">
        <v>595</v>
      </c>
      <c r="K106" s="143" t="s">
        <v>874</v>
      </c>
      <c r="L106" s="143" t="s">
        <v>864</v>
      </c>
      <c r="M106" s="143" t="s">
        <v>839</v>
      </c>
      <c r="N106" s="143" t="s">
        <v>653</v>
      </c>
      <c r="P106" s="143" t="s">
        <v>384</v>
      </c>
    </row>
    <row r="107" spans="2:16" s="161" customFormat="1" ht="50.25" customHeight="1">
      <c r="B107" s="190"/>
      <c r="C107" s="191"/>
      <c r="D107" s="192"/>
      <c r="K107" s="161" t="s">
        <v>844</v>
      </c>
      <c r="L107" s="161" t="s">
        <v>864</v>
      </c>
      <c r="M107" s="161" t="s">
        <v>609</v>
      </c>
      <c r="N107" s="161" t="s">
        <v>1082</v>
      </c>
      <c r="P107" s="161" t="s">
        <v>843</v>
      </c>
    </row>
    <row r="108" spans="2:16" s="166" customFormat="1" ht="51">
      <c r="B108" s="198"/>
      <c r="C108" s="199"/>
      <c r="D108" s="200">
        <v>41400.333333333336</v>
      </c>
      <c r="E108" s="166" t="s">
        <v>775</v>
      </c>
      <c r="F108" s="201" t="s">
        <v>653</v>
      </c>
      <c r="H108" s="201" t="s">
        <v>370</v>
      </c>
      <c r="J108" s="201"/>
      <c r="K108" s="166" t="s">
        <v>45</v>
      </c>
      <c r="L108" s="201" t="s">
        <v>735</v>
      </c>
      <c r="M108" s="166" t="s">
        <v>217</v>
      </c>
      <c r="N108" s="166" t="s">
        <v>653</v>
      </c>
      <c r="P108" s="166" t="s">
        <v>143</v>
      </c>
    </row>
    <row r="109" spans="2:16" s="164" customFormat="1" ht="25.5">
      <c r="B109" s="175">
        <v>40301</v>
      </c>
      <c r="C109" s="176">
        <v>0.33333333333333331</v>
      </c>
      <c r="D109" s="187">
        <v>41400.334027777775</v>
      </c>
      <c r="E109" s="177" t="s">
        <v>735</v>
      </c>
      <c r="F109" s="177" t="s">
        <v>652</v>
      </c>
      <c r="G109" s="164" t="s">
        <v>653</v>
      </c>
      <c r="H109" s="164" t="s">
        <v>654</v>
      </c>
      <c r="K109" s="164" t="s">
        <v>655</v>
      </c>
      <c r="L109" s="164" t="s">
        <v>661</v>
      </c>
      <c r="M109" s="164" t="s">
        <v>839</v>
      </c>
      <c r="N109" s="164" t="s">
        <v>653</v>
      </c>
      <c r="P109" s="164" t="s">
        <v>656</v>
      </c>
    </row>
    <row r="110" spans="2:16" s="164" customFormat="1" ht="25.5">
      <c r="B110" s="175">
        <v>40301</v>
      </c>
      <c r="C110" s="176">
        <v>0.33333333333333331</v>
      </c>
      <c r="D110" s="187">
        <v>41400.334722222222</v>
      </c>
      <c r="E110" s="177" t="s">
        <v>735</v>
      </c>
      <c r="F110" s="177" t="s">
        <v>652</v>
      </c>
      <c r="G110" s="164" t="s">
        <v>653</v>
      </c>
      <c r="H110" s="164" t="s">
        <v>654</v>
      </c>
      <c r="I110" s="164" t="s">
        <v>658</v>
      </c>
      <c r="K110" s="164" t="s">
        <v>659</v>
      </c>
      <c r="L110" s="164" t="s">
        <v>373</v>
      </c>
      <c r="M110" s="164" t="s">
        <v>609</v>
      </c>
      <c r="N110" s="164" t="s">
        <v>653</v>
      </c>
      <c r="P110" s="164" t="s">
        <v>662</v>
      </c>
    </row>
    <row r="111" spans="2:16" s="164" customFormat="1" ht="25.5">
      <c r="B111" s="175">
        <v>40301</v>
      </c>
      <c r="C111" s="176">
        <v>0.33333333333333331</v>
      </c>
      <c r="D111" s="187">
        <v>41400.335416666669</v>
      </c>
      <c r="E111" s="177" t="s">
        <v>735</v>
      </c>
      <c r="F111" s="177" t="s">
        <v>652</v>
      </c>
      <c r="G111" s="164" t="s">
        <v>653</v>
      </c>
      <c r="H111" s="164" t="s">
        <v>654</v>
      </c>
      <c r="I111" s="164" t="s">
        <v>663</v>
      </c>
      <c r="K111" s="164" t="s">
        <v>664</v>
      </c>
      <c r="L111" s="164" t="s">
        <v>373</v>
      </c>
      <c r="M111" s="164" t="s">
        <v>609</v>
      </c>
      <c r="N111" s="164" t="s">
        <v>653</v>
      </c>
      <c r="P111" s="164" t="s">
        <v>665</v>
      </c>
    </row>
    <row r="112" spans="2:16" s="167" customFormat="1" ht="51">
      <c r="B112" s="184">
        <v>40301</v>
      </c>
      <c r="C112" s="196">
        <v>0.35416666666666669</v>
      </c>
      <c r="D112" s="186">
        <v>41400.354166666664</v>
      </c>
      <c r="E112" s="197" t="s">
        <v>775</v>
      </c>
      <c r="F112" s="197" t="s">
        <v>666</v>
      </c>
      <c r="G112" s="167" t="s">
        <v>667</v>
      </c>
      <c r="H112" s="167" t="s">
        <v>668</v>
      </c>
      <c r="I112" s="167" t="s">
        <v>672</v>
      </c>
      <c r="K112" s="167" t="s">
        <v>669</v>
      </c>
      <c r="L112" s="167" t="s">
        <v>775</v>
      </c>
      <c r="M112" s="167" t="s">
        <v>217</v>
      </c>
      <c r="N112" s="167" t="s">
        <v>271</v>
      </c>
      <c r="O112" s="167" t="s">
        <v>595</v>
      </c>
      <c r="P112" s="167" t="s">
        <v>671</v>
      </c>
    </row>
    <row r="113" spans="2:16" s="167" customFormat="1" ht="31.5" customHeight="1">
      <c r="B113" s="184"/>
      <c r="C113" s="196"/>
      <c r="D113" s="186">
        <v>41400.357638888891</v>
      </c>
      <c r="E113" s="197"/>
      <c r="F113" s="197"/>
      <c r="K113" s="167" t="s">
        <v>975</v>
      </c>
      <c r="L113" s="167" t="s">
        <v>735</v>
      </c>
      <c r="M113" s="167" t="s">
        <v>839</v>
      </c>
      <c r="N113" s="167" t="s">
        <v>271</v>
      </c>
      <c r="O113" s="167" t="s">
        <v>972</v>
      </c>
      <c r="P113" s="167" t="s">
        <v>974</v>
      </c>
    </row>
    <row r="114" spans="2:16" s="167" customFormat="1" ht="35.25" customHeight="1">
      <c r="B114" s="184"/>
      <c r="C114" s="196"/>
      <c r="D114" s="186">
        <v>41400.361111111109</v>
      </c>
      <c r="E114" s="197"/>
      <c r="F114" s="197"/>
      <c r="K114" s="167" t="s">
        <v>978</v>
      </c>
      <c r="L114" s="167" t="s">
        <v>735</v>
      </c>
      <c r="M114" s="167" t="s">
        <v>839</v>
      </c>
      <c r="N114" s="167" t="s">
        <v>271</v>
      </c>
      <c r="O114" s="167" t="s">
        <v>977</v>
      </c>
      <c r="P114" s="167" t="s">
        <v>976</v>
      </c>
    </row>
    <row r="115" spans="2:16" s="167" customFormat="1" ht="25.5">
      <c r="B115" s="184"/>
      <c r="C115" s="185"/>
      <c r="D115" s="186">
        <v>41400.375694444447</v>
      </c>
      <c r="E115" s="167" t="s">
        <v>735</v>
      </c>
      <c r="F115" s="194" t="s">
        <v>641</v>
      </c>
      <c r="G115" s="167" t="s">
        <v>638</v>
      </c>
      <c r="H115" s="194" t="s">
        <v>595</v>
      </c>
      <c r="I115" s="167" t="s">
        <v>48</v>
      </c>
      <c r="J115" s="194"/>
      <c r="K115" s="167" t="s">
        <v>970</v>
      </c>
      <c r="L115" s="194" t="s">
        <v>969</v>
      </c>
      <c r="M115" s="167" t="s">
        <v>839</v>
      </c>
      <c r="N115" s="167" t="s">
        <v>271</v>
      </c>
      <c r="O115" s="167" t="s">
        <v>683</v>
      </c>
      <c r="P115" s="167" t="s">
        <v>203</v>
      </c>
    </row>
    <row r="116" spans="2:16" s="167" customFormat="1" ht="25.5">
      <c r="B116" s="184">
        <v>40301</v>
      </c>
      <c r="C116" s="196">
        <v>0.375</v>
      </c>
      <c r="D116" s="186">
        <v>41400.376388888886</v>
      </c>
      <c r="E116" s="197" t="s">
        <v>775</v>
      </c>
      <c r="F116" s="197" t="s">
        <v>695</v>
      </c>
      <c r="G116" s="167" t="s">
        <v>696</v>
      </c>
      <c r="H116" s="167" t="s">
        <v>654</v>
      </c>
      <c r="I116" s="167" t="s">
        <v>694</v>
      </c>
      <c r="K116" s="167" t="s">
        <v>973</v>
      </c>
      <c r="L116" s="167" t="s">
        <v>735</v>
      </c>
      <c r="M116" s="167" t="s">
        <v>839</v>
      </c>
      <c r="N116" s="167" t="s">
        <v>1032</v>
      </c>
      <c r="O116" s="167" t="s">
        <v>972</v>
      </c>
      <c r="P116" s="167" t="s">
        <v>971</v>
      </c>
    </row>
    <row r="117" spans="2:16" s="166" customFormat="1" ht="36.75" customHeight="1">
      <c r="B117" s="198"/>
      <c r="C117" s="199"/>
      <c r="D117" s="200">
        <v>41400.377083333333</v>
      </c>
      <c r="E117" s="166" t="s">
        <v>735</v>
      </c>
      <c r="F117" s="201" t="s">
        <v>638</v>
      </c>
      <c r="G117" s="166" t="s">
        <v>638</v>
      </c>
      <c r="H117" s="201" t="s">
        <v>595</v>
      </c>
      <c r="I117" s="166" t="s">
        <v>639</v>
      </c>
      <c r="J117" s="201"/>
      <c r="K117" s="166" t="s">
        <v>980</v>
      </c>
      <c r="L117" s="201" t="s">
        <v>864</v>
      </c>
      <c r="M117" s="166" t="s">
        <v>217</v>
      </c>
      <c r="N117" s="166" t="s">
        <v>653</v>
      </c>
      <c r="P117" s="166" t="s">
        <v>979</v>
      </c>
    </row>
    <row r="118" spans="2:16" s="161" customFormat="1" ht="29.25" customHeight="1">
      <c r="B118" s="190"/>
      <c r="C118" s="191"/>
      <c r="D118" s="192">
        <v>41400.37777777778</v>
      </c>
      <c r="E118" s="161" t="s">
        <v>641</v>
      </c>
      <c r="F118" s="193" t="s">
        <v>641</v>
      </c>
      <c r="G118" s="161" t="s">
        <v>638</v>
      </c>
      <c r="H118" s="193" t="s">
        <v>595</v>
      </c>
      <c r="I118" s="161" t="s">
        <v>642</v>
      </c>
      <c r="J118" s="193"/>
      <c r="K118" s="161" t="s">
        <v>640</v>
      </c>
      <c r="L118" s="193" t="s">
        <v>641</v>
      </c>
      <c r="M118" s="161" t="s">
        <v>217</v>
      </c>
      <c r="N118" s="161" t="s">
        <v>873</v>
      </c>
    </row>
    <row r="119" spans="2:16" s="166" customFormat="1" ht="38.25">
      <c r="B119" s="198">
        <v>40301</v>
      </c>
      <c r="C119" s="199"/>
      <c r="D119" s="200">
        <v>41400.378472222219</v>
      </c>
      <c r="F119" s="201"/>
      <c r="H119" s="201"/>
      <c r="J119" s="201"/>
      <c r="K119" s="166" t="s">
        <v>871</v>
      </c>
      <c r="L119" s="166" t="s">
        <v>864</v>
      </c>
      <c r="M119" s="166" t="s">
        <v>217</v>
      </c>
      <c r="N119" s="166" t="s">
        <v>870</v>
      </c>
      <c r="P119" s="166" t="s">
        <v>872</v>
      </c>
    </row>
    <row r="120" spans="2:16" s="166" customFormat="1" ht="51">
      <c r="B120" s="198">
        <v>40301</v>
      </c>
      <c r="C120" s="199"/>
      <c r="D120" s="200">
        <v>41400.380555555559</v>
      </c>
      <c r="H120" s="201"/>
      <c r="J120" s="201"/>
      <c r="K120" s="166" t="s">
        <v>130</v>
      </c>
      <c r="L120" s="201" t="s">
        <v>864</v>
      </c>
      <c r="M120" s="166" t="s">
        <v>217</v>
      </c>
      <c r="N120" s="166" t="s">
        <v>653</v>
      </c>
      <c r="P120" s="166" t="s">
        <v>131</v>
      </c>
    </row>
    <row r="121" spans="2:16" s="161" customFormat="1" ht="38.25">
      <c r="B121" s="190">
        <v>40301</v>
      </c>
      <c r="C121" s="191"/>
      <c r="D121" s="192">
        <v>41400.381249999999</v>
      </c>
      <c r="F121" s="193"/>
      <c r="H121" s="193"/>
      <c r="J121" s="193"/>
      <c r="K121" s="161" t="s">
        <v>22</v>
      </c>
      <c r="L121" s="193" t="s">
        <v>866</v>
      </c>
      <c r="M121" s="161" t="s">
        <v>217</v>
      </c>
      <c r="N121" s="161" t="s">
        <v>1082</v>
      </c>
      <c r="P121" s="161" t="s">
        <v>22</v>
      </c>
    </row>
    <row r="122" spans="2:16" s="161" customFormat="1" ht="38.25">
      <c r="B122" s="190">
        <v>40301</v>
      </c>
      <c r="C122" s="191"/>
      <c r="D122" s="192">
        <v>41400.383333333331</v>
      </c>
      <c r="F122" s="193"/>
      <c r="H122" s="193"/>
      <c r="I122" s="161" t="s">
        <v>50</v>
      </c>
      <c r="J122" s="193"/>
      <c r="K122" s="161" t="s">
        <v>375</v>
      </c>
      <c r="L122" s="193"/>
      <c r="M122" s="161" t="s">
        <v>839</v>
      </c>
      <c r="N122" s="161" t="s">
        <v>873</v>
      </c>
      <c r="P122" s="161" t="s">
        <v>375</v>
      </c>
    </row>
    <row r="123" spans="2:16" s="164" customFormat="1" ht="25.5">
      <c r="B123" s="175">
        <v>40301</v>
      </c>
      <c r="C123" s="179"/>
      <c r="D123" s="187">
        <v>41400.384027777778</v>
      </c>
      <c r="F123" s="188"/>
      <c r="H123" s="188"/>
      <c r="J123" s="188"/>
      <c r="K123" s="164" t="s">
        <v>51</v>
      </c>
      <c r="L123" s="188" t="s">
        <v>864</v>
      </c>
      <c r="M123" s="164" t="s">
        <v>839</v>
      </c>
      <c r="N123" s="164" t="s">
        <v>653</v>
      </c>
      <c r="P123" s="164" t="s">
        <v>865</v>
      </c>
    </row>
    <row r="124" spans="2:16" s="164" customFormat="1" ht="23.25" customHeight="1">
      <c r="B124" s="175">
        <v>40301</v>
      </c>
      <c r="C124" s="179"/>
      <c r="D124" s="187">
        <v>41400.384722222225</v>
      </c>
      <c r="F124" s="188"/>
      <c r="H124" s="188"/>
      <c r="J124" s="188"/>
      <c r="K124" s="164" t="s">
        <v>869</v>
      </c>
      <c r="L124" s="188" t="s">
        <v>864</v>
      </c>
      <c r="M124" s="164" t="s">
        <v>839</v>
      </c>
      <c r="N124" s="164" t="s">
        <v>653</v>
      </c>
      <c r="P124" s="164" t="s">
        <v>377</v>
      </c>
    </row>
    <row r="125" spans="2:16" s="164" customFormat="1" ht="25.5">
      <c r="B125" s="175">
        <v>40301</v>
      </c>
      <c r="C125" s="179"/>
      <c r="D125" s="187">
        <v>41400.385416666664</v>
      </c>
      <c r="F125" s="188"/>
      <c r="H125" s="188"/>
      <c r="J125" s="188"/>
      <c r="K125" s="164" t="s">
        <v>378</v>
      </c>
      <c r="L125" s="188" t="s">
        <v>864</v>
      </c>
      <c r="M125" s="164" t="s">
        <v>839</v>
      </c>
      <c r="N125" s="164" t="s">
        <v>653</v>
      </c>
      <c r="P125" s="164" t="s">
        <v>378</v>
      </c>
    </row>
    <row r="126" spans="2:16" s="164" customFormat="1" ht="38.25">
      <c r="B126" s="175">
        <v>40301</v>
      </c>
      <c r="C126" s="179"/>
      <c r="D126" s="187">
        <v>41400.386111111111</v>
      </c>
      <c r="F126" s="188"/>
      <c r="H126" s="188"/>
      <c r="J126" s="188"/>
      <c r="K126" s="164" t="s">
        <v>52</v>
      </c>
      <c r="L126" s="188" t="s">
        <v>864</v>
      </c>
      <c r="M126" s="164" t="s">
        <v>839</v>
      </c>
      <c r="N126" s="164" t="s">
        <v>653</v>
      </c>
      <c r="P126" s="164" t="s">
        <v>334</v>
      </c>
    </row>
    <row r="127" spans="2:16" s="166" customFormat="1" ht="25.5">
      <c r="B127" s="198">
        <v>40301</v>
      </c>
      <c r="C127" s="199"/>
      <c r="D127" s="200">
        <v>41400.386805555558</v>
      </c>
      <c r="F127" s="201"/>
      <c r="H127" s="201"/>
      <c r="J127" s="201"/>
      <c r="K127" s="166" t="s">
        <v>1060</v>
      </c>
      <c r="L127" s="201" t="s">
        <v>864</v>
      </c>
      <c r="M127" s="166" t="s">
        <v>217</v>
      </c>
      <c r="N127" s="166" t="s">
        <v>271</v>
      </c>
      <c r="O127" s="166" t="s">
        <v>1059</v>
      </c>
      <c r="P127" s="166" t="s">
        <v>379</v>
      </c>
    </row>
    <row r="128" spans="2:16" s="166" customFormat="1" ht="25.5">
      <c r="B128" s="198">
        <v>40301</v>
      </c>
      <c r="C128" s="199"/>
      <c r="D128" s="200">
        <v>41400.387499999997</v>
      </c>
      <c r="F128" s="201"/>
      <c r="H128" s="201"/>
      <c r="J128" s="201"/>
      <c r="K128" s="166" t="s">
        <v>380</v>
      </c>
      <c r="L128" s="201" t="s">
        <v>864</v>
      </c>
      <c r="N128" s="166" t="s">
        <v>653</v>
      </c>
      <c r="P128" s="166" t="s">
        <v>380</v>
      </c>
    </row>
    <row r="129" spans="2:17" s="167" customFormat="1" ht="25.5">
      <c r="B129" s="184">
        <v>40301</v>
      </c>
      <c r="C129" s="185"/>
      <c r="D129" s="186">
        <v>41400.388194444444</v>
      </c>
      <c r="F129" s="194"/>
      <c r="H129" s="194"/>
      <c r="J129" s="194" t="s">
        <v>389</v>
      </c>
      <c r="K129" s="167" t="s">
        <v>981</v>
      </c>
      <c r="L129" s="194" t="s">
        <v>864</v>
      </c>
      <c r="M129" s="167" t="s">
        <v>839</v>
      </c>
      <c r="N129" s="167" t="s">
        <v>271</v>
      </c>
      <c r="O129" s="167" t="s">
        <v>977</v>
      </c>
      <c r="P129" s="167" t="s">
        <v>204</v>
      </c>
    </row>
    <row r="130" spans="2:17" s="164" customFormat="1" ht="25.5">
      <c r="B130" s="175">
        <v>40301</v>
      </c>
      <c r="C130" s="179"/>
      <c r="D130" s="187">
        <v>41400.388888888891</v>
      </c>
      <c r="F130" s="188"/>
      <c r="H130" s="188"/>
      <c r="J130" s="188"/>
      <c r="K130" s="164" t="s">
        <v>382</v>
      </c>
      <c r="L130" s="188" t="s">
        <v>864</v>
      </c>
      <c r="N130" s="164" t="s">
        <v>271</v>
      </c>
      <c r="O130" s="164" t="s">
        <v>595</v>
      </c>
      <c r="P130" s="164" t="s">
        <v>382</v>
      </c>
    </row>
    <row r="131" spans="2:17" s="166" customFormat="1" ht="25.5">
      <c r="B131" s="198">
        <v>40301</v>
      </c>
      <c r="C131" s="199"/>
      <c r="D131" s="200">
        <v>41400.38958333333</v>
      </c>
      <c r="F131" s="201"/>
      <c r="H131" s="201"/>
      <c r="J131" s="201"/>
      <c r="K131" s="166" t="s">
        <v>1012</v>
      </c>
      <c r="L131" s="201" t="s">
        <v>864</v>
      </c>
      <c r="M131" s="166" t="s">
        <v>217</v>
      </c>
      <c r="N131" s="166" t="s">
        <v>653</v>
      </c>
      <c r="P131" s="166" t="s">
        <v>122</v>
      </c>
    </row>
    <row r="132" spans="2:17" s="164" customFormat="1" ht="25.5">
      <c r="B132" s="175">
        <v>40301</v>
      </c>
      <c r="C132" s="179"/>
      <c r="D132" s="187">
        <v>41400.390277777777</v>
      </c>
      <c r="F132" s="188"/>
      <c r="H132" s="188"/>
      <c r="J132" s="188"/>
      <c r="K132" s="164" t="s">
        <v>394</v>
      </c>
      <c r="L132" s="188" t="s">
        <v>864</v>
      </c>
      <c r="M132" s="164" t="s">
        <v>839</v>
      </c>
      <c r="N132" s="164" t="s">
        <v>1032</v>
      </c>
      <c r="P132" s="164" t="s">
        <v>124</v>
      </c>
    </row>
    <row r="133" spans="2:17" s="164" customFormat="1" ht="25.5">
      <c r="B133" s="175">
        <v>40301</v>
      </c>
      <c r="C133" s="179"/>
      <c r="D133" s="187">
        <v>41400.390972222223</v>
      </c>
      <c r="F133" s="188"/>
      <c r="H133" s="188"/>
      <c r="J133" s="188"/>
      <c r="K133" s="164" t="s">
        <v>867</v>
      </c>
      <c r="L133" s="188" t="s">
        <v>864</v>
      </c>
      <c r="M133" s="164" t="s">
        <v>839</v>
      </c>
      <c r="N133" s="164" t="s">
        <v>653</v>
      </c>
      <c r="P133" s="164" t="s">
        <v>588</v>
      </c>
    </row>
    <row r="134" spans="2:17" s="164" customFormat="1" ht="25.5">
      <c r="B134" s="175">
        <v>40301</v>
      </c>
      <c r="C134" s="179"/>
      <c r="D134" s="187">
        <v>41400.39166666667</v>
      </c>
      <c r="F134" s="188"/>
      <c r="H134" s="188"/>
      <c r="J134" s="188"/>
      <c r="K134" s="164" t="s">
        <v>383</v>
      </c>
      <c r="L134" s="188" t="s">
        <v>864</v>
      </c>
      <c r="M134" s="164" t="s">
        <v>839</v>
      </c>
      <c r="N134" s="164" t="s">
        <v>653</v>
      </c>
      <c r="P134" s="164" t="s">
        <v>383</v>
      </c>
    </row>
    <row r="135" spans="2:17" s="164" customFormat="1" ht="38.25">
      <c r="B135" s="175">
        <v>40301</v>
      </c>
      <c r="C135" s="179"/>
      <c r="D135" s="187">
        <v>41400.392361111109</v>
      </c>
      <c r="F135" s="188"/>
      <c r="H135" s="188"/>
      <c r="J135" s="188"/>
      <c r="K135" s="164" t="s">
        <v>53</v>
      </c>
      <c r="L135" s="188" t="s">
        <v>864</v>
      </c>
      <c r="M135" s="164" t="s">
        <v>839</v>
      </c>
      <c r="N135" s="164" t="s">
        <v>653</v>
      </c>
      <c r="P135" s="164" t="s">
        <v>1019</v>
      </c>
    </row>
    <row r="136" spans="2:17" s="161" customFormat="1" ht="38.25">
      <c r="B136" s="190">
        <v>40301</v>
      </c>
      <c r="C136" s="191"/>
      <c r="D136" s="192">
        <v>41400.393055555556</v>
      </c>
      <c r="F136" s="193"/>
      <c r="H136" s="193"/>
      <c r="J136" s="193"/>
      <c r="K136" s="161" t="s">
        <v>868</v>
      </c>
      <c r="L136" s="193"/>
      <c r="M136" s="161" t="s">
        <v>609</v>
      </c>
      <c r="N136" s="161" t="s">
        <v>271</v>
      </c>
      <c r="O136" s="161" t="s">
        <v>306</v>
      </c>
      <c r="P136" s="161" t="s">
        <v>385</v>
      </c>
    </row>
    <row r="137" spans="2:17" s="164" customFormat="1" ht="38.25">
      <c r="B137" s="175">
        <v>40301</v>
      </c>
      <c r="C137" s="179"/>
      <c r="D137" s="187">
        <v>41400.393750000003</v>
      </c>
      <c r="F137" s="188"/>
      <c r="H137" s="188"/>
      <c r="J137" s="188"/>
      <c r="K137" s="164" t="s">
        <v>386</v>
      </c>
      <c r="L137" s="188" t="s">
        <v>864</v>
      </c>
      <c r="M137" s="164" t="s">
        <v>839</v>
      </c>
      <c r="N137" s="164" t="s">
        <v>653</v>
      </c>
      <c r="P137" s="164" t="s">
        <v>386</v>
      </c>
    </row>
    <row r="138" spans="2:17" s="161" customFormat="1" ht="63.75">
      <c r="B138" s="190">
        <v>40301</v>
      </c>
      <c r="C138" s="191"/>
      <c r="D138" s="192">
        <v>41400.394444444442</v>
      </c>
      <c r="F138" s="193"/>
      <c r="H138" s="193"/>
      <c r="I138" s="161" t="s">
        <v>54</v>
      </c>
      <c r="J138" s="193"/>
      <c r="K138" s="161" t="s">
        <v>387</v>
      </c>
      <c r="L138" s="193" t="s">
        <v>864</v>
      </c>
      <c r="M138" s="161" t="s">
        <v>740</v>
      </c>
      <c r="N138" s="161" t="s">
        <v>653</v>
      </c>
      <c r="P138" s="161" t="s">
        <v>387</v>
      </c>
    </row>
    <row r="139" spans="2:17" s="166" customFormat="1" ht="37.5" customHeight="1">
      <c r="B139" s="198">
        <v>40301</v>
      </c>
      <c r="C139" s="199"/>
      <c r="D139" s="200">
        <v>41400.395138888889</v>
      </c>
      <c r="F139" s="201"/>
      <c r="H139" s="201"/>
      <c r="J139" s="201"/>
      <c r="K139" s="166" t="s">
        <v>388</v>
      </c>
      <c r="L139" s="201" t="s">
        <v>864</v>
      </c>
      <c r="M139" s="166" t="s">
        <v>217</v>
      </c>
      <c r="N139" s="166" t="s">
        <v>653</v>
      </c>
      <c r="P139" s="166" t="s">
        <v>388</v>
      </c>
    </row>
    <row r="140" spans="2:17" s="167" customFormat="1" ht="63.75">
      <c r="B140" s="184">
        <v>40301</v>
      </c>
      <c r="C140" s="185">
        <v>41400.381944444445</v>
      </c>
      <c r="D140" s="186">
        <v>41400.381944444445</v>
      </c>
      <c r="E140" s="167" t="s">
        <v>367</v>
      </c>
      <c r="F140" s="167" t="s">
        <v>368</v>
      </c>
      <c r="H140" s="167" t="s">
        <v>595</v>
      </c>
      <c r="I140" s="167" t="s">
        <v>50</v>
      </c>
      <c r="J140" s="194"/>
      <c r="K140" s="167" t="s">
        <v>366</v>
      </c>
      <c r="L140" s="194" t="s">
        <v>864</v>
      </c>
      <c r="N140" s="167" t="s">
        <v>873</v>
      </c>
      <c r="P140" s="167" t="s">
        <v>366</v>
      </c>
      <c r="Q140" s="194"/>
    </row>
    <row r="141" spans="2:17" s="167" customFormat="1" ht="51">
      <c r="B141" s="184"/>
      <c r="C141" s="185"/>
      <c r="D141" s="186">
        <v>41400.385416666664</v>
      </c>
      <c r="E141" s="209" t="s">
        <v>735</v>
      </c>
      <c r="F141" s="209" t="s">
        <v>301</v>
      </c>
      <c r="H141" s="209" t="s">
        <v>304</v>
      </c>
      <c r="I141" s="209" t="s">
        <v>287</v>
      </c>
      <c r="K141" s="209" t="s">
        <v>287</v>
      </c>
      <c r="L141" s="194" t="s">
        <v>864</v>
      </c>
      <c r="M141" s="167" t="s">
        <v>839</v>
      </c>
      <c r="N141" s="167" t="s">
        <v>1032</v>
      </c>
      <c r="P141" s="209" t="s">
        <v>287</v>
      </c>
    </row>
    <row r="142" spans="2:17" s="167" customFormat="1" ht="38.25">
      <c r="B142" s="184"/>
      <c r="C142" s="185"/>
      <c r="D142" s="186">
        <v>41400.386111111111</v>
      </c>
      <c r="E142" s="209" t="s">
        <v>735</v>
      </c>
      <c r="F142" s="209" t="s">
        <v>301</v>
      </c>
      <c r="H142" s="209" t="s">
        <v>304</v>
      </c>
      <c r="I142" s="209" t="s">
        <v>296</v>
      </c>
      <c r="K142" s="209" t="s">
        <v>1033</v>
      </c>
      <c r="L142" s="167" t="s">
        <v>864</v>
      </c>
      <c r="M142" s="167" t="s">
        <v>839</v>
      </c>
      <c r="N142" s="167" t="s">
        <v>1032</v>
      </c>
      <c r="P142" s="209" t="s">
        <v>296</v>
      </c>
    </row>
    <row r="143" spans="2:17" s="166" customFormat="1" ht="51">
      <c r="B143" s="198">
        <v>40301</v>
      </c>
      <c r="C143" s="217">
        <v>0.41666666666666669</v>
      </c>
      <c r="D143" s="200">
        <v>41400.416666666664</v>
      </c>
      <c r="E143" s="205" t="s">
        <v>735</v>
      </c>
      <c r="F143" s="205" t="s">
        <v>652</v>
      </c>
      <c r="G143" s="166" t="s">
        <v>653</v>
      </c>
      <c r="H143" s="166" t="s">
        <v>688</v>
      </c>
      <c r="K143" s="166" t="s">
        <v>690</v>
      </c>
      <c r="L143" s="166" t="s">
        <v>864</v>
      </c>
      <c r="M143" s="166" t="s">
        <v>217</v>
      </c>
      <c r="N143" s="166" t="s">
        <v>653</v>
      </c>
      <c r="P143" s="166" t="s">
        <v>690</v>
      </c>
    </row>
    <row r="144" spans="2:17" ht="127.5">
      <c r="B144" s="144">
        <v>40301</v>
      </c>
      <c r="C144" s="145">
        <v>41400.416666666664</v>
      </c>
      <c r="D144" s="146">
        <v>41400.417361111111</v>
      </c>
      <c r="E144" s="143" t="s">
        <v>735</v>
      </c>
      <c r="F144" s="147" t="s">
        <v>739</v>
      </c>
      <c r="H144" s="147" t="s">
        <v>736</v>
      </c>
      <c r="I144" s="143" t="s">
        <v>761</v>
      </c>
      <c r="J144" s="147" t="s">
        <v>733</v>
      </c>
      <c r="K144" s="143" t="s">
        <v>761</v>
      </c>
      <c r="L144" s="147" t="s">
        <v>864</v>
      </c>
      <c r="M144" s="143" t="s">
        <v>217</v>
      </c>
      <c r="N144" s="143" t="s">
        <v>271</v>
      </c>
      <c r="O144" s="143" t="s">
        <v>595</v>
      </c>
      <c r="P144" s="143" t="s">
        <v>144</v>
      </c>
    </row>
    <row r="145" spans="2:16" s="167" customFormat="1" ht="38.25">
      <c r="B145" s="184"/>
      <c r="C145" s="185"/>
      <c r="D145" s="186">
        <v>41400.4375</v>
      </c>
      <c r="E145" s="167" t="s">
        <v>735</v>
      </c>
      <c r="G145" s="167" t="s">
        <v>265</v>
      </c>
      <c r="K145" s="167" t="s">
        <v>264</v>
      </c>
      <c r="L145" s="167" t="s">
        <v>864</v>
      </c>
      <c r="M145" s="167" t="s">
        <v>609</v>
      </c>
      <c r="N145" s="167" t="s">
        <v>1032</v>
      </c>
      <c r="P145" s="167" t="s">
        <v>264</v>
      </c>
    </row>
    <row r="146" spans="2:16" s="167" customFormat="1" ht="25.5">
      <c r="B146" s="144">
        <v>40301</v>
      </c>
      <c r="C146" s="162">
        <v>0.5</v>
      </c>
      <c r="D146" s="186">
        <v>41400.5</v>
      </c>
      <c r="E146" s="163" t="s">
        <v>735</v>
      </c>
      <c r="F146" s="163" t="s">
        <v>741</v>
      </c>
      <c r="G146" s="143" t="s">
        <v>742</v>
      </c>
      <c r="H146" s="143" t="s">
        <v>743</v>
      </c>
      <c r="I146" s="143"/>
      <c r="J146" s="143"/>
      <c r="K146" s="167" t="s">
        <v>744</v>
      </c>
      <c r="L146" s="167" t="s">
        <v>864</v>
      </c>
      <c r="M146" s="167" t="s">
        <v>609</v>
      </c>
      <c r="N146" s="167" t="s">
        <v>1087</v>
      </c>
      <c r="P146" s="167" t="s">
        <v>746</v>
      </c>
    </row>
    <row r="147" spans="2:16" ht="131.25" customHeight="1">
      <c r="D147" s="156">
        <v>41400.541666666664</v>
      </c>
      <c r="E147" s="143" t="s">
        <v>735</v>
      </c>
      <c r="F147" s="147"/>
      <c r="G147" s="143" t="s">
        <v>584</v>
      </c>
      <c r="H147" s="147"/>
      <c r="I147" s="143" t="s">
        <v>55</v>
      </c>
      <c r="J147" s="147"/>
      <c r="K147" s="143" t="s">
        <v>564</v>
      </c>
      <c r="L147" s="143" t="s">
        <v>864</v>
      </c>
      <c r="M147" s="143" t="s">
        <v>740</v>
      </c>
      <c r="N147" s="143" t="s">
        <v>1059</v>
      </c>
      <c r="P147" s="60" t="s">
        <v>1034</v>
      </c>
    </row>
    <row r="148" spans="2:16" ht="127.5">
      <c r="B148" s="144">
        <v>40301</v>
      </c>
      <c r="C148" s="145">
        <v>41400.666666666664</v>
      </c>
      <c r="D148" s="146">
        <v>41400.666666666664</v>
      </c>
      <c r="E148" s="143" t="s">
        <v>735</v>
      </c>
      <c r="F148" s="147" t="s">
        <v>739</v>
      </c>
      <c r="H148" s="147" t="s">
        <v>736</v>
      </c>
      <c r="I148" s="143" t="s">
        <v>762</v>
      </c>
      <c r="J148" s="147" t="s">
        <v>733</v>
      </c>
      <c r="K148" s="143" t="s">
        <v>762</v>
      </c>
      <c r="L148" s="143" t="s">
        <v>864</v>
      </c>
      <c r="M148" s="143" t="s">
        <v>217</v>
      </c>
      <c r="P148" s="143" t="s">
        <v>145</v>
      </c>
    </row>
    <row r="149" spans="2:16" s="164" customFormat="1" ht="27.75" customHeight="1">
      <c r="B149" s="144"/>
      <c r="C149" s="145"/>
      <c r="D149" s="187">
        <v>41400.688194444447</v>
      </c>
      <c r="E149" s="143" t="s">
        <v>373</v>
      </c>
      <c r="F149" s="143" t="s">
        <v>395</v>
      </c>
      <c r="G149" s="143"/>
      <c r="H149" s="143" t="s">
        <v>595</v>
      </c>
      <c r="I149" s="143"/>
      <c r="J149" s="143">
        <v>7</v>
      </c>
      <c r="K149" s="164" t="s">
        <v>378</v>
      </c>
      <c r="L149" s="164" t="s">
        <v>864</v>
      </c>
      <c r="M149" s="164" t="s">
        <v>609</v>
      </c>
      <c r="N149" s="164" t="s">
        <v>653</v>
      </c>
      <c r="P149" s="164" t="s">
        <v>378</v>
      </c>
    </row>
    <row r="150" spans="2:16" s="164" customFormat="1" ht="38.25">
      <c r="B150" s="144"/>
      <c r="C150" s="145"/>
      <c r="D150" s="187">
        <v>41400.688888888886</v>
      </c>
      <c r="E150" s="143" t="s">
        <v>373</v>
      </c>
      <c r="F150" s="143" t="s">
        <v>396</v>
      </c>
      <c r="G150" s="143"/>
      <c r="H150" s="143" t="s">
        <v>392</v>
      </c>
      <c r="I150" s="143"/>
      <c r="J150" s="143">
        <v>9</v>
      </c>
      <c r="K150" s="164" t="s">
        <v>56</v>
      </c>
      <c r="L150" s="164" t="s">
        <v>864</v>
      </c>
      <c r="M150" s="164" t="s">
        <v>609</v>
      </c>
      <c r="N150" s="164" t="s">
        <v>653</v>
      </c>
      <c r="P150" s="164" t="s">
        <v>861</v>
      </c>
    </row>
    <row r="151" spans="2:16" s="164" customFormat="1" ht="51">
      <c r="B151" s="144">
        <v>41400.697916666664</v>
      </c>
      <c r="C151" s="145">
        <v>41400.697916666664</v>
      </c>
      <c r="D151" s="187">
        <v>41400.697916666664</v>
      </c>
      <c r="E151" s="143" t="s">
        <v>550</v>
      </c>
      <c r="F151" s="147" t="s">
        <v>551</v>
      </c>
      <c r="G151" s="143" t="s">
        <v>552</v>
      </c>
      <c r="H151" s="147" t="s">
        <v>553</v>
      </c>
      <c r="I151" s="143" t="s">
        <v>548</v>
      </c>
      <c r="J151" s="147"/>
      <c r="K151" s="164" t="s">
        <v>549</v>
      </c>
      <c r="L151" s="164" t="s">
        <v>864</v>
      </c>
      <c r="M151" s="164" t="s">
        <v>609</v>
      </c>
      <c r="N151" s="164" t="s">
        <v>653</v>
      </c>
      <c r="P151" s="164" t="s">
        <v>146</v>
      </c>
    </row>
    <row r="152" spans="2:16" s="164" customFormat="1" ht="63.75">
      <c r="B152" s="144">
        <v>41400.770833333336</v>
      </c>
      <c r="C152" s="145">
        <v>41400.770833333336</v>
      </c>
      <c r="D152" s="187">
        <v>41400.770833333336</v>
      </c>
      <c r="E152" s="143" t="s">
        <v>544</v>
      </c>
      <c r="F152" s="147" t="s">
        <v>552</v>
      </c>
      <c r="G152" s="143" t="s">
        <v>552</v>
      </c>
      <c r="H152" s="147" t="s">
        <v>555</v>
      </c>
      <c r="I152" s="143" t="s">
        <v>548</v>
      </c>
      <c r="J152" s="147"/>
      <c r="K152" s="164" t="s">
        <v>554</v>
      </c>
      <c r="L152" s="164" t="s">
        <v>864</v>
      </c>
      <c r="M152" s="164" t="s">
        <v>609</v>
      </c>
      <c r="N152" s="164" t="s">
        <v>653</v>
      </c>
      <c r="P152" s="164" t="s">
        <v>147</v>
      </c>
    </row>
    <row r="153" spans="2:16" ht="114.75">
      <c r="B153" s="144">
        <v>40301</v>
      </c>
      <c r="C153" s="145">
        <v>41400.916666666664</v>
      </c>
      <c r="D153" s="146">
        <v>41400.916666666664</v>
      </c>
      <c r="E153" s="143" t="s">
        <v>735</v>
      </c>
      <c r="F153" s="147" t="s">
        <v>739</v>
      </c>
      <c r="H153" s="147" t="s">
        <v>736</v>
      </c>
      <c r="I153" s="143" t="s">
        <v>763</v>
      </c>
      <c r="J153" s="147" t="s">
        <v>733</v>
      </c>
      <c r="K153" s="143" t="s">
        <v>763</v>
      </c>
      <c r="L153" s="143" t="s">
        <v>864</v>
      </c>
      <c r="M153" s="143" t="s">
        <v>217</v>
      </c>
      <c r="N153" s="143" t="s">
        <v>271</v>
      </c>
      <c r="O153" s="143" t="s">
        <v>595</v>
      </c>
      <c r="P153" s="143" t="s">
        <v>148</v>
      </c>
    </row>
    <row r="154" spans="2:16" s="166" customFormat="1" ht="63.75">
      <c r="B154" s="198">
        <v>41402.083333333336</v>
      </c>
      <c r="C154" s="199">
        <v>41402.083333333336</v>
      </c>
      <c r="D154" s="200" t="s">
        <v>846</v>
      </c>
      <c r="E154" s="166" t="s">
        <v>550</v>
      </c>
      <c r="F154" s="201" t="s">
        <v>551</v>
      </c>
      <c r="G154" s="166" t="s">
        <v>552</v>
      </c>
      <c r="H154" s="201" t="s">
        <v>553</v>
      </c>
      <c r="I154" s="166" t="s">
        <v>548</v>
      </c>
      <c r="J154" s="201"/>
      <c r="K154" s="166" t="s">
        <v>556</v>
      </c>
      <c r="L154" s="166" t="s">
        <v>864</v>
      </c>
      <c r="M154" s="166" t="s">
        <v>217</v>
      </c>
      <c r="N154" s="166" t="s">
        <v>877</v>
      </c>
      <c r="P154" s="166" t="s">
        <v>847</v>
      </c>
    </row>
    <row r="155" spans="2:16" ht="114.75">
      <c r="B155" s="144">
        <v>41402</v>
      </c>
      <c r="C155" s="145">
        <v>41402.166666666664</v>
      </c>
      <c r="D155" s="146">
        <v>41401.166666666664</v>
      </c>
      <c r="E155" s="143" t="s">
        <v>735</v>
      </c>
      <c r="F155" s="147" t="s">
        <v>739</v>
      </c>
      <c r="H155" s="147" t="s">
        <v>736</v>
      </c>
      <c r="I155" s="143" t="s">
        <v>764</v>
      </c>
      <c r="J155" s="147" t="s">
        <v>733</v>
      </c>
      <c r="K155" s="143" t="s">
        <v>764</v>
      </c>
      <c r="L155" s="143" t="s">
        <v>864</v>
      </c>
      <c r="M155" s="143" t="s">
        <v>217</v>
      </c>
      <c r="N155" s="143" t="s">
        <v>271</v>
      </c>
      <c r="O155" s="143" t="s">
        <v>595</v>
      </c>
      <c r="P155" s="143" t="s">
        <v>149</v>
      </c>
    </row>
    <row r="156" spans="2:16" s="161" customFormat="1" ht="25.5">
      <c r="B156" s="190">
        <v>41402</v>
      </c>
      <c r="C156" s="216">
        <v>0.375</v>
      </c>
      <c r="D156" s="192">
        <v>41400.376388888886</v>
      </c>
      <c r="E156" s="204" t="s">
        <v>775</v>
      </c>
      <c r="F156" s="204" t="s">
        <v>674</v>
      </c>
      <c r="G156" s="161" t="s">
        <v>675</v>
      </c>
      <c r="H156" s="161" t="s">
        <v>676</v>
      </c>
      <c r="I156" s="161" t="s">
        <v>60</v>
      </c>
      <c r="K156" s="161" t="s">
        <v>673</v>
      </c>
      <c r="L156" s="161" t="s">
        <v>677</v>
      </c>
      <c r="P156" s="161" t="s">
        <v>678</v>
      </c>
    </row>
    <row r="157" spans="2:16" s="167" customFormat="1" ht="114.75">
      <c r="B157" s="184">
        <v>41402.395833333336</v>
      </c>
      <c r="C157" s="185">
        <v>0.39583333333333331</v>
      </c>
      <c r="D157" s="186">
        <v>41400.395833333336</v>
      </c>
      <c r="E157" s="167" t="s">
        <v>310</v>
      </c>
      <c r="F157" s="167" t="s">
        <v>311</v>
      </c>
      <c r="G157" s="167" t="s">
        <v>546</v>
      </c>
      <c r="H157" s="167" t="s">
        <v>392</v>
      </c>
      <c r="I157" s="167" t="s">
        <v>312</v>
      </c>
      <c r="K157" s="167" t="s">
        <v>309</v>
      </c>
      <c r="L157" s="167" t="s">
        <v>313</v>
      </c>
      <c r="M157" s="167" t="s">
        <v>150</v>
      </c>
      <c r="N157" s="167" t="s">
        <v>1032</v>
      </c>
      <c r="P157" s="167" t="s">
        <v>151</v>
      </c>
    </row>
    <row r="158" spans="2:16" s="166" customFormat="1" ht="114.75">
      <c r="B158" s="198">
        <v>41402.395833333336</v>
      </c>
      <c r="C158" s="199">
        <v>0.40625</v>
      </c>
      <c r="D158" s="200">
        <v>41400.40625</v>
      </c>
      <c r="E158" s="166" t="s">
        <v>317</v>
      </c>
      <c r="F158" s="166" t="s">
        <v>552</v>
      </c>
      <c r="G158" s="166" t="s">
        <v>552</v>
      </c>
      <c r="H158" s="166" t="s">
        <v>318</v>
      </c>
      <c r="I158" s="166" t="s">
        <v>312</v>
      </c>
      <c r="K158" s="166" t="s">
        <v>316</v>
      </c>
      <c r="L158" s="166" t="s">
        <v>319</v>
      </c>
      <c r="M158" s="166" t="s">
        <v>150</v>
      </c>
      <c r="N158" s="166" t="s">
        <v>653</v>
      </c>
      <c r="P158" s="166" t="s">
        <v>152</v>
      </c>
    </row>
    <row r="159" spans="2:16" ht="127.5">
      <c r="B159" s="144">
        <v>41402</v>
      </c>
      <c r="C159" s="145">
        <v>41402.416666666664</v>
      </c>
      <c r="D159" s="146">
        <v>41400.416666666664</v>
      </c>
      <c r="E159" s="143" t="s">
        <v>735</v>
      </c>
      <c r="F159" s="147" t="s">
        <v>739</v>
      </c>
      <c r="H159" s="147" t="s">
        <v>736</v>
      </c>
      <c r="I159" s="143" t="s">
        <v>765</v>
      </c>
      <c r="J159" s="147" t="s">
        <v>733</v>
      </c>
      <c r="K159" s="143" t="s">
        <v>765</v>
      </c>
      <c r="L159" s="147" t="s">
        <v>864</v>
      </c>
      <c r="M159" s="143" t="s">
        <v>217</v>
      </c>
      <c r="N159" s="143" t="s">
        <v>271</v>
      </c>
      <c r="O159" s="143" t="s">
        <v>595</v>
      </c>
      <c r="P159" s="143" t="s">
        <v>153</v>
      </c>
    </row>
    <row r="160" spans="2:16" s="167" customFormat="1" ht="25.5">
      <c r="B160" s="184"/>
      <c r="C160" s="185"/>
      <c r="D160" s="186">
        <v>41400.4375</v>
      </c>
      <c r="E160" s="167" t="s">
        <v>735</v>
      </c>
      <c r="G160" s="167" t="s">
        <v>265</v>
      </c>
      <c r="K160" s="167" t="s">
        <v>261</v>
      </c>
      <c r="L160" s="167" t="s">
        <v>864</v>
      </c>
      <c r="M160" s="167" t="s">
        <v>609</v>
      </c>
      <c r="N160" s="167" t="s">
        <v>1032</v>
      </c>
      <c r="P160" s="167" t="s">
        <v>261</v>
      </c>
    </row>
    <row r="161" spans="2:17" s="164" customFormat="1" ht="56.25" customHeight="1">
      <c r="B161" s="175">
        <v>41402.395833333336</v>
      </c>
      <c r="C161" s="179">
        <v>0.44791666666666669</v>
      </c>
      <c r="D161" s="187">
        <v>41400.447916666664</v>
      </c>
      <c r="E161" s="164" t="s">
        <v>373</v>
      </c>
      <c r="F161" s="164" t="s">
        <v>322</v>
      </c>
      <c r="G161" s="164" t="s">
        <v>373</v>
      </c>
      <c r="H161" s="164" t="s">
        <v>553</v>
      </c>
      <c r="I161" s="164" t="s">
        <v>312</v>
      </c>
      <c r="K161" s="164" t="s">
        <v>321</v>
      </c>
      <c r="M161" s="164" t="s">
        <v>609</v>
      </c>
      <c r="N161" s="164" t="s">
        <v>653</v>
      </c>
      <c r="P161" s="164" t="s">
        <v>154</v>
      </c>
    </row>
    <row r="162" spans="2:17" s="164" customFormat="1" ht="51" customHeight="1">
      <c r="B162" s="175"/>
      <c r="C162" s="179"/>
      <c r="D162" s="187"/>
      <c r="K162" s="164" t="s">
        <v>863</v>
      </c>
      <c r="L162" s="164" t="s">
        <v>864</v>
      </c>
      <c r="M162" s="164" t="s">
        <v>839</v>
      </c>
      <c r="N162" s="164" t="s">
        <v>393</v>
      </c>
      <c r="P162" s="164" t="s">
        <v>1020</v>
      </c>
    </row>
    <row r="163" spans="2:17" s="167" customFormat="1" ht="25.5">
      <c r="B163" s="184">
        <v>41402</v>
      </c>
      <c r="C163" s="196">
        <v>0.45833333333333331</v>
      </c>
      <c r="D163" s="186">
        <v>41400.459027777775</v>
      </c>
      <c r="E163" s="197" t="s">
        <v>775</v>
      </c>
      <c r="F163" s="197" t="s">
        <v>680</v>
      </c>
      <c r="G163" s="167" t="s">
        <v>675</v>
      </c>
      <c r="H163" s="167" t="s">
        <v>676</v>
      </c>
      <c r="I163" s="167" t="s">
        <v>60</v>
      </c>
      <c r="K163" s="167" t="s">
        <v>62</v>
      </c>
      <c r="L163" s="167" t="s">
        <v>682</v>
      </c>
      <c r="M163" s="167" t="s">
        <v>839</v>
      </c>
      <c r="N163" s="167" t="s">
        <v>271</v>
      </c>
      <c r="O163" s="167" t="s">
        <v>595</v>
      </c>
      <c r="P163" s="167" t="s">
        <v>681</v>
      </c>
    </row>
    <row r="164" spans="2:17" s="161" customFormat="1" ht="51">
      <c r="B164" s="190"/>
      <c r="C164" s="191"/>
      <c r="D164" s="192">
        <v>41400.459722222222</v>
      </c>
      <c r="E164" s="161" t="s">
        <v>735</v>
      </c>
      <c r="G164" s="161" t="s">
        <v>265</v>
      </c>
      <c r="K164" s="161" t="s">
        <v>257</v>
      </c>
      <c r="L164" s="161" t="s">
        <v>864</v>
      </c>
      <c r="M164" s="161" t="s">
        <v>839</v>
      </c>
      <c r="N164" s="161" t="s">
        <v>873</v>
      </c>
      <c r="P164" s="161" t="s">
        <v>257</v>
      </c>
    </row>
    <row r="165" spans="2:17" s="167" customFormat="1" ht="25.5">
      <c r="B165" s="184">
        <v>41402</v>
      </c>
      <c r="C165" s="196">
        <v>0.5</v>
      </c>
      <c r="D165" s="186">
        <v>41400.5</v>
      </c>
      <c r="E165" s="197" t="s">
        <v>735</v>
      </c>
      <c r="F165" s="197" t="s">
        <v>741</v>
      </c>
      <c r="G165" s="167" t="s">
        <v>742</v>
      </c>
      <c r="H165" s="167" t="s">
        <v>743</v>
      </c>
      <c r="K165" s="167" t="s">
        <v>744</v>
      </c>
      <c r="L165" s="167" t="s">
        <v>745</v>
      </c>
      <c r="M165" s="167" t="s">
        <v>740</v>
      </c>
      <c r="N165" s="167" t="s">
        <v>1032</v>
      </c>
      <c r="P165" s="167" t="s">
        <v>746</v>
      </c>
    </row>
    <row r="166" spans="2:17" s="166" customFormat="1" ht="25.5">
      <c r="B166" s="198"/>
      <c r="C166" s="199"/>
      <c r="D166" s="200">
        <v>41400.535416666666</v>
      </c>
      <c r="E166" s="166" t="s">
        <v>735</v>
      </c>
      <c r="F166" s="201"/>
      <c r="H166" s="201"/>
      <c r="I166" s="166" t="s">
        <v>61</v>
      </c>
      <c r="J166" s="201"/>
      <c r="K166" s="166" t="s">
        <v>390</v>
      </c>
      <c r="L166" s="201" t="s">
        <v>373</v>
      </c>
      <c r="M166" s="166" t="s">
        <v>217</v>
      </c>
      <c r="P166" s="166" t="s">
        <v>390</v>
      </c>
    </row>
    <row r="167" spans="2:17" s="167" customFormat="1" ht="38.25">
      <c r="B167" s="184">
        <v>41402</v>
      </c>
      <c r="C167" s="196">
        <v>0.54166666666666663</v>
      </c>
      <c r="D167" s="186">
        <v>41400.541666666664</v>
      </c>
      <c r="E167" s="167" t="s">
        <v>735</v>
      </c>
      <c r="F167" s="197"/>
      <c r="H167" s="167" t="s">
        <v>219</v>
      </c>
      <c r="I167" s="167" t="s">
        <v>212</v>
      </c>
      <c r="K167" s="167" t="s">
        <v>1035</v>
      </c>
      <c r="M167" s="167" t="s">
        <v>740</v>
      </c>
      <c r="N167" s="167" t="s">
        <v>271</v>
      </c>
      <c r="O167" s="167" t="s">
        <v>595</v>
      </c>
      <c r="P167" s="167" t="s">
        <v>212</v>
      </c>
    </row>
    <row r="168" spans="2:17" s="166" customFormat="1" ht="51">
      <c r="B168" s="198">
        <v>41402.395833333336</v>
      </c>
      <c r="C168" s="199">
        <v>0.54166666666666663</v>
      </c>
      <c r="D168" s="200">
        <v>41400.542361111111</v>
      </c>
      <c r="E168" s="166" t="s">
        <v>310</v>
      </c>
      <c r="F168" s="166" t="s">
        <v>322</v>
      </c>
      <c r="G168" s="166" t="s">
        <v>775</v>
      </c>
      <c r="H168" s="166" t="s">
        <v>553</v>
      </c>
      <c r="I168" s="166" t="s">
        <v>312</v>
      </c>
      <c r="K168" s="166" t="s">
        <v>324</v>
      </c>
      <c r="L168" s="166" t="s">
        <v>319</v>
      </c>
      <c r="M168" s="166" t="s">
        <v>217</v>
      </c>
      <c r="N168" s="166" t="s">
        <v>653</v>
      </c>
      <c r="P168" s="166" t="s">
        <v>1011</v>
      </c>
    </row>
    <row r="169" spans="2:17" s="164" customFormat="1" ht="51.75" customHeight="1">
      <c r="B169" s="175"/>
      <c r="C169" s="179"/>
      <c r="D169" s="187">
        <v>41400.543055555558</v>
      </c>
      <c r="K169" s="164" t="s">
        <v>113</v>
      </c>
      <c r="L169" s="164" t="s">
        <v>864</v>
      </c>
      <c r="M169" s="164" t="s">
        <v>839</v>
      </c>
      <c r="N169" s="164" t="s">
        <v>877</v>
      </c>
      <c r="P169" s="164" t="s">
        <v>876</v>
      </c>
    </row>
    <row r="170" spans="2:17" s="167" customFormat="1" ht="51.75" customHeight="1">
      <c r="B170" s="184"/>
      <c r="C170" s="185"/>
      <c r="D170" s="186"/>
      <c r="K170" s="167" t="s">
        <v>880</v>
      </c>
      <c r="L170" s="167" t="s">
        <v>864</v>
      </c>
      <c r="M170" s="167" t="s">
        <v>839</v>
      </c>
      <c r="N170" s="167" t="s">
        <v>879</v>
      </c>
      <c r="O170" s="167" t="s">
        <v>595</v>
      </c>
      <c r="P170" s="167" t="s">
        <v>878</v>
      </c>
    </row>
    <row r="171" spans="2:17" s="167" customFormat="1" ht="51">
      <c r="B171" s="184"/>
      <c r="C171" s="185"/>
      <c r="D171" s="186">
        <v>41400.545138888891</v>
      </c>
      <c r="E171" s="167" t="s">
        <v>735</v>
      </c>
      <c r="G171" s="167" t="s">
        <v>265</v>
      </c>
      <c r="K171" s="167" t="s">
        <v>259</v>
      </c>
      <c r="L171" s="167" t="s">
        <v>864</v>
      </c>
      <c r="M171" s="167" t="s">
        <v>839</v>
      </c>
      <c r="N171" s="167" t="s">
        <v>271</v>
      </c>
      <c r="O171" s="167" t="s">
        <v>306</v>
      </c>
      <c r="P171" s="167" t="s">
        <v>259</v>
      </c>
    </row>
    <row r="172" spans="2:17" s="167" customFormat="1" ht="76.5">
      <c r="B172" s="184">
        <v>41402</v>
      </c>
      <c r="C172" s="196">
        <v>0.5625</v>
      </c>
      <c r="D172" s="186">
        <v>41400.5625</v>
      </c>
      <c r="E172" s="167" t="s">
        <v>735</v>
      </c>
      <c r="F172" s="197"/>
      <c r="H172" s="167" t="s">
        <v>219</v>
      </c>
      <c r="K172" s="167" t="s">
        <v>213</v>
      </c>
      <c r="L172" s="167" t="s">
        <v>864</v>
      </c>
      <c r="M172" s="167" t="s">
        <v>839</v>
      </c>
      <c r="N172" s="167" t="s">
        <v>1032</v>
      </c>
      <c r="P172" s="167" t="s">
        <v>213</v>
      </c>
    </row>
    <row r="173" spans="2:17" s="164" customFormat="1" ht="51">
      <c r="B173" s="175">
        <v>41402.395833333336</v>
      </c>
      <c r="C173" s="179">
        <v>0.58333333333333337</v>
      </c>
      <c r="D173" s="187" t="s">
        <v>845</v>
      </c>
      <c r="E173" s="164" t="s">
        <v>373</v>
      </c>
      <c r="F173" s="164" t="s">
        <v>322</v>
      </c>
      <c r="G173" s="164" t="s">
        <v>373</v>
      </c>
      <c r="H173" s="164" t="s">
        <v>553</v>
      </c>
      <c r="I173" s="164" t="s">
        <v>312</v>
      </c>
      <c r="K173" s="164" t="s">
        <v>1010</v>
      </c>
      <c r="L173" s="164" t="s">
        <v>864</v>
      </c>
      <c r="M173" s="164" t="s">
        <v>609</v>
      </c>
      <c r="N173" s="164" t="s">
        <v>653</v>
      </c>
      <c r="P173" s="164" t="s">
        <v>155</v>
      </c>
      <c r="Q173" s="164" t="s">
        <v>319</v>
      </c>
    </row>
    <row r="174" spans="2:17" s="161" customFormat="1" ht="25.5">
      <c r="B174" s="190">
        <v>41402</v>
      </c>
      <c r="C174" s="216">
        <v>0.58333333333333337</v>
      </c>
      <c r="D174" s="192">
        <v>41400.584027777775</v>
      </c>
      <c r="E174" s="161" t="s">
        <v>735</v>
      </c>
      <c r="F174" s="204"/>
      <c r="H174" s="161" t="s">
        <v>219</v>
      </c>
      <c r="I174" s="161" t="s">
        <v>214</v>
      </c>
      <c r="K174" s="161" t="s">
        <v>1009</v>
      </c>
      <c r="L174" s="161" t="s">
        <v>864</v>
      </c>
      <c r="M174" s="161" t="s">
        <v>740</v>
      </c>
      <c r="N174" s="161" t="s">
        <v>271</v>
      </c>
      <c r="O174" s="161" t="s">
        <v>595</v>
      </c>
      <c r="P174" s="161" t="s">
        <v>214</v>
      </c>
    </row>
    <row r="175" spans="2:17" s="167" customFormat="1" ht="63.75">
      <c r="B175" s="184"/>
      <c r="C175" s="185"/>
      <c r="D175" s="186">
        <v>41400.625</v>
      </c>
      <c r="E175" s="167" t="s">
        <v>345</v>
      </c>
      <c r="H175" s="167" t="s">
        <v>225</v>
      </c>
      <c r="I175" s="167" t="s">
        <v>63</v>
      </c>
      <c r="K175" s="167" t="s">
        <v>346</v>
      </c>
      <c r="L175" s="167" t="s">
        <v>864</v>
      </c>
      <c r="M175" s="167" t="s">
        <v>839</v>
      </c>
      <c r="N175" s="167" t="s">
        <v>271</v>
      </c>
      <c r="O175" s="167" t="s">
        <v>595</v>
      </c>
      <c r="P175" s="167" t="s">
        <v>156</v>
      </c>
      <c r="Q175" s="167" t="s">
        <v>347</v>
      </c>
    </row>
    <row r="176" spans="2:17" s="167" customFormat="1" ht="38.25">
      <c r="B176" s="184">
        <v>41400</v>
      </c>
      <c r="C176" s="196">
        <v>0.625</v>
      </c>
      <c r="D176" s="186">
        <v>41400.625694444447</v>
      </c>
      <c r="E176" s="167" t="s">
        <v>735</v>
      </c>
      <c r="F176" s="197"/>
      <c r="H176" s="167" t="s">
        <v>219</v>
      </c>
      <c r="K176" s="167" t="s">
        <v>215</v>
      </c>
      <c r="L176" s="167" t="s">
        <v>864</v>
      </c>
      <c r="M176" s="167" t="s">
        <v>839</v>
      </c>
      <c r="N176" s="167" t="s">
        <v>271</v>
      </c>
      <c r="O176" s="167" t="s">
        <v>595</v>
      </c>
      <c r="P176" s="167" t="s">
        <v>215</v>
      </c>
    </row>
    <row r="177" spans="1:17" s="167" customFormat="1" ht="58.5" customHeight="1">
      <c r="B177" s="184"/>
      <c r="C177" s="185"/>
      <c r="D177" s="186">
        <v>41400.635416666664</v>
      </c>
      <c r="E177" s="167" t="s">
        <v>775</v>
      </c>
      <c r="F177" s="167" t="s">
        <v>271</v>
      </c>
      <c r="G177" s="167" t="s">
        <v>272</v>
      </c>
      <c r="H177" s="167" t="s">
        <v>595</v>
      </c>
      <c r="K177" s="167" t="s">
        <v>1008</v>
      </c>
      <c r="L177" s="167" t="s">
        <v>864</v>
      </c>
      <c r="M177" s="167" t="s">
        <v>740</v>
      </c>
      <c r="N177" s="167" t="s">
        <v>271</v>
      </c>
      <c r="O177" s="167" t="s">
        <v>595</v>
      </c>
      <c r="P177" s="167" t="s">
        <v>925</v>
      </c>
      <c r="Q177" s="167" t="s">
        <v>337</v>
      </c>
    </row>
    <row r="178" spans="1:17" s="166" customFormat="1" ht="25.5">
      <c r="B178" s="198">
        <v>41400</v>
      </c>
      <c r="C178" s="217">
        <v>0.64583333333333337</v>
      </c>
      <c r="D178" s="200">
        <v>41400.645833333336</v>
      </c>
      <c r="E178" s="166" t="s">
        <v>735</v>
      </c>
      <c r="F178" s="205"/>
      <c r="H178" s="166" t="s">
        <v>219</v>
      </c>
      <c r="I178" s="210"/>
      <c r="K178" s="210" t="s">
        <v>216</v>
      </c>
      <c r="L178" s="166" t="s">
        <v>864</v>
      </c>
      <c r="M178" s="166" t="s">
        <v>217</v>
      </c>
      <c r="N178" s="166" t="s">
        <v>271</v>
      </c>
      <c r="O178" s="166" t="s">
        <v>1036</v>
      </c>
      <c r="P178" s="210" t="s">
        <v>216</v>
      </c>
    </row>
    <row r="179" spans="1:17" s="166" customFormat="1" ht="51">
      <c r="B179" s="198"/>
      <c r="C179" s="199"/>
      <c r="D179" s="200">
        <v>41400.666666666664</v>
      </c>
      <c r="E179" s="166" t="s">
        <v>373</v>
      </c>
      <c r="F179" s="166" t="s">
        <v>404</v>
      </c>
      <c r="H179" s="166" t="s">
        <v>653</v>
      </c>
      <c r="K179" s="166" t="s">
        <v>403</v>
      </c>
      <c r="L179" s="166" t="s">
        <v>864</v>
      </c>
      <c r="M179" s="166" t="s">
        <v>217</v>
      </c>
      <c r="N179" s="166" t="s">
        <v>653</v>
      </c>
      <c r="P179" s="166" t="s">
        <v>922</v>
      </c>
    </row>
    <row r="180" spans="1:17" s="166" customFormat="1" ht="25.5">
      <c r="B180" s="198"/>
      <c r="C180" s="199"/>
      <c r="D180" s="200">
        <v>41400.667361111111</v>
      </c>
      <c r="E180" s="166" t="s">
        <v>373</v>
      </c>
      <c r="F180" s="166" t="s">
        <v>698</v>
      </c>
      <c r="H180" s="166" t="s">
        <v>595</v>
      </c>
      <c r="K180" s="166" t="s">
        <v>372</v>
      </c>
      <c r="L180" s="166" t="s">
        <v>864</v>
      </c>
      <c r="M180" s="166" t="s">
        <v>217</v>
      </c>
      <c r="N180" s="166" t="s">
        <v>653</v>
      </c>
      <c r="P180" s="166" t="s">
        <v>372</v>
      </c>
    </row>
    <row r="181" spans="1:17" s="166" customFormat="1" ht="25.5">
      <c r="B181" s="198"/>
      <c r="C181" s="199"/>
      <c r="D181" s="200">
        <v>41400.670138888891</v>
      </c>
      <c r="E181" s="166" t="s">
        <v>373</v>
      </c>
      <c r="F181" s="201" t="s">
        <v>653</v>
      </c>
      <c r="H181" s="201" t="s">
        <v>595</v>
      </c>
      <c r="K181" s="201" t="s">
        <v>132</v>
      </c>
      <c r="L181" s="166" t="s">
        <v>864</v>
      </c>
      <c r="M181" s="166" t="s">
        <v>217</v>
      </c>
      <c r="N181" s="166" t="s">
        <v>653</v>
      </c>
      <c r="P181" s="201" t="s">
        <v>923</v>
      </c>
    </row>
    <row r="182" spans="1:17" s="166" customFormat="1" ht="51">
      <c r="B182" s="198"/>
      <c r="C182" s="199"/>
      <c r="D182" s="200">
        <v>41400.333333333336</v>
      </c>
      <c r="E182" s="166" t="s">
        <v>373</v>
      </c>
      <c r="F182" s="166" t="s">
        <v>653</v>
      </c>
      <c r="H182" s="166" t="s">
        <v>415</v>
      </c>
      <c r="K182" s="166" t="s">
        <v>414</v>
      </c>
      <c r="L182" s="166" t="s">
        <v>864</v>
      </c>
      <c r="M182" s="166" t="s">
        <v>217</v>
      </c>
      <c r="N182" s="166" t="s">
        <v>653</v>
      </c>
      <c r="P182" s="166" t="s">
        <v>924</v>
      </c>
    </row>
    <row r="183" spans="1:17" s="166" customFormat="1" ht="38.25">
      <c r="B183" s="198"/>
      <c r="C183" s="199"/>
      <c r="D183" s="200">
        <v>41400.671527777777</v>
      </c>
      <c r="E183" s="166" t="s">
        <v>373</v>
      </c>
      <c r="F183" s="166" t="s">
        <v>393</v>
      </c>
      <c r="H183" s="166" t="s">
        <v>653</v>
      </c>
      <c r="K183" s="166" t="s">
        <v>374</v>
      </c>
      <c r="L183" s="166" t="s">
        <v>864</v>
      </c>
      <c r="M183" s="166" t="s">
        <v>217</v>
      </c>
      <c r="N183" s="166" t="s">
        <v>653</v>
      </c>
      <c r="P183" s="166" t="s">
        <v>541</v>
      </c>
    </row>
    <row r="184" spans="1:17" ht="25.5">
      <c r="B184" s="144">
        <v>41400</v>
      </c>
      <c r="C184" s="145">
        <v>41400.666666666664</v>
      </c>
      <c r="D184" s="146">
        <v>41400.672222222223</v>
      </c>
      <c r="E184" s="143" t="s">
        <v>735</v>
      </c>
      <c r="F184" s="147" t="s">
        <v>739</v>
      </c>
      <c r="H184" s="147" t="s">
        <v>736</v>
      </c>
      <c r="I184" s="143" t="s">
        <v>766</v>
      </c>
      <c r="J184" s="147" t="s">
        <v>733</v>
      </c>
      <c r="K184" s="143" t="s">
        <v>766</v>
      </c>
      <c r="L184" s="60" t="s">
        <v>864</v>
      </c>
      <c r="M184" s="143" t="s">
        <v>217</v>
      </c>
      <c r="N184" s="143" t="s">
        <v>271</v>
      </c>
      <c r="O184" s="143" t="s">
        <v>595</v>
      </c>
      <c r="P184" s="60"/>
    </row>
    <row r="185" spans="1:17">
      <c r="A185" s="60"/>
      <c r="D185" s="165">
        <v>41400.67291666667</v>
      </c>
      <c r="E185" s="143" t="s">
        <v>735</v>
      </c>
      <c r="F185" s="147" t="s">
        <v>392</v>
      </c>
      <c r="H185" s="147" t="s">
        <v>736</v>
      </c>
      <c r="I185" s="60"/>
      <c r="J185" s="147"/>
      <c r="L185" s="60" t="s">
        <v>864</v>
      </c>
      <c r="M185" s="143" t="s">
        <v>217</v>
      </c>
      <c r="N185" s="143" t="s">
        <v>271</v>
      </c>
      <c r="O185" s="143" t="s">
        <v>595</v>
      </c>
      <c r="P185" s="60"/>
    </row>
    <row r="186" spans="1:17" ht="51">
      <c r="B186" s="144">
        <v>41400.708333333336</v>
      </c>
      <c r="C186" s="155">
        <v>41400.708333333336</v>
      </c>
      <c r="D186" s="156">
        <v>41400.708333333336</v>
      </c>
      <c r="E186" s="143" t="s">
        <v>426</v>
      </c>
      <c r="I186" s="157" t="s">
        <v>21</v>
      </c>
      <c r="K186" s="158" t="s">
        <v>497</v>
      </c>
      <c r="L186" s="60" t="s">
        <v>864</v>
      </c>
      <c r="M186" s="143" t="s">
        <v>217</v>
      </c>
      <c r="N186" s="143" t="s">
        <v>271</v>
      </c>
      <c r="O186" s="143" t="s">
        <v>595</v>
      </c>
    </row>
    <row r="187" spans="1:17" ht="51">
      <c r="B187" s="144">
        <v>41400.708333333336</v>
      </c>
      <c r="C187" s="155">
        <v>41400.708333333336</v>
      </c>
      <c r="D187" s="156">
        <f t="shared" ref="D187:D193" si="0">D186+(1/24)/60</f>
        <v>41400.709027777782</v>
      </c>
      <c r="E187" s="143" t="s">
        <v>426</v>
      </c>
      <c r="I187" s="157" t="s">
        <v>21</v>
      </c>
      <c r="K187" s="158" t="s">
        <v>498</v>
      </c>
      <c r="L187" s="60" t="s">
        <v>864</v>
      </c>
      <c r="M187" s="143" t="s">
        <v>217</v>
      </c>
      <c r="N187" s="143" t="s">
        <v>271</v>
      </c>
      <c r="O187" s="143" t="s">
        <v>595</v>
      </c>
    </row>
    <row r="188" spans="1:17" ht="51">
      <c r="B188" s="144">
        <v>41402.708333333336</v>
      </c>
      <c r="C188" s="155">
        <v>41402.708333333336</v>
      </c>
      <c r="D188" s="156">
        <f t="shared" si="0"/>
        <v>41400.709722222229</v>
      </c>
      <c r="E188" s="143" t="s">
        <v>426</v>
      </c>
      <c r="I188" s="157" t="s">
        <v>21</v>
      </c>
      <c r="K188" s="158" t="s">
        <v>1016</v>
      </c>
      <c r="L188" s="60" t="s">
        <v>864</v>
      </c>
      <c r="M188" s="143" t="s">
        <v>217</v>
      </c>
      <c r="N188" s="143" t="s">
        <v>271</v>
      </c>
      <c r="O188" s="143" t="s">
        <v>595</v>
      </c>
    </row>
    <row r="189" spans="1:17" ht="51">
      <c r="B189" s="144">
        <v>41402.708333333336</v>
      </c>
      <c r="C189" s="155">
        <v>41402.708333333336</v>
      </c>
      <c r="D189" s="156">
        <f t="shared" si="0"/>
        <v>41400.710416666676</v>
      </c>
      <c r="E189" s="143" t="s">
        <v>426</v>
      </c>
      <c r="I189" s="157" t="s">
        <v>21</v>
      </c>
      <c r="K189" s="158" t="s">
        <v>499</v>
      </c>
      <c r="L189" s="60" t="s">
        <v>864</v>
      </c>
      <c r="M189" s="143" t="s">
        <v>217</v>
      </c>
      <c r="N189" s="143" t="s">
        <v>271</v>
      </c>
      <c r="O189" s="143" t="s">
        <v>595</v>
      </c>
    </row>
    <row r="190" spans="1:17" ht="51">
      <c r="B190" s="144">
        <v>41402.708333333336</v>
      </c>
      <c r="C190" s="155">
        <v>41402.708333333336</v>
      </c>
      <c r="D190" s="156">
        <f t="shared" si="0"/>
        <v>41400.711111111123</v>
      </c>
      <c r="E190" s="143" t="s">
        <v>426</v>
      </c>
      <c r="I190" s="157" t="s">
        <v>21</v>
      </c>
      <c r="K190" s="158" t="s">
        <v>500</v>
      </c>
      <c r="L190" s="60" t="s">
        <v>864</v>
      </c>
      <c r="M190" s="143" t="s">
        <v>217</v>
      </c>
      <c r="N190" s="143" t="s">
        <v>271</v>
      </c>
      <c r="O190" s="143" t="s">
        <v>595</v>
      </c>
    </row>
    <row r="191" spans="1:17" ht="51">
      <c r="B191" s="144">
        <v>41402.708333333336</v>
      </c>
      <c r="C191" s="155">
        <v>41402.708333333336</v>
      </c>
      <c r="D191" s="156">
        <f t="shared" si="0"/>
        <v>41400.711805555569</v>
      </c>
      <c r="E191" s="143" t="s">
        <v>426</v>
      </c>
      <c r="I191" s="157" t="s">
        <v>21</v>
      </c>
      <c r="K191" s="158" t="s">
        <v>501</v>
      </c>
      <c r="L191" s="60" t="s">
        <v>864</v>
      </c>
      <c r="M191" s="143" t="s">
        <v>217</v>
      </c>
      <c r="N191" s="143" t="s">
        <v>271</v>
      </c>
      <c r="O191" s="143" t="s">
        <v>595</v>
      </c>
    </row>
    <row r="192" spans="1:17" ht="51">
      <c r="B192" s="144">
        <v>41402.708333333336</v>
      </c>
      <c r="C192" s="155">
        <v>41402.708333333336</v>
      </c>
      <c r="D192" s="156">
        <f t="shared" si="0"/>
        <v>41400.712500000016</v>
      </c>
      <c r="E192" s="143" t="s">
        <v>426</v>
      </c>
      <c r="I192" s="157" t="s">
        <v>21</v>
      </c>
      <c r="K192" s="158" t="s">
        <v>1061</v>
      </c>
      <c r="L192" s="60" t="s">
        <v>864</v>
      </c>
      <c r="M192" s="143" t="s">
        <v>217</v>
      </c>
      <c r="N192" s="143" t="s">
        <v>271</v>
      </c>
      <c r="O192" s="143" t="s">
        <v>595</v>
      </c>
    </row>
    <row r="193" spans="2:16" ht="51">
      <c r="B193" s="144">
        <v>41402.708333333336</v>
      </c>
      <c r="C193" s="155">
        <v>41402.708333333336</v>
      </c>
      <c r="D193" s="156">
        <f t="shared" si="0"/>
        <v>41400.713194444463</v>
      </c>
      <c r="E193" s="143" t="s">
        <v>426</v>
      </c>
      <c r="I193" s="157" t="s">
        <v>21</v>
      </c>
      <c r="K193" s="158" t="s">
        <v>502</v>
      </c>
      <c r="L193" s="60" t="s">
        <v>864</v>
      </c>
      <c r="M193" s="143" t="s">
        <v>217</v>
      </c>
      <c r="N193" s="143" t="s">
        <v>271</v>
      </c>
      <c r="O193" s="143" t="s">
        <v>595</v>
      </c>
    </row>
    <row r="194" spans="2:16" s="167" customFormat="1" ht="38.25">
      <c r="B194" s="184"/>
      <c r="C194" s="185"/>
      <c r="D194" s="186">
        <v>41400.71875</v>
      </c>
      <c r="E194" s="209" t="s">
        <v>735</v>
      </c>
      <c r="F194" s="209" t="s">
        <v>300</v>
      </c>
      <c r="H194" s="209" t="s">
        <v>303</v>
      </c>
      <c r="I194" s="209"/>
      <c r="K194" s="167" t="s">
        <v>64</v>
      </c>
      <c r="L194" s="167" t="s">
        <v>735</v>
      </c>
      <c r="M194" s="167" t="s">
        <v>839</v>
      </c>
      <c r="N194" s="167" t="s">
        <v>1032</v>
      </c>
      <c r="P194" s="209" t="s">
        <v>286</v>
      </c>
    </row>
    <row r="195" spans="2:16" s="167" customFormat="1" ht="38.25">
      <c r="B195" s="184"/>
      <c r="C195" s="185"/>
      <c r="D195" s="186">
        <v>41400.78125</v>
      </c>
      <c r="E195" s="167" t="s">
        <v>609</v>
      </c>
      <c r="F195" s="194" t="s">
        <v>604</v>
      </c>
      <c r="G195" s="167" t="s">
        <v>617</v>
      </c>
      <c r="H195" s="194" t="s">
        <v>595</v>
      </c>
      <c r="J195" s="194"/>
      <c r="K195" s="167" t="s">
        <v>65</v>
      </c>
      <c r="L195" s="194" t="s">
        <v>735</v>
      </c>
      <c r="M195" s="167" t="s">
        <v>839</v>
      </c>
      <c r="N195" s="167" t="s">
        <v>1032</v>
      </c>
      <c r="P195" s="167" t="s">
        <v>338</v>
      </c>
    </row>
    <row r="196" spans="2:16" s="167" customFormat="1" ht="51">
      <c r="B196" s="184"/>
      <c r="C196" s="185"/>
      <c r="D196" s="186">
        <v>41400.781944444447</v>
      </c>
      <c r="E196" s="209" t="s">
        <v>735</v>
      </c>
      <c r="F196" s="209" t="s">
        <v>301</v>
      </c>
      <c r="H196" s="209" t="s">
        <v>305</v>
      </c>
      <c r="I196" s="209"/>
      <c r="K196" s="209" t="s">
        <v>66</v>
      </c>
      <c r="L196" s="167" t="s">
        <v>735</v>
      </c>
      <c r="M196" s="167" t="s">
        <v>839</v>
      </c>
      <c r="N196" s="167" t="s">
        <v>1032</v>
      </c>
      <c r="P196" s="209" t="s">
        <v>289</v>
      </c>
    </row>
    <row r="197" spans="2:16" ht="140.25">
      <c r="B197" s="144">
        <v>41400</v>
      </c>
      <c r="C197" s="145">
        <v>41400.916666666664</v>
      </c>
      <c r="D197" s="146">
        <v>41400.916666666664</v>
      </c>
      <c r="E197" s="143" t="s">
        <v>735</v>
      </c>
      <c r="F197" s="147" t="s">
        <v>739</v>
      </c>
      <c r="H197" s="147" t="s">
        <v>736</v>
      </c>
      <c r="I197" s="143" t="s">
        <v>767</v>
      </c>
      <c r="J197" s="147" t="s">
        <v>733</v>
      </c>
      <c r="K197" s="143" t="s">
        <v>767</v>
      </c>
      <c r="L197" s="147" t="s">
        <v>864</v>
      </c>
      <c r="M197" s="143" t="s">
        <v>217</v>
      </c>
      <c r="N197" s="143" t="s">
        <v>271</v>
      </c>
      <c r="O197" s="143" t="s">
        <v>595</v>
      </c>
      <c r="P197" s="143" t="s">
        <v>157</v>
      </c>
    </row>
    <row r="198" spans="2:16" ht="114.75">
      <c r="B198" s="144">
        <v>41401</v>
      </c>
      <c r="C198" s="145">
        <v>41401.166666666664</v>
      </c>
      <c r="D198" s="146">
        <v>41401.166666666664</v>
      </c>
      <c r="E198" s="143" t="s">
        <v>735</v>
      </c>
      <c r="F198" s="147" t="s">
        <v>739</v>
      </c>
      <c r="H198" s="147" t="s">
        <v>736</v>
      </c>
      <c r="I198" s="143" t="s">
        <v>768</v>
      </c>
      <c r="J198" s="147" t="s">
        <v>733</v>
      </c>
      <c r="K198" s="143" t="s">
        <v>768</v>
      </c>
      <c r="L198" s="147" t="s">
        <v>864</v>
      </c>
      <c r="M198" s="143" t="s">
        <v>217</v>
      </c>
      <c r="N198" s="143" t="s">
        <v>271</v>
      </c>
      <c r="O198" s="143" t="s">
        <v>595</v>
      </c>
      <c r="P198" s="143" t="s">
        <v>158</v>
      </c>
    </row>
    <row r="199" spans="2:16" ht="51">
      <c r="B199" s="144">
        <v>41401.208333333336</v>
      </c>
      <c r="C199" s="155">
        <v>41401.208333333336</v>
      </c>
      <c r="D199" s="156">
        <v>41401.208333333336</v>
      </c>
      <c r="E199" s="143" t="s">
        <v>426</v>
      </c>
      <c r="I199" s="157" t="s">
        <v>21</v>
      </c>
      <c r="K199" s="158" t="s">
        <v>503</v>
      </c>
      <c r="L199" s="147" t="s">
        <v>864</v>
      </c>
      <c r="M199" s="143" t="s">
        <v>217</v>
      </c>
      <c r="N199" s="143" t="s">
        <v>271</v>
      </c>
      <c r="O199" s="143" t="s">
        <v>595</v>
      </c>
    </row>
    <row r="200" spans="2:16" ht="51">
      <c r="B200" s="144">
        <v>41401.208333333336</v>
      </c>
      <c r="C200" s="155">
        <v>41401.208333333336</v>
      </c>
      <c r="D200" s="156">
        <v>41401.209027777775</v>
      </c>
      <c r="E200" s="143" t="s">
        <v>426</v>
      </c>
      <c r="I200" s="157" t="s">
        <v>21</v>
      </c>
      <c r="K200" s="158" t="s">
        <v>513</v>
      </c>
      <c r="L200" s="147" t="s">
        <v>864</v>
      </c>
      <c r="M200" s="143" t="s">
        <v>217</v>
      </c>
      <c r="N200" s="143" t="s">
        <v>271</v>
      </c>
      <c r="O200" s="143" t="s">
        <v>595</v>
      </c>
    </row>
    <row r="201" spans="2:16" ht="51">
      <c r="B201" s="144">
        <v>41401.208333333336</v>
      </c>
      <c r="C201" s="155">
        <v>41401.208333333336</v>
      </c>
      <c r="D201" s="156">
        <v>41401.209722222222</v>
      </c>
      <c r="E201" s="143" t="s">
        <v>426</v>
      </c>
      <c r="I201" s="157" t="s">
        <v>21</v>
      </c>
      <c r="K201" s="158" t="s">
        <v>504</v>
      </c>
      <c r="L201" s="147" t="s">
        <v>864</v>
      </c>
      <c r="M201" s="143" t="s">
        <v>217</v>
      </c>
      <c r="N201" s="143" t="s">
        <v>271</v>
      </c>
      <c r="O201" s="143" t="s">
        <v>595</v>
      </c>
    </row>
    <row r="202" spans="2:16" ht="51">
      <c r="B202" s="144">
        <v>41401.208333333336</v>
      </c>
      <c r="C202" s="155">
        <v>41401.208333333336</v>
      </c>
      <c r="D202" s="156">
        <v>41401.210416666669</v>
      </c>
      <c r="E202" s="143" t="s">
        <v>426</v>
      </c>
      <c r="I202" s="157" t="s">
        <v>21</v>
      </c>
      <c r="K202" s="158" t="s">
        <v>505</v>
      </c>
      <c r="L202" s="147" t="s">
        <v>864</v>
      </c>
      <c r="M202" s="143" t="s">
        <v>217</v>
      </c>
      <c r="N202" s="143" t="s">
        <v>271</v>
      </c>
      <c r="O202" s="143" t="s">
        <v>595</v>
      </c>
    </row>
    <row r="203" spans="2:16" ht="51">
      <c r="B203" s="144">
        <v>41401.208333333336</v>
      </c>
      <c r="C203" s="155">
        <v>41401.208333333336</v>
      </c>
      <c r="D203" s="156">
        <v>41401.211111111108</v>
      </c>
      <c r="E203" s="143" t="s">
        <v>426</v>
      </c>
      <c r="I203" s="157" t="s">
        <v>21</v>
      </c>
      <c r="K203" s="158" t="s">
        <v>1017</v>
      </c>
      <c r="L203" s="147" t="s">
        <v>864</v>
      </c>
      <c r="M203" s="143" t="s">
        <v>217</v>
      </c>
      <c r="N203" s="143" t="s">
        <v>271</v>
      </c>
      <c r="O203" s="143" t="s">
        <v>595</v>
      </c>
    </row>
    <row r="204" spans="2:16" ht="51">
      <c r="B204" s="144">
        <v>41401.208333333336</v>
      </c>
      <c r="C204" s="155">
        <v>41401.208333333336</v>
      </c>
      <c r="D204" s="156">
        <v>41401.211805555555</v>
      </c>
      <c r="E204" s="143" t="s">
        <v>426</v>
      </c>
      <c r="I204" s="157" t="s">
        <v>21</v>
      </c>
      <c r="K204" s="158" t="s">
        <v>506</v>
      </c>
      <c r="L204" s="147" t="s">
        <v>864</v>
      </c>
      <c r="M204" s="143" t="s">
        <v>217</v>
      </c>
      <c r="N204" s="143" t="s">
        <v>271</v>
      </c>
      <c r="O204" s="143" t="s">
        <v>595</v>
      </c>
    </row>
    <row r="205" spans="2:16" ht="51">
      <c r="B205" s="144">
        <v>41401.208333333336</v>
      </c>
      <c r="C205" s="155">
        <v>41401.208333333336</v>
      </c>
      <c r="D205" s="156">
        <v>41401.212500000001</v>
      </c>
      <c r="E205" s="143" t="s">
        <v>426</v>
      </c>
      <c r="I205" s="157" t="s">
        <v>21</v>
      </c>
      <c r="K205" s="158" t="s">
        <v>507</v>
      </c>
      <c r="L205" s="147" t="s">
        <v>864</v>
      </c>
      <c r="M205" s="143" t="s">
        <v>217</v>
      </c>
      <c r="N205" s="143" t="s">
        <v>271</v>
      </c>
      <c r="O205" s="143" t="s">
        <v>595</v>
      </c>
    </row>
    <row r="206" spans="2:16" ht="51">
      <c r="B206" s="144">
        <v>41401.208333333336</v>
      </c>
      <c r="C206" s="155">
        <v>41401.208333333336</v>
      </c>
      <c r="D206" s="156">
        <v>41401.213194444441</v>
      </c>
      <c r="E206" s="143" t="s">
        <v>426</v>
      </c>
      <c r="I206" s="157" t="s">
        <v>21</v>
      </c>
      <c r="K206" s="158" t="s">
        <v>508</v>
      </c>
      <c r="L206" s="147" t="s">
        <v>864</v>
      </c>
      <c r="M206" s="143" t="s">
        <v>217</v>
      </c>
      <c r="N206" s="143" t="s">
        <v>271</v>
      </c>
      <c r="O206" s="143" t="s">
        <v>595</v>
      </c>
    </row>
    <row r="207" spans="2:16" ht="51">
      <c r="B207" s="144">
        <v>41401.208333333336</v>
      </c>
      <c r="C207" s="155">
        <v>41401.208333333336</v>
      </c>
      <c r="D207" s="156">
        <v>41401.213888888888</v>
      </c>
      <c r="E207" s="143" t="s">
        <v>426</v>
      </c>
      <c r="I207" s="157" t="s">
        <v>21</v>
      </c>
      <c r="K207" s="158" t="s">
        <v>509</v>
      </c>
      <c r="L207" s="147" t="s">
        <v>864</v>
      </c>
      <c r="M207" s="143" t="s">
        <v>217</v>
      </c>
      <c r="N207" s="143" t="s">
        <v>271</v>
      </c>
      <c r="O207" s="143" t="s">
        <v>595</v>
      </c>
    </row>
    <row r="208" spans="2:16" ht="51">
      <c r="B208" s="144">
        <v>41401.208333333336</v>
      </c>
      <c r="C208" s="155">
        <v>41401.208333333336</v>
      </c>
      <c r="D208" s="156">
        <v>41401.214583333334</v>
      </c>
      <c r="E208" s="143" t="s">
        <v>426</v>
      </c>
      <c r="I208" s="157" t="s">
        <v>21</v>
      </c>
      <c r="K208" s="158" t="s">
        <v>510</v>
      </c>
      <c r="L208" s="147" t="s">
        <v>864</v>
      </c>
      <c r="M208" s="143" t="s">
        <v>217</v>
      </c>
      <c r="N208" s="143" t="s">
        <v>271</v>
      </c>
      <c r="O208" s="143" t="s">
        <v>595</v>
      </c>
    </row>
    <row r="209" spans="2:15" ht="51">
      <c r="B209" s="144">
        <v>41401.208333333336</v>
      </c>
      <c r="C209" s="155">
        <v>41401.208333333336</v>
      </c>
      <c r="D209" s="156">
        <v>41401.215277777781</v>
      </c>
      <c r="E209" s="143" t="s">
        <v>426</v>
      </c>
      <c r="I209" s="157" t="s">
        <v>21</v>
      </c>
      <c r="K209" s="158" t="s">
        <v>511</v>
      </c>
      <c r="L209" s="147" t="s">
        <v>864</v>
      </c>
      <c r="M209" s="143" t="s">
        <v>217</v>
      </c>
      <c r="N209" s="143" t="s">
        <v>271</v>
      </c>
      <c r="O209" s="143" t="s">
        <v>595</v>
      </c>
    </row>
    <row r="210" spans="2:15" ht="51">
      <c r="B210" s="144">
        <v>41401.208333333336</v>
      </c>
      <c r="C210" s="155">
        <v>41401.208333333336</v>
      </c>
      <c r="D210" s="156">
        <v>41401.21597222222</v>
      </c>
      <c r="E210" s="143" t="s">
        <v>426</v>
      </c>
      <c r="I210" s="157" t="s">
        <v>21</v>
      </c>
      <c r="K210" s="158" t="s">
        <v>500</v>
      </c>
      <c r="L210" s="147" t="s">
        <v>864</v>
      </c>
      <c r="M210" s="143" t="s">
        <v>217</v>
      </c>
      <c r="N210" s="143" t="s">
        <v>271</v>
      </c>
      <c r="O210" s="143" t="s">
        <v>595</v>
      </c>
    </row>
    <row r="211" spans="2:15" ht="51">
      <c r="B211" s="144">
        <v>41401.208333333336</v>
      </c>
      <c r="C211" s="155">
        <v>41401.208333333336</v>
      </c>
      <c r="D211" s="156">
        <v>41401.216666666667</v>
      </c>
      <c r="E211" s="143" t="s">
        <v>426</v>
      </c>
      <c r="I211" s="157" t="s">
        <v>21</v>
      </c>
      <c r="K211" s="158" t="s">
        <v>512</v>
      </c>
      <c r="L211" s="147" t="s">
        <v>864</v>
      </c>
      <c r="M211" s="143" t="s">
        <v>217</v>
      </c>
      <c r="N211" s="143" t="s">
        <v>271</v>
      </c>
      <c r="O211" s="143" t="s">
        <v>595</v>
      </c>
    </row>
    <row r="212" spans="2:15" ht="51">
      <c r="B212" s="144">
        <v>41401.208333333336</v>
      </c>
      <c r="C212" s="155">
        <v>41401.208333333336</v>
      </c>
      <c r="D212" s="156">
        <v>41401.217361111114</v>
      </c>
      <c r="E212" s="143" t="s">
        <v>426</v>
      </c>
      <c r="I212" s="157" t="s">
        <v>21</v>
      </c>
      <c r="K212" s="158" t="s">
        <v>1062</v>
      </c>
      <c r="L212" s="147" t="s">
        <v>864</v>
      </c>
      <c r="M212" s="143" t="s">
        <v>217</v>
      </c>
      <c r="N212" s="143" t="s">
        <v>271</v>
      </c>
      <c r="O212" s="143" t="s">
        <v>595</v>
      </c>
    </row>
    <row r="213" spans="2:15" ht="63.75">
      <c r="B213" s="144">
        <v>41401.208333333336</v>
      </c>
      <c r="C213" s="155">
        <v>41401.208333333336</v>
      </c>
      <c r="D213" s="156">
        <v>41401.218055555553</v>
      </c>
      <c r="E213" s="143" t="s">
        <v>426</v>
      </c>
      <c r="I213" s="157" t="s">
        <v>21</v>
      </c>
      <c r="K213" s="158" t="s">
        <v>1063</v>
      </c>
      <c r="L213" s="147" t="s">
        <v>864</v>
      </c>
      <c r="M213" s="143" t="s">
        <v>217</v>
      </c>
      <c r="N213" s="143" t="s">
        <v>271</v>
      </c>
      <c r="O213" s="143" t="s">
        <v>595</v>
      </c>
    </row>
    <row r="214" spans="2:15" ht="51">
      <c r="B214" s="144">
        <v>41401.208333333336</v>
      </c>
      <c r="C214" s="155">
        <v>41401.208333333336</v>
      </c>
      <c r="D214" s="156">
        <v>41401.21875</v>
      </c>
      <c r="E214" s="143" t="s">
        <v>426</v>
      </c>
      <c r="I214" s="157" t="s">
        <v>21</v>
      </c>
      <c r="K214" s="158" t="s">
        <v>1064</v>
      </c>
      <c r="L214" s="147" t="s">
        <v>864</v>
      </c>
      <c r="M214" s="143" t="s">
        <v>217</v>
      </c>
      <c r="N214" s="143" t="s">
        <v>271</v>
      </c>
      <c r="O214" s="143" t="s">
        <v>595</v>
      </c>
    </row>
    <row r="215" spans="2:15" ht="102">
      <c r="B215" s="144">
        <v>41401.208333333336</v>
      </c>
      <c r="C215" s="155">
        <v>41401.208333333336</v>
      </c>
      <c r="D215" s="156">
        <v>41401.219444444447</v>
      </c>
      <c r="E215" s="143" t="s">
        <v>426</v>
      </c>
      <c r="I215" s="157" t="s">
        <v>21</v>
      </c>
      <c r="K215" s="158" t="s">
        <v>1065</v>
      </c>
      <c r="L215" s="147" t="s">
        <v>864</v>
      </c>
      <c r="M215" s="143" t="s">
        <v>217</v>
      </c>
      <c r="N215" s="143" t="s">
        <v>271</v>
      </c>
      <c r="O215" s="143" t="s">
        <v>595</v>
      </c>
    </row>
    <row r="216" spans="2:15" ht="51">
      <c r="B216" s="144">
        <v>41402.208333333336</v>
      </c>
      <c r="C216" s="155">
        <v>41402.208333333336</v>
      </c>
      <c r="D216" s="156">
        <v>41401.220138888886</v>
      </c>
      <c r="E216" s="143" t="s">
        <v>426</v>
      </c>
      <c r="I216" s="157" t="s">
        <v>21</v>
      </c>
      <c r="K216" s="158" t="s">
        <v>496</v>
      </c>
      <c r="L216" s="147" t="s">
        <v>864</v>
      </c>
      <c r="M216" s="143" t="s">
        <v>217</v>
      </c>
      <c r="N216" s="143" t="s">
        <v>271</v>
      </c>
      <c r="O216" s="143" t="s">
        <v>595</v>
      </c>
    </row>
    <row r="217" spans="2:15" ht="51">
      <c r="B217" s="144">
        <v>41402.208333333336</v>
      </c>
      <c r="C217" s="155">
        <v>41402.208333333336</v>
      </c>
      <c r="D217" s="156">
        <v>41401.220833333333</v>
      </c>
      <c r="E217" s="143" t="s">
        <v>426</v>
      </c>
      <c r="I217" s="157" t="s">
        <v>21</v>
      </c>
      <c r="K217" s="158" t="s">
        <v>848</v>
      </c>
      <c r="L217" s="147" t="s">
        <v>864</v>
      </c>
      <c r="M217" s="143" t="s">
        <v>217</v>
      </c>
      <c r="N217" s="143" t="s">
        <v>271</v>
      </c>
      <c r="O217" s="143" t="s">
        <v>595</v>
      </c>
    </row>
    <row r="218" spans="2:15" ht="51">
      <c r="B218" s="144">
        <v>41402.208333333336</v>
      </c>
      <c r="C218" s="155">
        <v>41402.208333333336</v>
      </c>
      <c r="D218" s="156">
        <v>41401.22152777778</v>
      </c>
      <c r="E218" s="143" t="s">
        <v>426</v>
      </c>
      <c r="I218" s="157" t="s">
        <v>21</v>
      </c>
      <c r="K218" s="158" t="s">
        <v>476</v>
      </c>
      <c r="L218" s="147" t="s">
        <v>864</v>
      </c>
      <c r="M218" s="143" t="s">
        <v>217</v>
      </c>
      <c r="N218" s="143" t="s">
        <v>271</v>
      </c>
      <c r="O218" s="143" t="s">
        <v>595</v>
      </c>
    </row>
    <row r="219" spans="2:15" ht="63.75">
      <c r="B219" s="144">
        <v>41402.208333333336</v>
      </c>
      <c r="C219" s="155">
        <v>41402.208333333336</v>
      </c>
      <c r="D219" s="156">
        <v>41401.222222222219</v>
      </c>
      <c r="E219" s="143" t="s">
        <v>426</v>
      </c>
      <c r="I219" s="157" t="s">
        <v>21</v>
      </c>
      <c r="K219" s="158" t="s">
        <v>1018</v>
      </c>
      <c r="L219" s="147" t="s">
        <v>864</v>
      </c>
      <c r="M219" s="143" t="s">
        <v>217</v>
      </c>
      <c r="N219" s="143" t="s">
        <v>271</v>
      </c>
      <c r="O219" s="143" t="s">
        <v>595</v>
      </c>
    </row>
    <row r="220" spans="2:15" ht="51">
      <c r="B220" s="144">
        <v>41402.208333333336</v>
      </c>
      <c r="C220" s="155">
        <v>41402.208333333336</v>
      </c>
      <c r="D220" s="156">
        <v>41401.225694444445</v>
      </c>
      <c r="E220" s="143" t="s">
        <v>426</v>
      </c>
      <c r="I220" s="157" t="s">
        <v>21</v>
      </c>
      <c r="K220" s="158" t="s">
        <v>477</v>
      </c>
      <c r="L220" s="147" t="s">
        <v>864</v>
      </c>
      <c r="M220" s="143" t="s">
        <v>217</v>
      </c>
      <c r="N220" s="143" t="s">
        <v>271</v>
      </c>
      <c r="O220" s="143" t="s">
        <v>595</v>
      </c>
    </row>
    <row r="221" spans="2:15" ht="51">
      <c r="B221" s="144">
        <v>41402.208333333336</v>
      </c>
      <c r="C221" s="155">
        <v>41402.208333333336</v>
      </c>
      <c r="D221" s="156">
        <v>41401.226388888892</v>
      </c>
      <c r="E221" s="143" t="s">
        <v>426</v>
      </c>
      <c r="I221" s="157" t="s">
        <v>21</v>
      </c>
      <c r="K221" s="158" t="s">
        <v>478</v>
      </c>
      <c r="L221" s="147" t="s">
        <v>864</v>
      </c>
      <c r="M221" s="143" t="s">
        <v>217</v>
      </c>
      <c r="N221" s="143" t="s">
        <v>271</v>
      </c>
      <c r="O221" s="143" t="s">
        <v>595</v>
      </c>
    </row>
    <row r="222" spans="2:15" ht="51">
      <c r="B222" s="144">
        <v>41402.208333333336</v>
      </c>
      <c r="C222" s="155">
        <v>41402.208333333336</v>
      </c>
      <c r="D222" s="156">
        <v>41401.227083333331</v>
      </c>
      <c r="E222" s="143" t="s">
        <v>426</v>
      </c>
      <c r="I222" s="157" t="s">
        <v>21</v>
      </c>
      <c r="K222" s="158" t="s">
        <v>479</v>
      </c>
      <c r="L222" s="147" t="s">
        <v>864</v>
      </c>
      <c r="M222" s="143" t="s">
        <v>217</v>
      </c>
      <c r="N222" s="143" t="s">
        <v>271</v>
      </c>
      <c r="O222" s="143" t="s">
        <v>595</v>
      </c>
    </row>
    <row r="223" spans="2:15" ht="51">
      <c r="B223" s="144">
        <v>41402.208333333336</v>
      </c>
      <c r="C223" s="155">
        <v>41402.208333333336</v>
      </c>
      <c r="D223" s="156">
        <v>41401.227777777778</v>
      </c>
      <c r="E223" s="143" t="s">
        <v>426</v>
      </c>
      <c r="I223" s="157" t="s">
        <v>21</v>
      </c>
      <c r="K223" s="158" t="s">
        <v>480</v>
      </c>
      <c r="L223" s="147" t="s">
        <v>864</v>
      </c>
      <c r="M223" s="143" t="s">
        <v>217</v>
      </c>
      <c r="N223" s="143" t="s">
        <v>271</v>
      </c>
      <c r="O223" s="143" t="s">
        <v>595</v>
      </c>
    </row>
    <row r="224" spans="2:15" ht="51">
      <c r="B224" s="144">
        <v>41402.208333333336</v>
      </c>
      <c r="C224" s="155">
        <v>41402.208333333336</v>
      </c>
      <c r="D224" s="156">
        <v>41401.228472222225</v>
      </c>
      <c r="E224" s="143" t="s">
        <v>426</v>
      </c>
      <c r="I224" s="157" t="s">
        <v>21</v>
      </c>
      <c r="K224" s="158" t="s">
        <v>481</v>
      </c>
      <c r="L224" s="147" t="s">
        <v>864</v>
      </c>
      <c r="M224" s="143" t="s">
        <v>217</v>
      </c>
      <c r="N224" s="143" t="s">
        <v>271</v>
      </c>
      <c r="O224" s="143" t="s">
        <v>595</v>
      </c>
    </row>
    <row r="225" spans="2:15" ht="51">
      <c r="B225" s="144">
        <v>41402.208333333336</v>
      </c>
      <c r="C225" s="155">
        <v>41402.208333333336</v>
      </c>
      <c r="D225" s="156">
        <v>41401.229166666664</v>
      </c>
      <c r="E225" s="143" t="s">
        <v>426</v>
      </c>
      <c r="I225" s="157" t="s">
        <v>21</v>
      </c>
      <c r="K225" s="158" t="s">
        <v>482</v>
      </c>
      <c r="L225" s="147" t="s">
        <v>864</v>
      </c>
      <c r="M225" s="143" t="s">
        <v>217</v>
      </c>
      <c r="N225" s="143" t="s">
        <v>271</v>
      </c>
      <c r="O225" s="143" t="s">
        <v>595</v>
      </c>
    </row>
    <row r="226" spans="2:15" ht="51">
      <c r="B226" s="144">
        <v>41402.208333333336</v>
      </c>
      <c r="C226" s="155">
        <v>41402.208333333336</v>
      </c>
      <c r="D226" s="156">
        <v>41401.229861111111</v>
      </c>
      <c r="E226" s="143" t="s">
        <v>426</v>
      </c>
      <c r="I226" s="157" t="s">
        <v>21</v>
      </c>
      <c r="K226" s="158" t="s">
        <v>483</v>
      </c>
      <c r="L226" s="147" t="s">
        <v>864</v>
      </c>
      <c r="M226" s="143" t="s">
        <v>217</v>
      </c>
      <c r="N226" s="143" t="s">
        <v>271</v>
      </c>
      <c r="O226" s="143" t="s">
        <v>595</v>
      </c>
    </row>
    <row r="227" spans="2:15" ht="51">
      <c r="B227" s="144">
        <v>41402.208333333336</v>
      </c>
      <c r="C227" s="155">
        <v>41402.208333333336</v>
      </c>
      <c r="D227" s="156">
        <v>41401.230555555558</v>
      </c>
      <c r="E227" s="143" t="s">
        <v>426</v>
      </c>
      <c r="I227" s="157" t="s">
        <v>21</v>
      </c>
      <c r="K227" s="158" t="s">
        <v>484</v>
      </c>
      <c r="L227" s="147" t="s">
        <v>864</v>
      </c>
      <c r="M227" s="143" t="s">
        <v>217</v>
      </c>
      <c r="N227" s="143" t="s">
        <v>271</v>
      </c>
      <c r="O227" s="143" t="s">
        <v>595</v>
      </c>
    </row>
    <row r="228" spans="2:15" ht="51">
      <c r="B228" s="144">
        <v>41402.208333333336</v>
      </c>
      <c r="C228" s="155">
        <v>41402.208333333336</v>
      </c>
      <c r="D228" s="156">
        <v>41401.231249999997</v>
      </c>
      <c r="E228" s="143" t="s">
        <v>426</v>
      </c>
      <c r="I228" s="157" t="s">
        <v>21</v>
      </c>
      <c r="K228" s="158" t="s">
        <v>485</v>
      </c>
      <c r="L228" s="147" t="s">
        <v>864</v>
      </c>
      <c r="M228" s="143" t="s">
        <v>217</v>
      </c>
      <c r="N228" s="143" t="s">
        <v>271</v>
      </c>
      <c r="O228" s="143" t="s">
        <v>595</v>
      </c>
    </row>
    <row r="229" spans="2:15" ht="51">
      <c r="B229" s="144">
        <v>41402.208333333336</v>
      </c>
      <c r="C229" s="155">
        <v>41402.208333333336</v>
      </c>
      <c r="D229" s="156">
        <v>41401.231944444444</v>
      </c>
      <c r="E229" s="143" t="s">
        <v>426</v>
      </c>
      <c r="I229" s="157" t="s">
        <v>21</v>
      </c>
      <c r="K229" s="158" t="s">
        <v>486</v>
      </c>
      <c r="L229" s="147" t="s">
        <v>864</v>
      </c>
      <c r="M229" s="143" t="s">
        <v>217</v>
      </c>
      <c r="N229" s="143" t="s">
        <v>271</v>
      </c>
      <c r="O229" s="143" t="s">
        <v>595</v>
      </c>
    </row>
    <row r="230" spans="2:15" ht="51">
      <c r="B230" s="144">
        <v>41402.208333333336</v>
      </c>
      <c r="C230" s="155">
        <v>41402.208333333336</v>
      </c>
      <c r="D230" s="156">
        <v>41401.232638888891</v>
      </c>
      <c r="E230" s="143" t="s">
        <v>426</v>
      </c>
      <c r="I230" s="157" t="s">
        <v>21</v>
      </c>
      <c r="K230" s="158" t="s">
        <v>487</v>
      </c>
      <c r="L230" s="147" t="s">
        <v>864</v>
      </c>
      <c r="M230" s="143" t="s">
        <v>217</v>
      </c>
      <c r="N230" s="143" t="s">
        <v>271</v>
      </c>
      <c r="O230" s="143" t="s">
        <v>595</v>
      </c>
    </row>
    <row r="231" spans="2:15" ht="51">
      <c r="B231" s="144">
        <v>41402.208333333336</v>
      </c>
      <c r="C231" s="155">
        <v>41402.208333333336</v>
      </c>
      <c r="D231" s="156">
        <v>41401.23333333333</v>
      </c>
      <c r="E231" s="143" t="s">
        <v>426</v>
      </c>
      <c r="I231" s="157" t="s">
        <v>21</v>
      </c>
      <c r="K231" s="158" t="s">
        <v>488</v>
      </c>
      <c r="L231" s="147" t="s">
        <v>864</v>
      </c>
      <c r="M231" s="143" t="s">
        <v>217</v>
      </c>
      <c r="N231" s="143" t="s">
        <v>271</v>
      </c>
      <c r="O231" s="143" t="s">
        <v>595</v>
      </c>
    </row>
    <row r="232" spans="2:15" ht="51">
      <c r="B232" s="144">
        <v>41402.208333333336</v>
      </c>
      <c r="C232" s="155">
        <v>41402.208333333336</v>
      </c>
      <c r="D232" s="156">
        <v>41401.234027777777</v>
      </c>
      <c r="E232" s="143" t="s">
        <v>426</v>
      </c>
      <c r="I232" s="157" t="s">
        <v>21</v>
      </c>
      <c r="K232" s="158" t="s">
        <v>489</v>
      </c>
      <c r="L232" s="147" t="s">
        <v>864</v>
      </c>
      <c r="M232" s="143" t="s">
        <v>217</v>
      </c>
      <c r="N232" s="143" t="s">
        <v>271</v>
      </c>
      <c r="O232" s="143" t="s">
        <v>595</v>
      </c>
    </row>
    <row r="233" spans="2:15" ht="51">
      <c r="B233" s="144">
        <v>41402.208333333336</v>
      </c>
      <c r="C233" s="155">
        <v>41402.208333333336</v>
      </c>
      <c r="D233" s="156">
        <v>41401.234722222223</v>
      </c>
      <c r="E233" s="143" t="s">
        <v>426</v>
      </c>
      <c r="I233" s="157" t="s">
        <v>21</v>
      </c>
      <c r="K233" s="158" t="s">
        <v>490</v>
      </c>
      <c r="L233" s="147" t="s">
        <v>864</v>
      </c>
      <c r="M233" s="143" t="s">
        <v>217</v>
      </c>
      <c r="N233" s="143" t="s">
        <v>271</v>
      </c>
      <c r="O233" s="143" t="s">
        <v>595</v>
      </c>
    </row>
    <row r="234" spans="2:15" ht="51">
      <c r="B234" s="144">
        <v>41402.208333333336</v>
      </c>
      <c r="C234" s="155">
        <v>41402.208333333336</v>
      </c>
      <c r="D234" s="156">
        <v>41401.23541666667</v>
      </c>
      <c r="E234" s="143" t="s">
        <v>426</v>
      </c>
      <c r="I234" s="157" t="s">
        <v>21</v>
      </c>
      <c r="K234" s="158" t="s">
        <v>491</v>
      </c>
      <c r="L234" s="147" t="s">
        <v>864</v>
      </c>
      <c r="M234" s="143" t="s">
        <v>217</v>
      </c>
      <c r="N234" s="143" t="s">
        <v>271</v>
      </c>
      <c r="O234" s="143" t="s">
        <v>595</v>
      </c>
    </row>
    <row r="235" spans="2:15" ht="51">
      <c r="B235" s="144">
        <v>41402.208333333336</v>
      </c>
      <c r="C235" s="155">
        <v>41402.208333333336</v>
      </c>
      <c r="D235" s="156">
        <v>41401.236111111109</v>
      </c>
      <c r="E235" s="143" t="s">
        <v>426</v>
      </c>
      <c r="I235" s="157" t="s">
        <v>21</v>
      </c>
      <c r="K235" s="158" t="s">
        <v>492</v>
      </c>
      <c r="L235" s="147" t="s">
        <v>864</v>
      </c>
      <c r="M235" s="143" t="s">
        <v>217</v>
      </c>
      <c r="N235" s="143" t="s">
        <v>271</v>
      </c>
      <c r="O235" s="143" t="s">
        <v>595</v>
      </c>
    </row>
    <row r="236" spans="2:15" ht="51">
      <c r="B236" s="144">
        <v>41402.208333333336</v>
      </c>
      <c r="C236" s="155">
        <v>41402.208333333336</v>
      </c>
      <c r="D236" s="156">
        <v>41401.236805555556</v>
      </c>
      <c r="E236" s="143" t="s">
        <v>426</v>
      </c>
      <c r="I236" s="157" t="s">
        <v>21</v>
      </c>
      <c r="K236" s="158" t="s">
        <v>493</v>
      </c>
      <c r="L236" s="147" t="s">
        <v>864</v>
      </c>
      <c r="M236" s="143" t="s">
        <v>217</v>
      </c>
      <c r="N236" s="143" t="s">
        <v>271</v>
      </c>
      <c r="O236" s="143" t="s">
        <v>595</v>
      </c>
    </row>
    <row r="237" spans="2:15" ht="51">
      <c r="B237" s="144">
        <v>41402.208333333336</v>
      </c>
      <c r="C237" s="155">
        <v>41402.208333333336</v>
      </c>
      <c r="D237" s="156">
        <v>41401.237500000003</v>
      </c>
      <c r="E237" s="143" t="s">
        <v>426</v>
      </c>
      <c r="I237" s="157" t="s">
        <v>21</v>
      </c>
      <c r="K237" s="158" t="s">
        <v>494</v>
      </c>
      <c r="L237" s="147" t="s">
        <v>864</v>
      </c>
      <c r="M237" s="143" t="s">
        <v>217</v>
      </c>
      <c r="N237" s="143" t="s">
        <v>271</v>
      </c>
      <c r="O237" s="143" t="s">
        <v>595</v>
      </c>
    </row>
    <row r="238" spans="2:15" ht="63.75">
      <c r="B238" s="144">
        <v>41402.208333333336</v>
      </c>
      <c r="C238" s="155">
        <v>41402.208333333336</v>
      </c>
      <c r="D238" s="156">
        <v>41401.238194444442</v>
      </c>
      <c r="E238" s="143" t="s">
        <v>426</v>
      </c>
      <c r="I238" s="157" t="s">
        <v>21</v>
      </c>
      <c r="K238" s="158" t="s">
        <v>1066</v>
      </c>
      <c r="L238" s="147" t="s">
        <v>864</v>
      </c>
      <c r="M238" s="143" t="s">
        <v>217</v>
      </c>
      <c r="N238" s="143" t="s">
        <v>271</v>
      </c>
      <c r="O238" s="143" t="s">
        <v>595</v>
      </c>
    </row>
    <row r="239" spans="2:15" ht="63.75">
      <c r="B239" s="144">
        <v>41402.208333333336</v>
      </c>
      <c r="C239" s="155">
        <v>41402.208333333336</v>
      </c>
      <c r="D239" s="156">
        <v>41401.238888888889</v>
      </c>
      <c r="E239" s="143" t="s">
        <v>426</v>
      </c>
      <c r="I239" s="157" t="s">
        <v>21</v>
      </c>
      <c r="K239" s="158" t="s">
        <v>1067</v>
      </c>
      <c r="L239" s="147" t="s">
        <v>864</v>
      </c>
      <c r="M239" s="143" t="s">
        <v>217</v>
      </c>
      <c r="N239" s="143" t="s">
        <v>271</v>
      </c>
      <c r="O239" s="143" t="s">
        <v>595</v>
      </c>
    </row>
    <row r="240" spans="2:15" ht="51">
      <c r="B240" s="144">
        <v>41402.208333333336</v>
      </c>
      <c r="C240" s="155">
        <v>41402.208333333336</v>
      </c>
      <c r="D240" s="156">
        <v>41401.239583333336</v>
      </c>
      <c r="E240" s="143" t="s">
        <v>426</v>
      </c>
      <c r="I240" s="157" t="s">
        <v>21</v>
      </c>
      <c r="K240" s="158" t="s">
        <v>1068</v>
      </c>
      <c r="L240" s="147" t="s">
        <v>864</v>
      </c>
      <c r="M240" s="143" t="s">
        <v>217</v>
      </c>
      <c r="N240" s="143" t="s">
        <v>271</v>
      </c>
      <c r="O240" s="143" t="s">
        <v>595</v>
      </c>
    </row>
    <row r="241" spans="2:17" ht="51">
      <c r="B241" s="144">
        <v>41402.208333333336</v>
      </c>
      <c r="C241" s="155">
        <v>41402.208333333336</v>
      </c>
      <c r="D241" s="156">
        <v>41401.240277777775</v>
      </c>
      <c r="E241" s="143" t="s">
        <v>426</v>
      </c>
      <c r="I241" s="157" t="s">
        <v>21</v>
      </c>
      <c r="K241" s="158" t="s">
        <v>1069</v>
      </c>
      <c r="L241" s="147" t="s">
        <v>864</v>
      </c>
      <c r="M241" s="143" t="s">
        <v>217</v>
      </c>
      <c r="N241" s="143" t="s">
        <v>271</v>
      </c>
      <c r="O241" s="143" t="s">
        <v>595</v>
      </c>
    </row>
    <row r="242" spans="2:17" ht="102">
      <c r="B242" s="144">
        <v>41402.208333333336</v>
      </c>
      <c r="C242" s="155">
        <v>41402.208333333336</v>
      </c>
      <c r="D242" s="156">
        <v>41401.240972222222</v>
      </c>
      <c r="E242" s="143" t="s">
        <v>426</v>
      </c>
      <c r="I242" s="157" t="s">
        <v>21</v>
      </c>
      <c r="K242" s="158" t="s">
        <v>1070</v>
      </c>
      <c r="L242" s="147" t="s">
        <v>864</v>
      </c>
      <c r="M242" s="143" t="s">
        <v>217</v>
      </c>
      <c r="N242" s="143" t="s">
        <v>271</v>
      </c>
      <c r="O242" s="143" t="s">
        <v>595</v>
      </c>
    </row>
    <row r="243" spans="2:17" ht="51">
      <c r="B243" s="144">
        <v>41402.208333333336</v>
      </c>
      <c r="C243" s="155">
        <v>41402.208333333336</v>
      </c>
      <c r="D243" s="156">
        <v>41401.241666666669</v>
      </c>
      <c r="E243" s="143" t="s">
        <v>426</v>
      </c>
      <c r="I243" s="157" t="s">
        <v>21</v>
      </c>
      <c r="K243" s="158" t="s">
        <v>495</v>
      </c>
      <c r="L243" s="147" t="s">
        <v>864</v>
      </c>
      <c r="M243" s="143" t="s">
        <v>217</v>
      </c>
      <c r="N243" s="143" t="s">
        <v>271</v>
      </c>
      <c r="O243" s="143" t="s">
        <v>595</v>
      </c>
    </row>
    <row r="244" spans="2:17" s="166" customFormat="1" ht="63" customHeight="1">
      <c r="B244" s="198"/>
      <c r="C244" s="199"/>
      <c r="D244" s="200">
        <v>41401.283333333333</v>
      </c>
      <c r="I244" s="215"/>
      <c r="K244" s="166" t="s">
        <v>1037</v>
      </c>
      <c r="L244" s="166" t="s">
        <v>864</v>
      </c>
      <c r="M244" s="166" t="s">
        <v>217</v>
      </c>
      <c r="N244" s="166" t="s">
        <v>653</v>
      </c>
      <c r="P244" s="166" t="s">
        <v>882</v>
      </c>
    </row>
    <row r="245" spans="2:17" s="164" customFormat="1" ht="38.25">
      <c r="B245" s="175"/>
      <c r="C245" s="179"/>
      <c r="D245" s="187">
        <v>41401.291666666664</v>
      </c>
      <c r="E245" s="164" t="s">
        <v>373</v>
      </c>
      <c r="F245" s="164" t="s">
        <v>398</v>
      </c>
      <c r="H245" s="164" t="s">
        <v>595</v>
      </c>
      <c r="K245" s="164" t="s">
        <v>883</v>
      </c>
      <c r="L245" s="164" t="s">
        <v>864</v>
      </c>
      <c r="M245" s="164" t="s">
        <v>609</v>
      </c>
      <c r="N245" s="164" t="s">
        <v>653</v>
      </c>
      <c r="P245" s="164" t="s">
        <v>127</v>
      </c>
    </row>
    <row r="246" spans="2:17" s="164" customFormat="1" ht="51">
      <c r="B246" s="175">
        <v>41402.354166666664</v>
      </c>
      <c r="C246" s="179">
        <v>41402.354166666664</v>
      </c>
      <c r="D246" s="187">
        <v>41401.3125</v>
      </c>
      <c r="E246" s="164" t="s">
        <v>373</v>
      </c>
      <c r="F246" s="188" t="s">
        <v>698</v>
      </c>
      <c r="G246" s="164" t="s">
        <v>698</v>
      </c>
      <c r="H246" s="188" t="s">
        <v>553</v>
      </c>
      <c r="I246" s="164" t="s">
        <v>548</v>
      </c>
      <c r="J246" s="188"/>
      <c r="K246" s="164" t="s">
        <v>557</v>
      </c>
      <c r="L246" s="164" t="s">
        <v>864</v>
      </c>
      <c r="M246" s="164" t="s">
        <v>609</v>
      </c>
      <c r="N246" s="164" t="s">
        <v>653</v>
      </c>
      <c r="P246" s="164" t="s">
        <v>1021</v>
      </c>
    </row>
    <row r="247" spans="2:17" s="167" customFormat="1" ht="25.5">
      <c r="B247" s="184"/>
      <c r="C247" s="185"/>
      <c r="D247" s="186">
        <v>41401.313194444447</v>
      </c>
      <c r="E247" s="167" t="s">
        <v>735</v>
      </c>
      <c r="G247" s="167" t="s">
        <v>265</v>
      </c>
      <c r="I247" s="167" t="s">
        <v>260</v>
      </c>
      <c r="K247" s="167" t="s">
        <v>1007</v>
      </c>
      <c r="L247" s="167" t="s">
        <v>864</v>
      </c>
      <c r="M247" s="167" t="s">
        <v>839</v>
      </c>
      <c r="N247" s="167" t="s">
        <v>271</v>
      </c>
      <c r="O247" s="167" t="s">
        <v>595</v>
      </c>
      <c r="P247" s="167" t="s">
        <v>260</v>
      </c>
    </row>
    <row r="248" spans="2:17" s="167" customFormat="1" ht="38.25" customHeight="1">
      <c r="B248" s="184"/>
      <c r="C248" s="185"/>
      <c r="D248" s="186">
        <v>41401.375</v>
      </c>
      <c r="E248" s="167" t="s">
        <v>775</v>
      </c>
      <c r="F248" s="194" t="s">
        <v>604</v>
      </c>
      <c r="G248" s="167" t="s">
        <v>599</v>
      </c>
      <c r="H248" s="194" t="s">
        <v>606</v>
      </c>
      <c r="J248" s="194"/>
      <c r="K248" s="167" t="s">
        <v>884</v>
      </c>
      <c r="L248" s="167" t="s">
        <v>864</v>
      </c>
      <c r="M248" s="167" t="s">
        <v>839</v>
      </c>
      <c r="N248" s="167" t="s">
        <v>1032</v>
      </c>
      <c r="P248" s="167" t="s">
        <v>129</v>
      </c>
      <c r="Q248" s="167" t="s">
        <v>616</v>
      </c>
    </row>
    <row r="249" spans="2:17" s="164" customFormat="1" ht="25.5">
      <c r="B249" s="175"/>
      <c r="C249" s="179"/>
      <c r="D249" s="187">
        <v>41401.340277777781</v>
      </c>
      <c r="E249" s="164" t="s">
        <v>373</v>
      </c>
      <c r="F249" s="188" t="s">
        <v>653</v>
      </c>
      <c r="H249" s="188" t="s">
        <v>595</v>
      </c>
      <c r="K249" s="188" t="s">
        <v>67</v>
      </c>
      <c r="L249" s="164" t="s">
        <v>864</v>
      </c>
      <c r="M249" s="164" t="s">
        <v>609</v>
      </c>
      <c r="N249" s="164" t="s">
        <v>653</v>
      </c>
      <c r="P249" s="188" t="s">
        <v>421</v>
      </c>
    </row>
    <row r="250" spans="2:17" s="164" customFormat="1" ht="51">
      <c r="B250" s="175">
        <v>41401.3125</v>
      </c>
      <c r="C250" s="179">
        <v>41401.3125</v>
      </c>
      <c r="D250" s="187">
        <v>41401.354166666664</v>
      </c>
      <c r="E250" s="164" t="s">
        <v>373</v>
      </c>
      <c r="F250" s="188" t="s">
        <v>698</v>
      </c>
      <c r="G250" s="164" t="s">
        <v>698</v>
      </c>
      <c r="H250" s="188" t="s">
        <v>553</v>
      </c>
      <c r="I250" s="164" t="s">
        <v>548</v>
      </c>
      <c r="J250" s="188"/>
      <c r="K250" s="164" t="s">
        <v>558</v>
      </c>
      <c r="L250" s="188" t="s">
        <v>864</v>
      </c>
      <c r="M250" s="164" t="s">
        <v>609</v>
      </c>
      <c r="N250" s="164" t="s">
        <v>653</v>
      </c>
      <c r="P250" s="164" t="s">
        <v>1083</v>
      </c>
    </row>
    <row r="251" spans="2:17" s="164" customFormat="1" ht="51">
      <c r="B251" s="175"/>
      <c r="C251" s="179"/>
      <c r="D251" s="187">
        <v>41401.364583333336</v>
      </c>
      <c r="E251" s="164" t="s">
        <v>775</v>
      </c>
      <c r="F251" s="188" t="s">
        <v>267</v>
      </c>
      <c r="G251" s="164" t="s">
        <v>268</v>
      </c>
      <c r="H251" s="188" t="s">
        <v>595</v>
      </c>
      <c r="I251" s="164" t="s">
        <v>61</v>
      </c>
      <c r="J251" s="188"/>
      <c r="K251" s="164" t="s">
        <v>269</v>
      </c>
      <c r="L251" s="188" t="s">
        <v>864</v>
      </c>
      <c r="M251" s="164" t="s">
        <v>609</v>
      </c>
      <c r="N251" s="164" t="s">
        <v>853</v>
      </c>
      <c r="P251" s="164" t="s">
        <v>1088</v>
      </c>
    </row>
    <row r="252" spans="2:17" s="166" customFormat="1" ht="25.5">
      <c r="B252" s="198"/>
      <c r="C252" s="199"/>
      <c r="D252" s="200">
        <v>41401.375</v>
      </c>
      <c r="E252" s="166" t="s">
        <v>609</v>
      </c>
      <c r="F252" s="201" t="s">
        <v>604</v>
      </c>
      <c r="G252" s="166" t="s">
        <v>610</v>
      </c>
      <c r="H252" s="201" t="s">
        <v>606</v>
      </c>
      <c r="J252" s="201"/>
      <c r="K252" s="166" t="s">
        <v>69</v>
      </c>
      <c r="L252" s="201" t="s">
        <v>775</v>
      </c>
      <c r="M252" s="166" t="s">
        <v>740</v>
      </c>
      <c r="N252" s="166" t="s">
        <v>271</v>
      </c>
      <c r="P252" s="166" t="s">
        <v>611</v>
      </c>
      <c r="Q252" s="166" t="s">
        <v>612</v>
      </c>
    </row>
    <row r="253" spans="2:17" s="166" customFormat="1" ht="38.25">
      <c r="B253" s="198"/>
      <c r="C253" s="199"/>
      <c r="D253" s="200">
        <v>41401.375694444447</v>
      </c>
      <c r="E253" s="166" t="s">
        <v>735</v>
      </c>
      <c r="F253" s="201"/>
      <c r="G253" s="166" t="s">
        <v>584</v>
      </c>
      <c r="H253" s="201"/>
      <c r="I253" s="166" t="s">
        <v>55</v>
      </c>
      <c r="J253" s="201"/>
      <c r="K253" s="166" t="s">
        <v>70</v>
      </c>
      <c r="L253" s="201" t="s">
        <v>864</v>
      </c>
      <c r="M253" s="166" t="s">
        <v>740</v>
      </c>
      <c r="N253" s="166" t="s">
        <v>271</v>
      </c>
      <c r="P253" s="166" t="s">
        <v>571</v>
      </c>
    </row>
    <row r="254" spans="2:17" s="164" customFormat="1" ht="38.25">
      <c r="B254" s="175"/>
      <c r="C254" s="179"/>
      <c r="D254" s="187">
        <v>41401.376388888886</v>
      </c>
      <c r="E254" s="164" t="s">
        <v>373</v>
      </c>
      <c r="F254" s="164" t="s">
        <v>419</v>
      </c>
      <c r="H254" s="164" t="s">
        <v>653</v>
      </c>
      <c r="K254" s="164" t="s">
        <v>71</v>
      </c>
      <c r="L254" s="188" t="s">
        <v>864</v>
      </c>
      <c r="M254" s="164" t="s">
        <v>609</v>
      </c>
      <c r="N254" s="164" t="s">
        <v>855</v>
      </c>
      <c r="P254" s="164" t="s">
        <v>420</v>
      </c>
    </row>
    <row r="255" spans="2:17" s="164" customFormat="1" ht="25.5">
      <c r="B255" s="175"/>
      <c r="C255" s="179"/>
      <c r="D255" s="187">
        <v>41401.377083333333</v>
      </c>
      <c r="E255" s="164" t="s">
        <v>373</v>
      </c>
      <c r="F255" s="164" t="s">
        <v>653</v>
      </c>
      <c r="H255" s="164" t="s">
        <v>595</v>
      </c>
      <c r="K255" s="164" t="s">
        <v>72</v>
      </c>
      <c r="L255" s="188" t="s">
        <v>864</v>
      </c>
      <c r="M255" s="164" t="s">
        <v>609</v>
      </c>
      <c r="N255" s="164" t="s">
        <v>653</v>
      </c>
      <c r="P255" s="164" t="s">
        <v>586</v>
      </c>
    </row>
    <row r="256" spans="2:17" s="164" customFormat="1" ht="25.5">
      <c r="B256" s="175"/>
      <c r="C256" s="179"/>
      <c r="D256" s="187">
        <v>41401.37777777778</v>
      </c>
      <c r="E256" s="164" t="s">
        <v>609</v>
      </c>
      <c r="F256" s="188" t="s">
        <v>604</v>
      </c>
      <c r="G256" s="164" t="s">
        <v>610</v>
      </c>
      <c r="H256" s="188" t="s">
        <v>606</v>
      </c>
      <c r="I256" s="164" t="s">
        <v>614</v>
      </c>
      <c r="J256" s="188"/>
      <c r="K256" s="164" t="s">
        <v>613</v>
      </c>
      <c r="L256" s="188" t="s">
        <v>864</v>
      </c>
      <c r="M256" s="164" t="s">
        <v>609</v>
      </c>
      <c r="P256" s="164" t="s">
        <v>614</v>
      </c>
      <c r="Q256" s="164" t="s">
        <v>615</v>
      </c>
    </row>
    <row r="257" spans="2:17" s="166" customFormat="1" ht="63.75">
      <c r="B257" s="198">
        <v>41401.395833333336</v>
      </c>
      <c r="C257" s="199">
        <v>0.39583333333333331</v>
      </c>
      <c r="D257" s="200">
        <v>41401.395833333336</v>
      </c>
      <c r="E257" s="166" t="s">
        <v>310</v>
      </c>
      <c r="F257" s="166" t="s">
        <v>311</v>
      </c>
      <c r="G257" s="166" t="s">
        <v>546</v>
      </c>
      <c r="H257" s="166" t="s">
        <v>392</v>
      </c>
      <c r="I257" s="166" t="s">
        <v>312</v>
      </c>
      <c r="K257" s="166" t="s">
        <v>309</v>
      </c>
      <c r="L257" s="166" t="s">
        <v>313</v>
      </c>
      <c r="M257" s="166" t="s">
        <v>217</v>
      </c>
      <c r="N257" s="166" t="s">
        <v>653</v>
      </c>
      <c r="P257" s="166" t="s">
        <v>151</v>
      </c>
    </row>
    <row r="258" spans="2:17" s="164" customFormat="1" ht="38.25">
      <c r="B258" s="175"/>
      <c r="C258" s="179"/>
      <c r="D258" s="187">
        <v>41401.396527777775</v>
      </c>
      <c r="E258" s="164" t="s">
        <v>373</v>
      </c>
      <c r="F258" s="164" t="s">
        <v>780</v>
      </c>
      <c r="H258" s="164" t="s">
        <v>392</v>
      </c>
      <c r="J258" s="164">
        <v>13</v>
      </c>
      <c r="K258" s="164" t="s">
        <v>73</v>
      </c>
      <c r="L258" s="164" t="s">
        <v>864</v>
      </c>
      <c r="M258" s="164" t="s">
        <v>609</v>
      </c>
      <c r="N258" s="164" t="s">
        <v>855</v>
      </c>
      <c r="P258" s="164" t="s">
        <v>1089</v>
      </c>
    </row>
    <row r="259" spans="2:17" s="166" customFormat="1" ht="38.25">
      <c r="B259" s="198">
        <v>41401</v>
      </c>
      <c r="C259" s="217">
        <v>0.39583333333333331</v>
      </c>
      <c r="D259" s="200">
        <v>41401.397222222222</v>
      </c>
      <c r="E259" s="205" t="s">
        <v>775</v>
      </c>
      <c r="F259" s="205" t="s">
        <v>684</v>
      </c>
      <c r="G259" s="166" t="s">
        <v>685</v>
      </c>
      <c r="H259" s="166" t="s">
        <v>683</v>
      </c>
      <c r="K259" s="166" t="s">
        <v>74</v>
      </c>
      <c r="L259" s="166" t="s">
        <v>686</v>
      </c>
      <c r="M259" s="166" t="s">
        <v>217</v>
      </c>
      <c r="N259" s="166" t="s">
        <v>271</v>
      </c>
      <c r="O259" s="166" t="s">
        <v>595</v>
      </c>
      <c r="P259" s="166" t="s">
        <v>687</v>
      </c>
    </row>
    <row r="260" spans="2:17" s="164" customFormat="1" ht="51">
      <c r="B260" s="175"/>
      <c r="C260" s="179"/>
      <c r="D260" s="187">
        <v>41401.40625</v>
      </c>
      <c r="E260" s="164" t="s">
        <v>775</v>
      </c>
      <c r="F260" s="164" t="s">
        <v>274</v>
      </c>
      <c r="G260" s="164" t="s">
        <v>605</v>
      </c>
      <c r="H260" s="164" t="s">
        <v>606</v>
      </c>
      <c r="K260" s="164" t="s">
        <v>75</v>
      </c>
      <c r="L260" s="164" t="s">
        <v>864</v>
      </c>
      <c r="M260" s="164" t="s">
        <v>609</v>
      </c>
      <c r="N260" s="164" t="s">
        <v>653</v>
      </c>
      <c r="P260" s="164" t="s">
        <v>275</v>
      </c>
    </row>
    <row r="261" spans="2:17" s="164" customFormat="1" ht="25.5">
      <c r="B261" s="175"/>
      <c r="C261" s="179"/>
      <c r="D261" s="187">
        <v>41401.416666666664</v>
      </c>
      <c r="E261" s="164" t="s">
        <v>775</v>
      </c>
      <c r="F261" s="164" t="s">
        <v>948</v>
      </c>
      <c r="G261" s="164" t="s">
        <v>594</v>
      </c>
      <c r="H261" s="188" t="s">
        <v>595</v>
      </c>
      <c r="I261" s="164" t="s">
        <v>596</v>
      </c>
      <c r="J261" s="188"/>
      <c r="K261" s="164" t="s">
        <v>75</v>
      </c>
      <c r="L261" s="164" t="s">
        <v>864</v>
      </c>
      <c r="M261" s="164" t="s">
        <v>609</v>
      </c>
      <c r="N261" s="164" t="s">
        <v>653</v>
      </c>
      <c r="P261" s="164" t="s">
        <v>1006</v>
      </c>
      <c r="Q261" s="164" t="s">
        <v>597</v>
      </c>
    </row>
    <row r="262" spans="2:17" ht="140.25">
      <c r="B262" s="144">
        <v>41401</v>
      </c>
      <c r="C262" s="145">
        <v>41401.416666666664</v>
      </c>
      <c r="D262" s="146">
        <v>41401.417361111111</v>
      </c>
      <c r="E262" s="143" t="s">
        <v>735</v>
      </c>
      <c r="F262" s="147" t="s">
        <v>739</v>
      </c>
      <c r="H262" s="147" t="s">
        <v>736</v>
      </c>
      <c r="I262" s="143" t="s">
        <v>769</v>
      </c>
      <c r="J262" s="147" t="s">
        <v>733</v>
      </c>
      <c r="K262" s="143" t="s">
        <v>769</v>
      </c>
      <c r="L262" s="147" t="s">
        <v>864</v>
      </c>
      <c r="M262" s="143" t="s">
        <v>217</v>
      </c>
      <c r="N262" s="143" t="s">
        <v>271</v>
      </c>
      <c r="O262" s="143" t="s">
        <v>595</v>
      </c>
      <c r="P262" s="143" t="s">
        <v>159</v>
      </c>
    </row>
    <row r="263" spans="2:17" s="167" customFormat="1" ht="25.5">
      <c r="B263" s="184"/>
      <c r="C263" s="185"/>
      <c r="D263" s="186">
        <v>41401.4375</v>
      </c>
      <c r="E263" s="167" t="s">
        <v>735</v>
      </c>
      <c r="G263" s="167" t="s">
        <v>265</v>
      </c>
      <c r="K263" s="167" t="s">
        <v>76</v>
      </c>
      <c r="L263" s="167" t="s">
        <v>864</v>
      </c>
      <c r="M263" s="167" t="s">
        <v>740</v>
      </c>
      <c r="N263" s="167" t="s">
        <v>1032</v>
      </c>
      <c r="P263" s="167" t="s">
        <v>262</v>
      </c>
    </row>
    <row r="264" spans="2:17" ht="25.5">
      <c r="B264" s="144">
        <v>41401</v>
      </c>
      <c r="C264" s="162">
        <v>0.5</v>
      </c>
      <c r="D264" s="146">
        <v>41401.5</v>
      </c>
      <c r="E264" s="163" t="s">
        <v>735</v>
      </c>
      <c r="F264" s="163" t="s">
        <v>741</v>
      </c>
      <c r="G264" s="143" t="s">
        <v>742</v>
      </c>
      <c r="H264" s="143" t="s">
        <v>743</v>
      </c>
      <c r="K264" s="143" t="s">
        <v>744</v>
      </c>
      <c r="L264" s="143" t="s">
        <v>745</v>
      </c>
      <c r="M264" s="143" t="s">
        <v>740</v>
      </c>
      <c r="N264" s="143" t="s">
        <v>1032</v>
      </c>
      <c r="P264" s="143" t="s">
        <v>746</v>
      </c>
    </row>
    <row r="265" spans="2:17" s="167" customFormat="1" ht="38.25">
      <c r="B265" s="184">
        <v>41401</v>
      </c>
      <c r="C265" s="196">
        <v>0.5</v>
      </c>
      <c r="D265" s="186">
        <v>41401.500694444447</v>
      </c>
      <c r="E265" s="197" t="s">
        <v>735</v>
      </c>
      <c r="F265" s="197" t="s">
        <v>741</v>
      </c>
      <c r="G265" s="167" t="s">
        <v>742</v>
      </c>
      <c r="H265" s="167" t="s">
        <v>743</v>
      </c>
      <c r="K265" s="167" t="s">
        <v>748</v>
      </c>
      <c r="L265" s="167" t="s">
        <v>864</v>
      </c>
      <c r="M265" s="167" t="s">
        <v>740</v>
      </c>
      <c r="N265" s="167" t="s">
        <v>1032</v>
      </c>
      <c r="P265" s="167" t="s">
        <v>1084</v>
      </c>
    </row>
    <row r="266" spans="2:17" s="164" customFormat="1" ht="38.25">
      <c r="B266" s="175"/>
      <c r="C266" s="179"/>
      <c r="D266" s="187">
        <v>41401.541666666664</v>
      </c>
      <c r="E266" s="164" t="s">
        <v>735</v>
      </c>
      <c r="F266" s="188"/>
      <c r="G266" s="164" t="s">
        <v>584</v>
      </c>
      <c r="H266" s="188"/>
      <c r="I266" s="164" t="s">
        <v>55</v>
      </c>
      <c r="J266" s="188"/>
      <c r="K266" s="164" t="s">
        <v>1005</v>
      </c>
      <c r="L266" s="188"/>
      <c r="M266" s="164" t="s">
        <v>839</v>
      </c>
      <c r="N266" s="164" t="s">
        <v>653</v>
      </c>
      <c r="P266" s="164" t="s">
        <v>565</v>
      </c>
    </row>
    <row r="267" spans="2:17" s="167" customFormat="1" ht="63.75">
      <c r="B267" s="184"/>
      <c r="C267" s="185"/>
      <c r="D267" s="186">
        <v>41401.552083333336</v>
      </c>
      <c r="E267" s="167" t="s">
        <v>232</v>
      </c>
      <c r="F267" s="167" t="s">
        <v>653</v>
      </c>
      <c r="G267" s="167" t="s">
        <v>231</v>
      </c>
      <c r="H267" s="167" t="s">
        <v>230</v>
      </c>
      <c r="I267" s="167" t="s">
        <v>78</v>
      </c>
      <c r="K267" s="167" t="s">
        <v>77</v>
      </c>
      <c r="L267" s="167" t="s">
        <v>864</v>
      </c>
      <c r="M267" s="167" t="s">
        <v>1002</v>
      </c>
      <c r="N267" s="167" t="s">
        <v>1085</v>
      </c>
      <c r="O267" s="167" t="s">
        <v>595</v>
      </c>
      <c r="P267" s="167" t="s">
        <v>1004</v>
      </c>
      <c r="Q267" s="167" t="s">
        <v>1003</v>
      </c>
    </row>
    <row r="268" spans="2:17" s="161" customFormat="1" ht="25.5">
      <c r="B268" s="190"/>
      <c r="C268" s="191"/>
      <c r="D268" s="192">
        <v>41401.552777777775</v>
      </c>
      <c r="K268" s="161" t="s">
        <v>79</v>
      </c>
      <c r="L268" s="161" t="s">
        <v>864</v>
      </c>
      <c r="M268" s="161" t="s">
        <v>740</v>
      </c>
      <c r="N268" s="161" t="s">
        <v>653</v>
      </c>
      <c r="P268" s="161" t="s">
        <v>276</v>
      </c>
    </row>
    <row r="269" spans="2:17" s="167" customFormat="1" ht="38.25">
      <c r="B269" s="184"/>
      <c r="C269" s="185"/>
      <c r="D269" s="186">
        <v>41401.59375</v>
      </c>
      <c r="E269" s="167" t="s">
        <v>609</v>
      </c>
      <c r="F269" s="194" t="s">
        <v>604</v>
      </c>
      <c r="G269" s="167" t="s">
        <v>617</v>
      </c>
      <c r="H269" s="194" t="s">
        <v>595</v>
      </c>
      <c r="J269" s="194"/>
      <c r="K269" s="167" t="s">
        <v>285</v>
      </c>
      <c r="L269" s="167" t="s">
        <v>864</v>
      </c>
      <c r="M269" s="167" t="s">
        <v>609</v>
      </c>
      <c r="N269" s="167" t="s">
        <v>1032</v>
      </c>
      <c r="P269" s="167" t="s">
        <v>285</v>
      </c>
    </row>
    <row r="270" spans="2:17" s="166" customFormat="1" ht="51">
      <c r="B270" s="198"/>
      <c r="C270" s="199"/>
      <c r="D270" s="200">
        <v>41401.594444444447</v>
      </c>
      <c r="E270" s="208" t="s">
        <v>735</v>
      </c>
      <c r="F270" s="208" t="s">
        <v>301</v>
      </c>
      <c r="H270" s="208" t="s">
        <v>683</v>
      </c>
      <c r="K270" s="208" t="s">
        <v>294</v>
      </c>
      <c r="L270" s="166" t="s">
        <v>864</v>
      </c>
      <c r="M270" s="166" t="s">
        <v>217</v>
      </c>
      <c r="N270" s="166" t="s">
        <v>1032</v>
      </c>
      <c r="P270" s="208" t="s">
        <v>294</v>
      </c>
    </row>
    <row r="271" spans="2:17" s="164" customFormat="1" ht="38.25">
      <c r="B271" s="175"/>
      <c r="C271" s="179"/>
      <c r="D271" s="187">
        <v>41401.604166666664</v>
      </c>
      <c r="E271" s="164" t="s">
        <v>373</v>
      </c>
      <c r="F271" s="164" t="s">
        <v>780</v>
      </c>
      <c r="H271" s="164" t="s">
        <v>392</v>
      </c>
      <c r="J271" s="164">
        <v>13</v>
      </c>
      <c r="K271" s="164" t="s">
        <v>80</v>
      </c>
      <c r="L271" s="164" t="s">
        <v>864</v>
      </c>
      <c r="M271" s="164" t="s">
        <v>609</v>
      </c>
      <c r="N271" s="164" t="s">
        <v>653</v>
      </c>
      <c r="P271" s="164" t="s">
        <v>862</v>
      </c>
    </row>
    <row r="272" spans="2:17" s="164" customFormat="1" ht="95.25" customHeight="1">
      <c r="B272" s="175"/>
      <c r="C272" s="179"/>
      <c r="D272" s="187">
        <v>41401.625694444447</v>
      </c>
      <c r="E272" s="164" t="s">
        <v>373</v>
      </c>
      <c r="F272" s="164" t="s">
        <v>395</v>
      </c>
      <c r="H272" s="164" t="s">
        <v>595</v>
      </c>
      <c r="I272" s="164" t="s">
        <v>43</v>
      </c>
      <c r="J272" s="164">
        <v>7</v>
      </c>
      <c r="K272" s="164" t="s">
        <v>81</v>
      </c>
      <c r="L272" s="164" t="s">
        <v>864</v>
      </c>
      <c r="M272" s="164" t="s">
        <v>609</v>
      </c>
      <c r="N272" s="164" t="s">
        <v>653</v>
      </c>
      <c r="P272" s="164" t="s">
        <v>1023</v>
      </c>
    </row>
    <row r="273" spans="2:17" s="164" customFormat="1" ht="89.25">
      <c r="B273" s="175"/>
      <c r="C273" s="179"/>
      <c r="D273" s="187">
        <v>41401.626388888886</v>
      </c>
      <c r="E273" s="164" t="s">
        <v>373</v>
      </c>
      <c r="F273" s="164" t="s">
        <v>395</v>
      </c>
      <c r="H273" s="164" t="s">
        <v>595</v>
      </c>
      <c r="I273" s="164" t="s">
        <v>43</v>
      </c>
      <c r="J273" s="164">
        <v>7</v>
      </c>
      <c r="K273" s="164" t="s">
        <v>82</v>
      </c>
      <c r="L273" s="164" t="s">
        <v>864</v>
      </c>
      <c r="M273" s="164" t="s">
        <v>609</v>
      </c>
      <c r="N273" s="164" t="s">
        <v>653</v>
      </c>
      <c r="P273" s="164" t="s">
        <v>1022</v>
      </c>
    </row>
    <row r="274" spans="2:17" s="164" customFormat="1" ht="89.25">
      <c r="B274" s="175"/>
      <c r="C274" s="179"/>
      <c r="D274" s="187">
        <v>41401.627083333333</v>
      </c>
      <c r="E274" s="164" t="s">
        <v>373</v>
      </c>
      <c r="F274" s="164" t="s">
        <v>395</v>
      </c>
      <c r="H274" s="164" t="s">
        <v>595</v>
      </c>
      <c r="I274" s="164" t="s">
        <v>43</v>
      </c>
      <c r="J274" s="164">
        <v>7</v>
      </c>
      <c r="K274" s="164" t="s">
        <v>83</v>
      </c>
      <c r="L274" s="164" t="s">
        <v>864</v>
      </c>
      <c r="M274" s="164" t="s">
        <v>609</v>
      </c>
      <c r="N274" s="164" t="s">
        <v>653</v>
      </c>
      <c r="P274" s="164" t="s">
        <v>1028</v>
      </c>
    </row>
    <row r="275" spans="2:17" s="164" customFormat="1" ht="408.75" customHeight="1">
      <c r="B275" s="175"/>
      <c r="C275" s="179"/>
      <c r="D275" s="187">
        <v>41401.62777777778</v>
      </c>
      <c r="E275" s="164" t="s">
        <v>373</v>
      </c>
      <c r="F275" s="164" t="s">
        <v>395</v>
      </c>
      <c r="H275" s="164" t="s">
        <v>595</v>
      </c>
      <c r="I275" s="164" t="s">
        <v>43</v>
      </c>
      <c r="J275" s="164">
        <v>7</v>
      </c>
      <c r="K275" s="164" t="s">
        <v>84</v>
      </c>
      <c r="L275" s="164" t="s">
        <v>864</v>
      </c>
      <c r="M275" s="164" t="s">
        <v>609</v>
      </c>
      <c r="N275" s="164" t="s">
        <v>855</v>
      </c>
      <c r="P275" s="164" t="s">
        <v>1029</v>
      </c>
    </row>
    <row r="276" spans="2:17" s="164" customFormat="1" ht="312.75" customHeight="1">
      <c r="B276" s="175"/>
      <c r="C276" s="179"/>
      <c r="D276" s="187">
        <v>41401.628472222219</v>
      </c>
      <c r="E276" s="164" t="s">
        <v>373</v>
      </c>
      <c r="F276" s="164" t="s">
        <v>395</v>
      </c>
      <c r="H276" s="164" t="s">
        <v>595</v>
      </c>
      <c r="I276" s="164" t="s">
        <v>43</v>
      </c>
      <c r="J276" s="164">
        <v>7</v>
      </c>
      <c r="K276" s="164" t="s">
        <v>85</v>
      </c>
      <c r="L276" s="164" t="s">
        <v>864</v>
      </c>
      <c r="M276" s="164" t="s">
        <v>609</v>
      </c>
      <c r="N276" s="164" t="s">
        <v>653</v>
      </c>
      <c r="P276" s="164" t="s">
        <v>885</v>
      </c>
    </row>
    <row r="277" spans="2:17" ht="252" customHeight="1">
      <c r="D277" s="146">
        <v>41401.629166666666</v>
      </c>
      <c r="E277" s="143" t="s">
        <v>373</v>
      </c>
      <c r="F277" s="143" t="s">
        <v>395</v>
      </c>
      <c r="H277" s="143" t="s">
        <v>595</v>
      </c>
      <c r="I277" s="143" t="s">
        <v>43</v>
      </c>
      <c r="J277" s="143">
        <v>7</v>
      </c>
      <c r="K277" s="143" t="s">
        <v>86</v>
      </c>
      <c r="P277" s="143" t="s">
        <v>1030</v>
      </c>
    </row>
    <row r="278" spans="2:17" s="164" customFormat="1" ht="123.75" customHeight="1">
      <c r="B278" s="175"/>
      <c r="C278" s="179"/>
      <c r="D278" s="187">
        <v>41401.629861111112</v>
      </c>
      <c r="E278" s="164" t="s">
        <v>373</v>
      </c>
      <c r="F278" s="164" t="s">
        <v>395</v>
      </c>
      <c r="H278" s="164" t="s">
        <v>595</v>
      </c>
      <c r="I278" s="164" t="s">
        <v>43</v>
      </c>
      <c r="J278" s="164">
        <v>7</v>
      </c>
      <c r="K278" s="164" t="s">
        <v>87</v>
      </c>
      <c r="L278" s="164" t="s">
        <v>864</v>
      </c>
      <c r="M278" s="164" t="s">
        <v>609</v>
      </c>
      <c r="N278" s="164" t="s">
        <v>653</v>
      </c>
      <c r="P278" s="164" t="s">
        <v>1031</v>
      </c>
    </row>
    <row r="279" spans="2:17" s="166" customFormat="1" ht="38.25">
      <c r="B279" s="198"/>
      <c r="C279" s="199"/>
      <c r="D279" s="200">
        <v>41401.635416666664</v>
      </c>
      <c r="E279" s="208" t="s">
        <v>735</v>
      </c>
      <c r="F279" s="208" t="s">
        <v>301</v>
      </c>
      <c r="H279" s="208" t="s">
        <v>303</v>
      </c>
      <c r="I279" s="208"/>
      <c r="K279" s="208" t="s">
        <v>293</v>
      </c>
      <c r="L279" s="166" t="s">
        <v>864</v>
      </c>
      <c r="M279" s="166" t="s">
        <v>217</v>
      </c>
      <c r="N279" s="166" t="s">
        <v>1032</v>
      </c>
      <c r="P279" s="208" t="s">
        <v>293</v>
      </c>
    </row>
    <row r="280" spans="2:17" s="167" customFormat="1" ht="25.5">
      <c r="B280" s="184"/>
      <c r="C280" s="185"/>
      <c r="D280" s="186">
        <v>41401.645833333336</v>
      </c>
      <c r="E280" s="167" t="s">
        <v>373</v>
      </c>
      <c r="F280" s="167" t="s">
        <v>393</v>
      </c>
      <c r="H280" s="167" t="s">
        <v>595</v>
      </c>
      <c r="K280" s="167" t="s">
        <v>382</v>
      </c>
      <c r="L280" s="167" t="s">
        <v>864</v>
      </c>
      <c r="M280" s="167" t="s">
        <v>839</v>
      </c>
      <c r="N280" s="167" t="s">
        <v>271</v>
      </c>
      <c r="O280" s="167" t="s">
        <v>595</v>
      </c>
      <c r="P280" s="167" t="s">
        <v>382</v>
      </c>
    </row>
    <row r="281" spans="2:17" s="167" customFormat="1" ht="51" customHeight="1">
      <c r="B281" s="184"/>
      <c r="C281" s="185"/>
      <c r="D281" s="186">
        <v>41401.647222222222</v>
      </c>
      <c r="E281" s="167" t="s">
        <v>735</v>
      </c>
      <c r="G281" s="167" t="s">
        <v>265</v>
      </c>
      <c r="K281" s="167" t="s">
        <v>263</v>
      </c>
      <c r="L281" s="167" t="s">
        <v>864</v>
      </c>
      <c r="M281" s="167" t="s">
        <v>609</v>
      </c>
      <c r="N281" s="167" t="s">
        <v>1032</v>
      </c>
      <c r="P281" s="167" t="s">
        <v>263</v>
      </c>
    </row>
    <row r="282" spans="2:17" ht="114.75">
      <c r="B282" s="144">
        <v>41401</v>
      </c>
      <c r="C282" s="145">
        <v>41401.666666666664</v>
      </c>
      <c r="D282" s="146">
        <v>41401.666666666664</v>
      </c>
      <c r="E282" s="143" t="s">
        <v>735</v>
      </c>
      <c r="F282" s="147" t="s">
        <v>739</v>
      </c>
      <c r="H282" s="147" t="s">
        <v>736</v>
      </c>
      <c r="I282" s="143" t="s">
        <v>770</v>
      </c>
      <c r="J282" s="147" t="s">
        <v>733</v>
      </c>
      <c r="K282" s="143" t="s">
        <v>770</v>
      </c>
      <c r="L282" s="147" t="s">
        <v>864</v>
      </c>
      <c r="M282" s="143" t="s">
        <v>217</v>
      </c>
      <c r="N282" s="143" t="s">
        <v>271</v>
      </c>
      <c r="O282" s="143" t="s">
        <v>595</v>
      </c>
      <c r="P282" s="143" t="s">
        <v>160</v>
      </c>
    </row>
    <row r="283" spans="2:17" s="167" customFormat="1" ht="63.75">
      <c r="B283" s="184"/>
      <c r="C283" s="185"/>
      <c r="D283" s="186">
        <v>41401.677083333336</v>
      </c>
      <c r="E283" s="167" t="s">
        <v>232</v>
      </c>
      <c r="F283" s="167" t="s">
        <v>234</v>
      </c>
      <c r="G283" s="167" t="s">
        <v>231</v>
      </c>
      <c r="H283" s="167" t="s">
        <v>331</v>
      </c>
      <c r="I283" s="167" t="s">
        <v>235</v>
      </c>
      <c r="K283" s="167" t="s">
        <v>233</v>
      </c>
      <c r="L283" s="167" t="s">
        <v>1000</v>
      </c>
      <c r="M283" s="167" t="s">
        <v>740</v>
      </c>
      <c r="N283" s="167" t="s">
        <v>1032</v>
      </c>
      <c r="P283" s="167" t="s">
        <v>162</v>
      </c>
      <c r="Q283" s="167" t="s">
        <v>161</v>
      </c>
    </row>
    <row r="284" spans="2:17" s="167" customFormat="1" ht="51">
      <c r="B284" s="184"/>
      <c r="C284" s="185"/>
      <c r="D284" s="186">
        <v>41401.677083333336</v>
      </c>
      <c r="E284" s="209" t="s">
        <v>735</v>
      </c>
      <c r="F284" s="209" t="s">
        <v>302</v>
      </c>
      <c r="H284" s="209" t="s">
        <v>307</v>
      </c>
      <c r="I284" s="209"/>
      <c r="K284" s="209" t="s">
        <v>295</v>
      </c>
      <c r="L284" s="167" t="s">
        <v>864</v>
      </c>
      <c r="M284" s="167" t="s">
        <v>839</v>
      </c>
      <c r="N284" s="167" t="s">
        <v>1032</v>
      </c>
      <c r="P284" s="209" t="s">
        <v>295</v>
      </c>
    </row>
    <row r="285" spans="2:17" s="167" customFormat="1" ht="114.75">
      <c r="B285" s="184"/>
      <c r="C285" s="185"/>
      <c r="D285" s="186">
        <v>41401.697916666664</v>
      </c>
      <c r="E285" s="167" t="s">
        <v>775</v>
      </c>
      <c r="F285" s="167" t="s">
        <v>267</v>
      </c>
      <c r="G285" s="167" t="s">
        <v>552</v>
      </c>
      <c r="H285" s="167" t="s">
        <v>553</v>
      </c>
      <c r="I285" s="167" t="s">
        <v>89</v>
      </c>
      <c r="K285" s="167" t="s">
        <v>90</v>
      </c>
      <c r="L285" s="167" t="s">
        <v>775</v>
      </c>
      <c r="M285" s="214" t="s">
        <v>163</v>
      </c>
      <c r="N285" s="214" t="s">
        <v>271</v>
      </c>
      <c r="O285" s="214" t="s">
        <v>595</v>
      </c>
      <c r="P285" s="167" t="s">
        <v>164</v>
      </c>
    </row>
    <row r="286" spans="2:17" ht="51">
      <c r="B286" s="144">
        <v>41401.708333333336</v>
      </c>
      <c r="C286" s="155">
        <v>41401.708333333336</v>
      </c>
      <c r="D286" s="156">
        <v>41401.708333333336</v>
      </c>
      <c r="E286" s="143" t="s">
        <v>426</v>
      </c>
      <c r="I286" s="157" t="s">
        <v>21</v>
      </c>
      <c r="K286" s="158" t="s">
        <v>518</v>
      </c>
      <c r="L286" s="143" t="s">
        <v>864</v>
      </c>
      <c r="M286" s="143" t="s">
        <v>217</v>
      </c>
      <c r="N286" s="143" t="s">
        <v>271</v>
      </c>
      <c r="O286" s="143" t="s">
        <v>595</v>
      </c>
    </row>
    <row r="287" spans="2:17" ht="51">
      <c r="B287" s="144">
        <v>41401.708333333336</v>
      </c>
      <c r="C287" s="155">
        <v>41401.708333333336</v>
      </c>
      <c r="D287" s="156">
        <v>41401.709027777775</v>
      </c>
      <c r="E287" s="143" t="s">
        <v>426</v>
      </c>
      <c r="I287" s="157" t="s">
        <v>21</v>
      </c>
      <c r="K287" s="158" t="s">
        <v>514</v>
      </c>
      <c r="L287" s="143" t="s">
        <v>864</v>
      </c>
      <c r="M287" s="143" t="s">
        <v>217</v>
      </c>
      <c r="N287" s="143" t="s">
        <v>271</v>
      </c>
      <c r="O287" s="143" t="s">
        <v>595</v>
      </c>
    </row>
    <row r="288" spans="2:17" ht="51">
      <c r="B288" s="144">
        <v>41401.708333333336</v>
      </c>
      <c r="C288" s="155">
        <v>41401.708333333336</v>
      </c>
      <c r="D288" s="156">
        <v>41401.709722222222</v>
      </c>
      <c r="E288" s="143" t="s">
        <v>426</v>
      </c>
      <c r="I288" s="157" t="s">
        <v>21</v>
      </c>
      <c r="K288" s="158" t="s">
        <v>515</v>
      </c>
      <c r="L288" s="143" t="s">
        <v>864</v>
      </c>
      <c r="M288" s="143" t="s">
        <v>217</v>
      </c>
      <c r="N288" s="143" t="s">
        <v>271</v>
      </c>
      <c r="O288" s="143" t="s">
        <v>595</v>
      </c>
    </row>
    <row r="289" spans="2:17" s="167" customFormat="1" ht="51">
      <c r="B289" s="184"/>
      <c r="C289" s="185"/>
      <c r="D289" s="186">
        <v>41401.711111111108</v>
      </c>
      <c r="E289" s="167" t="s">
        <v>735</v>
      </c>
      <c r="F289" s="194"/>
      <c r="G289" s="167" t="s">
        <v>584</v>
      </c>
      <c r="H289" s="194"/>
      <c r="I289" s="167" t="s">
        <v>55</v>
      </c>
      <c r="J289" s="194"/>
      <c r="K289" s="167" t="s">
        <v>563</v>
      </c>
      <c r="L289" s="143" t="s">
        <v>864</v>
      </c>
      <c r="M289" s="143" t="s">
        <v>217</v>
      </c>
      <c r="N289" s="143" t="s">
        <v>271</v>
      </c>
      <c r="O289" s="143" t="s">
        <v>595</v>
      </c>
      <c r="P289" s="167" t="s">
        <v>573</v>
      </c>
      <c r="Q289" s="167" t="s">
        <v>574</v>
      </c>
    </row>
    <row r="290" spans="2:17" ht="51">
      <c r="B290" s="144">
        <v>41401.708333333336</v>
      </c>
      <c r="C290" s="155">
        <v>41401.708333333336</v>
      </c>
      <c r="D290" s="156">
        <v>41401.711805555555</v>
      </c>
      <c r="E290" s="143" t="s">
        <v>426</v>
      </c>
      <c r="I290" s="157" t="s">
        <v>21</v>
      </c>
      <c r="K290" s="158" t="s">
        <v>516</v>
      </c>
      <c r="L290" s="143" t="s">
        <v>864</v>
      </c>
      <c r="M290" s="143" t="s">
        <v>217</v>
      </c>
      <c r="N290" s="143" t="s">
        <v>271</v>
      </c>
      <c r="O290" s="143" t="s">
        <v>595</v>
      </c>
    </row>
    <row r="291" spans="2:17" ht="51">
      <c r="B291" s="144">
        <v>41401.708333333336</v>
      </c>
      <c r="C291" s="155">
        <v>41401.708333333336</v>
      </c>
      <c r="D291" s="156">
        <v>41401.712500000001</v>
      </c>
      <c r="E291" s="143" t="s">
        <v>426</v>
      </c>
      <c r="I291" s="157" t="s">
        <v>21</v>
      </c>
      <c r="K291" s="158" t="s">
        <v>517</v>
      </c>
      <c r="L291" s="143" t="s">
        <v>864</v>
      </c>
      <c r="M291" s="143" t="s">
        <v>217</v>
      </c>
      <c r="N291" s="143" t="s">
        <v>271</v>
      </c>
      <c r="O291" s="143" t="s">
        <v>595</v>
      </c>
    </row>
    <row r="292" spans="2:17" ht="51">
      <c r="B292" s="144">
        <v>41401.708333333336</v>
      </c>
      <c r="C292" s="155">
        <v>41401.708333333336</v>
      </c>
      <c r="D292" s="156">
        <v>41401.713194444441</v>
      </c>
      <c r="E292" s="143" t="s">
        <v>426</v>
      </c>
      <c r="I292" s="157" t="s">
        <v>21</v>
      </c>
      <c r="K292" s="158" t="s">
        <v>500</v>
      </c>
      <c r="L292" s="143" t="s">
        <v>864</v>
      </c>
      <c r="M292" s="143" t="s">
        <v>217</v>
      </c>
      <c r="N292" s="143" t="s">
        <v>271</v>
      </c>
      <c r="O292" s="143" t="s">
        <v>595</v>
      </c>
    </row>
    <row r="293" spans="2:17" ht="51">
      <c r="B293" s="144">
        <v>41401.708333333336</v>
      </c>
      <c r="C293" s="155">
        <v>41401.708333333336</v>
      </c>
      <c r="D293" s="156">
        <v>41401.713888888888</v>
      </c>
      <c r="E293" s="143" t="s">
        <v>426</v>
      </c>
      <c r="I293" s="157" t="s">
        <v>21</v>
      </c>
      <c r="K293" s="158" t="s">
        <v>1071</v>
      </c>
      <c r="L293" s="143" t="s">
        <v>864</v>
      </c>
      <c r="M293" s="143" t="s">
        <v>217</v>
      </c>
      <c r="N293" s="143" t="s">
        <v>271</v>
      </c>
      <c r="O293" s="143" t="s">
        <v>595</v>
      </c>
    </row>
    <row r="294" spans="2:17" ht="76.5">
      <c r="B294" s="144">
        <v>41401.708333333336</v>
      </c>
      <c r="C294" s="155">
        <v>41401.708333333336</v>
      </c>
      <c r="D294" s="156">
        <v>41401.714583333334</v>
      </c>
      <c r="E294" s="143" t="s">
        <v>426</v>
      </c>
      <c r="I294" s="157" t="s">
        <v>21</v>
      </c>
      <c r="K294" s="158" t="s">
        <v>1072</v>
      </c>
      <c r="L294" s="143" t="s">
        <v>864</v>
      </c>
      <c r="M294" s="143" t="s">
        <v>217</v>
      </c>
      <c r="N294" s="143" t="s">
        <v>271</v>
      </c>
      <c r="O294" s="143" t="s">
        <v>595</v>
      </c>
    </row>
    <row r="295" spans="2:17" ht="51">
      <c r="B295" s="144">
        <v>41401.708333333336</v>
      </c>
      <c r="C295" s="155">
        <v>41401.708333333336</v>
      </c>
      <c r="D295" s="156">
        <v>41401.715277777781</v>
      </c>
      <c r="E295" s="143" t="s">
        <v>426</v>
      </c>
      <c r="I295" s="157" t="s">
        <v>21</v>
      </c>
      <c r="K295" s="158" t="s">
        <v>1073</v>
      </c>
      <c r="L295" s="143" t="s">
        <v>864</v>
      </c>
      <c r="M295" s="143" t="s">
        <v>217</v>
      </c>
      <c r="N295" s="143" t="s">
        <v>271</v>
      </c>
      <c r="O295" s="143" t="s">
        <v>595</v>
      </c>
    </row>
    <row r="296" spans="2:17" ht="51">
      <c r="B296" s="144">
        <v>41401.708333333336</v>
      </c>
      <c r="C296" s="155">
        <v>41401.708333333336</v>
      </c>
      <c r="D296" s="156">
        <v>41401.71597222222</v>
      </c>
      <c r="E296" s="143" t="s">
        <v>426</v>
      </c>
      <c r="I296" s="157" t="s">
        <v>21</v>
      </c>
      <c r="K296" s="158" t="s">
        <v>1074</v>
      </c>
      <c r="L296" s="143" t="s">
        <v>864</v>
      </c>
      <c r="M296" s="143" t="s">
        <v>217</v>
      </c>
      <c r="N296" s="143" t="s">
        <v>271</v>
      </c>
      <c r="O296" s="143" t="s">
        <v>595</v>
      </c>
    </row>
    <row r="297" spans="2:17" s="166" customFormat="1" ht="38.25">
      <c r="B297" s="198"/>
      <c r="C297" s="199"/>
      <c r="D297" s="200">
        <v>41401.719444444447</v>
      </c>
      <c r="E297" s="166" t="s">
        <v>373</v>
      </c>
      <c r="F297" s="166" t="s">
        <v>777</v>
      </c>
      <c r="H297" s="166" t="s">
        <v>595</v>
      </c>
      <c r="J297" s="166">
        <v>5</v>
      </c>
      <c r="K297" s="166" t="s">
        <v>417</v>
      </c>
      <c r="L297" s="166" t="s">
        <v>864</v>
      </c>
      <c r="M297" s="166" t="s">
        <v>217</v>
      </c>
      <c r="N297" s="166" t="s">
        <v>653</v>
      </c>
      <c r="P297" s="166" t="s">
        <v>417</v>
      </c>
    </row>
    <row r="298" spans="2:17" s="161" customFormat="1" ht="114.75">
      <c r="B298" s="190"/>
      <c r="C298" s="191"/>
      <c r="D298" s="192">
        <v>41401.722222222219</v>
      </c>
      <c r="E298" s="161" t="s">
        <v>775</v>
      </c>
      <c r="F298" s="161" t="s">
        <v>280</v>
      </c>
      <c r="H298" s="161" t="s">
        <v>606</v>
      </c>
      <c r="I298" s="161" t="s">
        <v>89</v>
      </c>
      <c r="K298" s="218" t="s">
        <v>165</v>
      </c>
      <c r="L298" s="161" t="s">
        <v>864</v>
      </c>
      <c r="M298" s="221" t="s">
        <v>165</v>
      </c>
      <c r="N298" s="218" t="s">
        <v>271</v>
      </c>
      <c r="O298" s="218" t="s">
        <v>595</v>
      </c>
      <c r="P298" s="161" t="s">
        <v>166</v>
      </c>
    </row>
    <row r="299" spans="2:17" s="161" customFormat="1" ht="114.75">
      <c r="B299" s="190"/>
      <c r="C299" s="191"/>
      <c r="D299" s="192">
        <v>41401.739583333336</v>
      </c>
      <c r="E299" s="161" t="s">
        <v>775</v>
      </c>
      <c r="F299" s="161" t="s">
        <v>267</v>
      </c>
      <c r="H299" s="161" t="s">
        <v>553</v>
      </c>
      <c r="I299" s="161" t="s">
        <v>91</v>
      </c>
      <c r="K299" s="161" t="s">
        <v>1001</v>
      </c>
      <c r="L299" s="161" t="s">
        <v>775</v>
      </c>
      <c r="M299" s="220" t="s">
        <v>1001</v>
      </c>
      <c r="N299" s="161" t="s">
        <v>271</v>
      </c>
      <c r="O299" s="161" t="s">
        <v>595</v>
      </c>
      <c r="P299" s="161" t="s">
        <v>822</v>
      </c>
    </row>
    <row r="300" spans="2:17" s="164" customFormat="1" ht="63.75">
      <c r="B300" s="175"/>
      <c r="C300" s="179"/>
      <c r="D300" s="187">
        <v>41401.75</v>
      </c>
      <c r="E300" s="164" t="s">
        <v>735</v>
      </c>
      <c r="F300" s="188"/>
      <c r="G300" s="164" t="s">
        <v>584</v>
      </c>
      <c r="H300" s="188"/>
      <c r="I300" s="164" t="s">
        <v>55</v>
      </c>
      <c r="J300" s="188"/>
      <c r="K300" s="164" t="s">
        <v>568</v>
      </c>
      <c r="L300" s="188" t="s">
        <v>864</v>
      </c>
      <c r="M300" s="164" t="s">
        <v>609</v>
      </c>
      <c r="N300" s="164" t="s">
        <v>653</v>
      </c>
      <c r="P300" s="164" t="s">
        <v>568</v>
      </c>
    </row>
    <row r="301" spans="2:17" s="164" customFormat="1" ht="25.5">
      <c r="B301" s="175"/>
      <c r="C301" s="179"/>
      <c r="D301" s="187">
        <v>41401.750694444447</v>
      </c>
      <c r="E301" s="164" t="s">
        <v>735</v>
      </c>
      <c r="F301" s="164" t="s">
        <v>949</v>
      </c>
      <c r="G301" s="164" t="s">
        <v>599</v>
      </c>
      <c r="H301" s="188" t="s">
        <v>595</v>
      </c>
      <c r="J301" s="188"/>
      <c r="K301" s="164" t="s">
        <v>92</v>
      </c>
      <c r="L301" s="188" t="s">
        <v>864</v>
      </c>
      <c r="M301" s="164" t="s">
        <v>609</v>
      </c>
      <c r="N301" s="164" t="s">
        <v>653</v>
      </c>
      <c r="P301" s="164" t="s">
        <v>600</v>
      </c>
      <c r="Q301" s="164" t="s">
        <v>597</v>
      </c>
    </row>
    <row r="302" spans="2:17" s="164" customFormat="1" ht="51">
      <c r="B302" s="175"/>
      <c r="C302" s="179"/>
      <c r="D302" s="187">
        <v>41401.760416666664</v>
      </c>
      <c r="E302" s="206" t="s">
        <v>735</v>
      </c>
      <c r="F302" s="206" t="s">
        <v>653</v>
      </c>
      <c r="H302" s="206" t="s">
        <v>303</v>
      </c>
      <c r="I302" s="206"/>
      <c r="K302" s="206" t="s">
        <v>291</v>
      </c>
      <c r="L302" s="164" t="s">
        <v>864</v>
      </c>
      <c r="M302" s="164" t="s">
        <v>609</v>
      </c>
      <c r="N302" s="164" t="s">
        <v>653</v>
      </c>
      <c r="P302" s="206" t="s">
        <v>291</v>
      </c>
    </row>
    <row r="303" spans="2:17" s="161" customFormat="1" ht="63.75">
      <c r="B303" s="190"/>
      <c r="C303" s="191"/>
      <c r="D303" s="192">
        <v>41401.784722222219</v>
      </c>
      <c r="E303" s="161" t="s">
        <v>775</v>
      </c>
      <c r="F303" s="161" t="s">
        <v>267</v>
      </c>
      <c r="H303" s="161" t="s">
        <v>553</v>
      </c>
      <c r="I303" s="161" t="s">
        <v>91</v>
      </c>
      <c r="K303" s="161" t="s">
        <v>93</v>
      </c>
      <c r="L303" s="161" t="s">
        <v>1000</v>
      </c>
      <c r="M303" s="161" t="s">
        <v>740</v>
      </c>
      <c r="N303" s="161" t="s">
        <v>271</v>
      </c>
      <c r="P303" s="220" t="s">
        <v>821</v>
      </c>
    </row>
    <row r="304" spans="2:17" s="167" customFormat="1" ht="76.5">
      <c r="B304" s="184"/>
      <c r="C304" s="185"/>
      <c r="D304" s="186">
        <v>41401.802083333336</v>
      </c>
      <c r="E304" s="209" t="s">
        <v>735</v>
      </c>
      <c r="F304" s="209" t="s">
        <v>301</v>
      </c>
      <c r="H304" s="209" t="s">
        <v>683</v>
      </c>
      <c r="I304" s="209"/>
      <c r="K304" s="209" t="s">
        <v>297</v>
      </c>
      <c r="L304" s="167" t="s">
        <v>1000</v>
      </c>
      <c r="M304" s="167" t="s">
        <v>839</v>
      </c>
      <c r="N304" s="167" t="s">
        <v>271</v>
      </c>
      <c r="O304" s="167" t="s">
        <v>595</v>
      </c>
      <c r="P304" s="209" t="s">
        <v>297</v>
      </c>
    </row>
    <row r="305" spans="2:16" s="167" customFormat="1" ht="25.5">
      <c r="B305" s="184"/>
      <c r="C305" s="185"/>
      <c r="D305" s="186">
        <v>41401.802777777775</v>
      </c>
      <c r="E305" s="167" t="s">
        <v>735</v>
      </c>
      <c r="G305" s="167" t="s">
        <v>265</v>
      </c>
      <c r="K305" s="167" t="s">
        <v>258</v>
      </c>
      <c r="L305" s="167" t="s">
        <v>864</v>
      </c>
      <c r="M305" s="167" t="s">
        <v>609</v>
      </c>
      <c r="N305" s="167" t="s">
        <v>1032</v>
      </c>
      <c r="P305" s="167" t="s">
        <v>258</v>
      </c>
    </row>
    <row r="306" spans="2:16" ht="127.5">
      <c r="B306" s="144">
        <v>41401</v>
      </c>
      <c r="C306" s="145">
        <v>41401.916666666664</v>
      </c>
      <c r="D306" s="146">
        <v>41401.916666666664</v>
      </c>
      <c r="E306" s="143" t="s">
        <v>735</v>
      </c>
      <c r="F306" s="147" t="s">
        <v>739</v>
      </c>
      <c r="H306" s="147" t="s">
        <v>736</v>
      </c>
      <c r="I306" s="143" t="s">
        <v>771</v>
      </c>
      <c r="J306" s="147" t="s">
        <v>733</v>
      </c>
      <c r="K306" s="143" t="s">
        <v>771</v>
      </c>
      <c r="L306" s="147" t="s">
        <v>864</v>
      </c>
      <c r="M306" s="143" t="s">
        <v>217</v>
      </c>
      <c r="N306" s="143" t="s">
        <v>271</v>
      </c>
      <c r="O306" s="143" t="s">
        <v>595</v>
      </c>
      <c r="P306" s="143" t="s">
        <v>167</v>
      </c>
    </row>
    <row r="307" spans="2:16" s="167" customFormat="1" ht="25.5">
      <c r="B307" s="184"/>
      <c r="C307" s="185"/>
      <c r="D307" s="186" t="s">
        <v>849</v>
      </c>
      <c r="E307" s="209" t="s">
        <v>735</v>
      </c>
      <c r="F307" s="209" t="s">
        <v>300</v>
      </c>
      <c r="H307" s="209" t="s">
        <v>306</v>
      </c>
      <c r="I307" s="209"/>
      <c r="K307" s="209" t="s">
        <v>1013</v>
      </c>
      <c r="L307" s="167" t="s">
        <v>864</v>
      </c>
      <c r="M307" s="167" t="s">
        <v>609</v>
      </c>
      <c r="N307" s="167" t="s">
        <v>1032</v>
      </c>
      <c r="P307" s="209" t="s">
        <v>292</v>
      </c>
    </row>
    <row r="308" spans="2:16" s="166" customFormat="1" ht="63.75">
      <c r="B308" s="198"/>
      <c r="C308" s="199"/>
      <c r="D308" s="200">
        <v>41401.930555555555</v>
      </c>
      <c r="E308" s="166" t="s">
        <v>373</v>
      </c>
      <c r="F308" s="166" t="s">
        <v>653</v>
      </c>
      <c r="H308" s="166" t="s">
        <v>653</v>
      </c>
      <c r="K308" s="166" t="s">
        <v>94</v>
      </c>
      <c r="L308" s="166" t="s">
        <v>864</v>
      </c>
      <c r="M308" s="166" t="s">
        <v>217</v>
      </c>
      <c r="N308" s="166" t="s">
        <v>653</v>
      </c>
      <c r="P308" s="166" t="s">
        <v>819</v>
      </c>
    </row>
    <row r="309" spans="2:16" ht="140.25">
      <c r="B309" s="144">
        <v>41401</v>
      </c>
      <c r="C309" s="145">
        <v>41402.166666666664</v>
      </c>
      <c r="D309" s="146">
        <v>41401.965277777781</v>
      </c>
      <c r="E309" s="143" t="s">
        <v>735</v>
      </c>
      <c r="F309" s="147" t="s">
        <v>739</v>
      </c>
      <c r="H309" s="147" t="s">
        <v>736</v>
      </c>
      <c r="I309" s="143" t="s">
        <v>772</v>
      </c>
      <c r="J309" s="147" t="s">
        <v>733</v>
      </c>
      <c r="K309" s="143" t="s">
        <v>772</v>
      </c>
      <c r="L309" s="147" t="s">
        <v>864</v>
      </c>
      <c r="M309" s="143" t="s">
        <v>217</v>
      </c>
      <c r="N309" s="143" t="s">
        <v>271</v>
      </c>
      <c r="O309" s="143" t="s">
        <v>595</v>
      </c>
      <c r="P309" s="143" t="s">
        <v>818</v>
      </c>
    </row>
    <row r="310" spans="2:16" ht="51">
      <c r="B310" s="144">
        <v>41402.208333333336</v>
      </c>
      <c r="C310" s="155">
        <v>41402.208333333336</v>
      </c>
      <c r="D310" s="156">
        <v>41402</v>
      </c>
      <c r="E310" s="143" t="s">
        <v>426</v>
      </c>
      <c r="I310" s="157" t="s">
        <v>21</v>
      </c>
      <c r="K310" s="158" t="s">
        <v>519</v>
      </c>
      <c r="L310" s="147" t="s">
        <v>864</v>
      </c>
      <c r="M310" s="143" t="s">
        <v>217</v>
      </c>
      <c r="N310" s="143" t="s">
        <v>271</v>
      </c>
      <c r="O310" s="143" t="s">
        <v>595</v>
      </c>
    </row>
    <row r="311" spans="2:16" ht="51">
      <c r="B311" s="144">
        <v>41402.208333333336</v>
      </c>
      <c r="C311" s="155">
        <v>41402.208333333336</v>
      </c>
      <c r="D311" s="156">
        <v>41402.000694444447</v>
      </c>
      <c r="E311" s="143" t="s">
        <v>426</v>
      </c>
      <c r="I311" s="157" t="s">
        <v>21</v>
      </c>
      <c r="K311" s="158" t="s">
        <v>515</v>
      </c>
      <c r="L311" s="147" t="s">
        <v>864</v>
      </c>
      <c r="M311" s="143" t="s">
        <v>217</v>
      </c>
      <c r="N311" s="143" t="s">
        <v>271</v>
      </c>
      <c r="O311" s="143" t="s">
        <v>595</v>
      </c>
    </row>
    <row r="312" spans="2:16" ht="51">
      <c r="B312" s="144">
        <v>41402.208333333336</v>
      </c>
      <c r="C312" s="155">
        <v>41402.208333333336</v>
      </c>
      <c r="D312" s="156">
        <v>41402.001388888886</v>
      </c>
      <c r="E312" s="143" t="s">
        <v>426</v>
      </c>
      <c r="I312" s="157" t="s">
        <v>21</v>
      </c>
      <c r="K312" s="158" t="s">
        <v>520</v>
      </c>
      <c r="L312" s="147" t="s">
        <v>864</v>
      </c>
      <c r="M312" s="143" t="s">
        <v>217</v>
      </c>
      <c r="N312" s="143" t="s">
        <v>271</v>
      </c>
      <c r="O312" s="143" t="s">
        <v>595</v>
      </c>
    </row>
    <row r="313" spans="2:16" ht="51">
      <c r="B313" s="144">
        <v>41402.208333333336</v>
      </c>
      <c r="C313" s="155">
        <v>41402.208333333336</v>
      </c>
      <c r="D313" s="156">
        <v>41402.002083333333</v>
      </c>
      <c r="E313" s="143" t="s">
        <v>426</v>
      </c>
      <c r="I313" s="157" t="s">
        <v>21</v>
      </c>
      <c r="K313" s="158" t="s">
        <v>521</v>
      </c>
      <c r="L313" s="147" t="s">
        <v>864</v>
      </c>
      <c r="M313" s="143" t="s">
        <v>217</v>
      </c>
      <c r="N313" s="143" t="s">
        <v>271</v>
      </c>
      <c r="O313" s="143" t="s">
        <v>595</v>
      </c>
    </row>
    <row r="314" spans="2:16" ht="51">
      <c r="B314" s="144">
        <v>41402.208333333336</v>
      </c>
      <c r="C314" s="155">
        <v>41402.208333333336</v>
      </c>
      <c r="D314" s="156">
        <v>41402.00277777778</v>
      </c>
      <c r="E314" s="143" t="s">
        <v>426</v>
      </c>
      <c r="I314" s="157" t="s">
        <v>21</v>
      </c>
      <c r="K314" s="158" t="s">
        <v>522</v>
      </c>
      <c r="L314" s="147" t="s">
        <v>864</v>
      </c>
      <c r="M314" s="143" t="s">
        <v>217</v>
      </c>
      <c r="N314" s="143" t="s">
        <v>271</v>
      </c>
      <c r="O314" s="143" t="s">
        <v>595</v>
      </c>
    </row>
    <row r="315" spans="2:16" ht="51">
      <c r="B315" s="144">
        <v>41402.208333333336</v>
      </c>
      <c r="C315" s="155">
        <v>41402.208333333336</v>
      </c>
      <c r="D315" s="156">
        <v>41402.003472222219</v>
      </c>
      <c r="E315" s="143" t="s">
        <v>426</v>
      </c>
      <c r="I315" s="157" t="s">
        <v>21</v>
      </c>
      <c r="K315" s="158" t="s">
        <v>523</v>
      </c>
      <c r="L315" s="147" t="s">
        <v>864</v>
      </c>
      <c r="M315" s="143" t="s">
        <v>217</v>
      </c>
      <c r="N315" s="143" t="s">
        <v>271</v>
      </c>
      <c r="O315" s="143" t="s">
        <v>595</v>
      </c>
    </row>
    <row r="316" spans="2:16" ht="51">
      <c r="B316" s="144">
        <v>41402.208333333336</v>
      </c>
      <c r="C316" s="155">
        <v>41402.208333333336</v>
      </c>
      <c r="D316" s="156">
        <v>41402.004166666666</v>
      </c>
      <c r="E316" s="143" t="s">
        <v>426</v>
      </c>
      <c r="I316" s="157" t="s">
        <v>21</v>
      </c>
      <c r="K316" s="158" t="s">
        <v>524</v>
      </c>
      <c r="L316" s="147" t="s">
        <v>864</v>
      </c>
      <c r="M316" s="143" t="s">
        <v>217</v>
      </c>
      <c r="N316" s="143" t="s">
        <v>271</v>
      </c>
      <c r="O316" s="143" t="s">
        <v>595</v>
      </c>
    </row>
    <row r="317" spans="2:16" ht="51">
      <c r="B317" s="144">
        <v>41402.208333333336</v>
      </c>
      <c r="C317" s="155">
        <v>41402.208333333336</v>
      </c>
      <c r="D317" s="156">
        <v>41402.004861111112</v>
      </c>
      <c r="E317" s="143" t="s">
        <v>426</v>
      </c>
      <c r="I317" s="157" t="s">
        <v>21</v>
      </c>
      <c r="K317" s="158" t="s">
        <v>525</v>
      </c>
      <c r="L317" s="147" t="s">
        <v>864</v>
      </c>
      <c r="M317" s="143" t="s">
        <v>217</v>
      </c>
      <c r="N317" s="143" t="s">
        <v>271</v>
      </c>
      <c r="O317" s="143" t="s">
        <v>595</v>
      </c>
    </row>
    <row r="318" spans="2:16" ht="51">
      <c r="B318" s="144">
        <v>41402.208333333336</v>
      </c>
      <c r="C318" s="155">
        <v>41402.208333333336</v>
      </c>
      <c r="D318" s="156">
        <v>41402.005555555559</v>
      </c>
      <c r="E318" s="143" t="s">
        <v>426</v>
      </c>
      <c r="I318" s="157" t="s">
        <v>21</v>
      </c>
      <c r="K318" s="158" t="s">
        <v>526</v>
      </c>
      <c r="L318" s="147" t="s">
        <v>864</v>
      </c>
      <c r="M318" s="143" t="s">
        <v>217</v>
      </c>
      <c r="N318" s="143" t="s">
        <v>271</v>
      </c>
      <c r="O318" s="143" t="s">
        <v>595</v>
      </c>
    </row>
    <row r="319" spans="2:16" ht="51">
      <c r="B319" s="144">
        <v>41402.208333333336</v>
      </c>
      <c r="C319" s="155">
        <v>41402.208333333336</v>
      </c>
      <c r="D319" s="156">
        <v>41402.006249999999</v>
      </c>
      <c r="E319" s="143" t="s">
        <v>426</v>
      </c>
      <c r="I319" s="157" t="s">
        <v>21</v>
      </c>
      <c r="K319" s="158" t="s">
        <v>527</v>
      </c>
      <c r="L319" s="147" t="s">
        <v>864</v>
      </c>
      <c r="M319" s="143" t="s">
        <v>217</v>
      </c>
      <c r="N319" s="143" t="s">
        <v>271</v>
      </c>
      <c r="O319" s="143" t="s">
        <v>595</v>
      </c>
    </row>
    <row r="320" spans="2:16" ht="51">
      <c r="B320" s="144">
        <v>41402.208333333336</v>
      </c>
      <c r="C320" s="155">
        <v>41402.208333333336</v>
      </c>
      <c r="D320" s="156">
        <v>41402.006944444445</v>
      </c>
      <c r="E320" s="143" t="s">
        <v>426</v>
      </c>
      <c r="I320" s="157" t="s">
        <v>21</v>
      </c>
      <c r="K320" s="158" t="s">
        <v>528</v>
      </c>
      <c r="L320" s="147" t="s">
        <v>864</v>
      </c>
      <c r="M320" s="143" t="s">
        <v>217</v>
      </c>
      <c r="N320" s="143" t="s">
        <v>271</v>
      </c>
      <c r="O320" s="143" t="s">
        <v>595</v>
      </c>
    </row>
    <row r="321" spans="1:17" ht="54.75" customHeight="1">
      <c r="B321" s="144">
        <v>41402.208333333336</v>
      </c>
      <c r="C321" s="155">
        <v>41402.208333333336</v>
      </c>
      <c r="D321" s="156">
        <v>41402.007638888892</v>
      </c>
      <c r="E321" s="143" t="s">
        <v>426</v>
      </c>
      <c r="I321" s="157" t="s">
        <v>21</v>
      </c>
      <c r="K321" s="158" t="s">
        <v>500</v>
      </c>
      <c r="L321" s="147" t="s">
        <v>864</v>
      </c>
      <c r="M321" s="143" t="s">
        <v>217</v>
      </c>
      <c r="N321" s="143" t="s">
        <v>271</v>
      </c>
      <c r="O321" s="143" t="s">
        <v>595</v>
      </c>
    </row>
    <row r="322" spans="1:17" ht="51">
      <c r="B322" s="144">
        <v>41402.208333333336</v>
      </c>
      <c r="C322" s="155">
        <v>41402.208333333336</v>
      </c>
      <c r="D322" s="156">
        <v>41402.008333333331</v>
      </c>
      <c r="E322" s="143" t="s">
        <v>426</v>
      </c>
      <c r="I322" s="157" t="s">
        <v>21</v>
      </c>
      <c r="K322" s="158" t="s">
        <v>1075</v>
      </c>
      <c r="L322" s="147" t="s">
        <v>864</v>
      </c>
      <c r="M322" s="143" t="s">
        <v>217</v>
      </c>
      <c r="N322" s="143" t="s">
        <v>271</v>
      </c>
      <c r="O322" s="143" t="s">
        <v>595</v>
      </c>
    </row>
    <row r="323" spans="1:17" ht="51">
      <c r="B323" s="144">
        <v>41402.208333333336</v>
      </c>
      <c r="C323" s="155">
        <v>41402.208333333336</v>
      </c>
      <c r="D323" s="156">
        <v>41402.009027777778</v>
      </c>
      <c r="E323" s="143" t="s">
        <v>426</v>
      </c>
      <c r="I323" s="157" t="s">
        <v>21</v>
      </c>
      <c r="K323" s="158" t="s">
        <v>1076</v>
      </c>
      <c r="L323" s="147" t="s">
        <v>864</v>
      </c>
      <c r="M323" s="143" t="s">
        <v>217</v>
      </c>
      <c r="N323" s="143" t="s">
        <v>271</v>
      </c>
      <c r="O323" s="143" t="s">
        <v>595</v>
      </c>
    </row>
    <row r="324" spans="1:17" ht="51">
      <c r="B324" s="144">
        <v>41402.208333333336</v>
      </c>
      <c r="C324" s="155">
        <v>41402.208333333336</v>
      </c>
      <c r="D324" s="156">
        <v>41402.009722222225</v>
      </c>
      <c r="E324" s="143" t="s">
        <v>426</v>
      </c>
      <c r="I324" s="157" t="s">
        <v>21</v>
      </c>
      <c r="K324" s="158" t="s">
        <v>1077</v>
      </c>
      <c r="L324" s="147" t="s">
        <v>864</v>
      </c>
      <c r="M324" s="143" t="s">
        <v>217</v>
      </c>
      <c r="N324" s="143" t="s">
        <v>271</v>
      </c>
      <c r="O324" s="143" t="s">
        <v>595</v>
      </c>
    </row>
    <row r="325" spans="1:17" ht="51">
      <c r="B325" s="144">
        <v>41402.208333333336</v>
      </c>
      <c r="C325" s="155">
        <v>41402.208333333336</v>
      </c>
      <c r="D325" s="156">
        <v>41402.010416666664</v>
      </c>
      <c r="E325" s="143" t="s">
        <v>426</v>
      </c>
      <c r="I325" s="157" t="s">
        <v>21</v>
      </c>
      <c r="K325" s="158" t="s">
        <v>1078</v>
      </c>
      <c r="L325" s="147" t="s">
        <v>864</v>
      </c>
      <c r="M325" s="143" t="s">
        <v>217</v>
      </c>
      <c r="N325" s="143" t="s">
        <v>271</v>
      </c>
      <c r="O325" s="143" t="s">
        <v>595</v>
      </c>
    </row>
    <row r="326" spans="1:17" ht="51">
      <c r="B326" s="144">
        <v>41402.208333333336</v>
      </c>
      <c r="C326" s="155">
        <v>41402.208333333336</v>
      </c>
      <c r="D326" s="156">
        <v>41402.011111111111</v>
      </c>
      <c r="E326" s="143" t="s">
        <v>426</v>
      </c>
      <c r="I326" s="157" t="s">
        <v>21</v>
      </c>
      <c r="K326" s="158" t="s">
        <v>1079</v>
      </c>
      <c r="L326" s="147" t="s">
        <v>864</v>
      </c>
      <c r="M326" s="143" t="s">
        <v>217</v>
      </c>
      <c r="N326" s="143" t="s">
        <v>271</v>
      </c>
      <c r="O326" s="143" t="s">
        <v>595</v>
      </c>
    </row>
    <row r="327" spans="1:17" ht="51">
      <c r="B327" s="144">
        <v>41402.208333333336</v>
      </c>
      <c r="C327" s="155">
        <v>41402.208333333336</v>
      </c>
      <c r="D327" s="156">
        <v>41402.011805555558</v>
      </c>
      <c r="E327" s="143" t="s">
        <v>426</v>
      </c>
      <c r="I327" s="157" t="s">
        <v>21</v>
      </c>
      <c r="K327" s="158" t="s">
        <v>1080</v>
      </c>
      <c r="L327" s="147" t="s">
        <v>864</v>
      </c>
      <c r="M327" s="143" t="s">
        <v>217</v>
      </c>
      <c r="N327" s="143" t="s">
        <v>271</v>
      </c>
      <c r="O327" s="143" t="s">
        <v>595</v>
      </c>
    </row>
    <row r="328" spans="1:17" s="166" customFormat="1" ht="64.5" customHeight="1">
      <c r="B328" s="198"/>
      <c r="C328" s="199"/>
      <c r="D328" s="200">
        <v>41402.013194444444</v>
      </c>
      <c r="E328" s="205"/>
      <c r="F328" s="205"/>
      <c r="H328" s="201"/>
      <c r="K328" s="166" t="s">
        <v>895</v>
      </c>
      <c r="L328" s="166" t="s">
        <v>864</v>
      </c>
      <c r="M328" s="166" t="s">
        <v>217</v>
      </c>
      <c r="N328" s="166" t="s">
        <v>653</v>
      </c>
      <c r="P328" s="210" t="s">
        <v>0</v>
      </c>
    </row>
    <row r="329" spans="1:17" s="166" customFormat="1" ht="56.25" customHeight="1">
      <c r="B329" s="198"/>
      <c r="C329" s="199"/>
      <c r="D329" s="200">
        <v>41402.013888888891</v>
      </c>
      <c r="I329" s="215"/>
      <c r="K329" s="166" t="s">
        <v>897</v>
      </c>
      <c r="L329" s="166" t="s">
        <v>373</v>
      </c>
      <c r="M329" s="166" t="s">
        <v>217</v>
      </c>
      <c r="N329" s="166" t="s">
        <v>653</v>
      </c>
      <c r="P329" s="166" t="s">
        <v>896</v>
      </c>
    </row>
    <row r="330" spans="1:17">
      <c r="A330" s="55"/>
      <c r="B330" s="168">
        <v>41402</v>
      </c>
      <c r="C330" s="169"/>
      <c r="D330" s="170">
        <v>41402.041666666664</v>
      </c>
      <c r="E330" s="55"/>
      <c r="F330" s="171"/>
      <c r="G330" s="55"/>
      <c r="H330" s="171"/>
      <c r="I330" s="55"/>
      <c r="J330" s="171"/>
      <c r="K330" s="55"/>
      <c r="L330" s="171"/>
      <c r="M330" s="55"/>
      <c r="N330" s="55"/>
      <c r="O330" s="55"/>
      <c r="P330" s="55" t="s">
        <v>391</v>
      </c>
      <c r="Q330" s="55"/>
    </row>
    <row r="331" spans="1:17" s="167" customFormat="1" ht="38.25">
      <c r="B331" s="184"/>
      <c r="C331" s="185"/>
      <c r="D331" s="186">
        <v>41402.25</v>
      </c>
      <c r="E331" s="167" t="s">
        <v>735</v>
      </c>
      <c r="F331" s="194"/>
      <c r="G331" s="167" t="s">
        <v>584</v>
      </c>
      <c r="H331" s="194"/>
      <c r="I331" s="167" t="s">
        <v>55</v>
      </c>
      <c r="J331" s="194"/>
      <c r="K331" s="167" t="s">
        <v>95</v>
      </c>
      <c r="L331" s="194" t="s">
        <v>580</v>
      </c>
      <c r="M331" s="167" t="s">
        <v>609</v>
      </c>
      <c r="N331" s="167" t="s">
        <v>271</v>
      </c>
      <c r="O331" s="167" t="s">
        <v>595</v>
      </c>
      <c r="P331" s="167" t="s">
        <v>567</v>
      </c>
    </row>
    <row r="332" spans="1:17" s="166" customFormat="1" ht="25.5">
      <c r="B332" s="198"/>
      <c r="C332" s="199"/>
      <c r="D332" s="200">
        <v>41402.291666666664</v>
      </c>
      <c r="E332" s="166" t="s">
        <v>621</v>
      </c>
      <c r="F332" s="201" t="s">
        <v>604</v>
      </c>
      <c r="G332" s="166" t="s">
        <v>617</v>
      </c>
      <c r="H332" s="201" t="s">
        <v>595</v>
      </c>
      <c r="I332" s="166" t="s">
        <v>620</v>
      </c>
      <c r="J332" s="201"/>
      <c r="K332" s="166" t="s">
        <v>620</v>
      </c>
      <c r="L332" s="201" t="s">
        <v>735</v>
      </c>
      <c r="M332" s="166" t="s">
        <v>217</v>
      </c>
      <c r="N332" s="166" t="s">
        <v>271</v>
      </c>
      <c r="O332" s="166" t="s">
        <v>595</v>
      </c>
      <c r="P332" s="166" t="s">
        <v>622</v>
      </c>
    </row>
    <row r="333" spans="1:17" s="166" customFormat="1" ht="25.5">
      <c r="B333" s="198"/>
      <c r="C333" s="199"/>
      <c r="D333" s="200">
        <v>41402.292361111111</v>
      </c>
      <c r="E333" s="166" t="s">
        <v>632</v>
      </c>
      <c r="F333" s="201" t="s">
        <v>604</v>
      </c>
      <c r="G333" s="166" t="s">
        <v>617</v>
      </c>
      <c r="H333" s="201" t="s">
        <v>633</v>
      </c>
      <c r="J333" s="201"/>
      <c r="K333" s="166" t="s">
        <v>631</v>
      </c>
      <c r="L333" s="201" t="s">
        <v>373</v>
      </c>
      <c r="M333" s="166" t="s">
        <v>217</v>
      </c>
      <c r="N333" s="166" t="s">
        <v>271</v>
      </c>
      <c r="O333" s="166" t="s">
        <v>595</v>
      </c>
      <c r="P333" s="166" t="s">
        <v>634</v>
      </c>
    </row>
    <row r="334" spans="1:17" s="167" customFormat="1" ht="38.25">
      <c r="B334" s="184"/>
      <c r="C334" s="185"/>
      <c r="D334" s="186">
        <v>41402.294444444444</v>
      </c>
      <c r="E334" s="167" t="s">
        <v>775</v>
      </c>
      <c r="F334" s="167" t="s">
        <v>950</v>
      </c>
      <c r="G334" s="167" t="s">
        <v>625</v>
      </c>
      <c r="H334" s="194" t="s">
        <v>595</v>
      </c>
      <c r="J334" s="194"/>
      <c r="K334" s="167" t="s">
        <v>623</v>
      </c>
      <c r="L334" s="194" t="s">
        <v>735</v>
      </c>
      <c r="M334" s="167" t="s">
        <v>839</v>
      </c>
      <c r="N334" s="167" t="s">
        <v>271</v>
      </c>
      <c r="O334" s="167" t="s">
        <v>595</v>
      </c>
      <c r="P334" s="167" t="s">
        <v>626</v>
      </c>
    </row>
    <row r="335" spans="1:17" s="167" customFormat="1" ht="25.5">
      <c r="B335" s="184"/>
      <c r="C335" s="185"/>
      <c r="D335" s="186">
        <v>41402.295138888891</v>
      </c>
      <c r="E335" s="167" t="s">
        <v>609</v>
      </c>
      <c r="F335" s="194" t="s">
        <v>604</v>
      </c>
      <c r="G335" s="167" t="s">
        <v>617</v>
      </c>
      <c r="H335" s="194" t="s">
        <v>595</v>
      </c>
      <c r="J335" s="194"/>
      <c r="K335" s="167" t="s">
        <v>97</v>
      </c>
      <c r="L335" s="194" t="s">
        <v>735</v>
      </c>
      <c r="M335" s="167" t="s">
        <v>609</v>
      </c>
      <c r="N335" s="167" t="s">
        <v>1032</v>
      </c>
      <c r="P335" s="167" t="s">
        <v>999</v>
      </c>
    </row>
    <row r="336" spans="1:17" s="166" customFormat="1" ht="38.25" customHeight="1">
      <c r="B336" s="198"/>
      <c r="C336" s="199"/>
      <c r="D336" s="200">
        <v>41402.295138888891</v>
      </c>
      <c r="F336" s="201"/>
      <c r="H336" s="201"/>
      <c r="J336" s="201"/>
      <c r="K336" s="166" t="s">
        <v>894</v>
      </c>
      <c r="L336" s="201" t="s">
        <v>898</v>
      </c>
      <c r="M336" s="166" t="s">
        <v>217</v>
      </c>
      <c r="N336" s="166" t="s">
        <v>877</v>
      </c>
      <c r="P336" s="166" t="s">
        <v>893</v>
      </c>
    </row>
    <row r="337" spans="2:17" s="228" customFormat="1" ht="409.6" customHeight="1">
      <c r="B337" s="223"/>
      <c r="C337" s="224"/>
      <c r="D337" s="225">
        <v>41401.379861111112</v>
      </c>
      <c r="E337" s="226"/>
      <c r="F337" s="227"/>
      <c r="G337" s="226"/>
      <c r="H337" s="227"/>
      <c r="I337" s="226"/>
      <c r="J337" s="227"/>
      <c r="K337" s="228" t="s">
        <v>1091</v>
      </c>
      <c r="L337" s="229" t="s">
        <v>864</v>
      </c>
      <c r="M337" s="228" t="s">
        <v>609</v>
      </c>
      <c r="N337" s="228" t="s">
        <v>853</v>
      </c>
      <c r="P337" s="228" t="s">
        <v>1090</v>
      </c>
    </row>
    <row r="338" spans="2:17" s="166" customFormat="1" ht="36.75" customHeight="1">
      <c r="B338" s="198"/>
      <c r="C338" s="199"/>
      <c r="D338" s="200">
        <v>41402.296527777777</v>
      </c>
      <c r="F338" s="201"/>
      <c r="H338" s="201"/>
      <c r="J338" s="201"/>
      <c r="K338" s="166" t="s">
        <v>894</v>
      </c>
      <c r="L338" s="201" t="s">
        <v>898</v>
      </c>
      <c r="M338" s="166" t="s">
        <v>217</v>
      </c>
      <c r="N338" s="166" t="s">
        <v>853</v>
      </c>
      <c r="P338" s="166" t="s">
        <v>888</v>
      </c>
    </row>
    <row r="339" spans="2:17" s="166" customFormat="1" ht="34.5" customHeight="1">
      <c r="B339" s="198"/>
      <c r="C339" s="199"/>
      <c r="D339" s="200"/>
      <c r="F339" s="201"/>
      <c r="H339" s="201"/>
      <c r="J339" s="201"/>
      <c r="K339" s="166" t="s">
        <v>894</v>
      </c>
      <c r="L339" s="201" t="s">
        <v>898</v>
      </c>
      <c r="M339" s="166" t="s">
        <v>217</v>
      </c>
      <c r="N339" s="166" t="s">
        <v>853</v>
      </c>
      <c r="P339" s="166" t="s">
        <v>889</v>
      </c>
    </row>
    <row r="340" spans="2:17" s="166" customFormat="1" ht="20.25" customHeight="1">
      <c r="B340" s="198"/>
      <c r="C340" s="199"/>
      <c r="D340" s="200">
        <v>41402.298611111109</v>
      </c>
      <c r="E340" s="166" t="s">
        <v>609</v>
      </c>
      <c r="F340" s="201" t="s">
        <v>604</v>
      </c>
      <c r="G340" s="166" t="s">
        <v>617</v>
      </c>
      <c r="H340" s="201" t="s">
        <v>595</v>
      </c>
      <c r="J340" s="201"/>
      <c r="K340" s="166" t="s">
        <v>894</v>
      </c>
      <c r="L340" s="201" t="s">
        <v>898</v>
      </c>
      <c r="M340" s="166" t="s">
        <v>217</v>
      </c>
      <c r="N340" s="166" t="s">
        <v>853</v>
      </c>
      <c r="P340" s="166" t="s">
        <v>890</v>
      </c>
    </row>
    <row r="341" spans="2:17" s="161" customFormat="1" ht="25.5">
      <c r="B341" s="190"/>
      <c r="C341" s="191"/>
      <c r="D341" s="192">
        <v>41402.303472222222</v>
      </c>
      <c r="E341" s="161" t="s">
        <v>740</v>
      </c>
      <c r="F341" s="161" t="s">
        <v>951</v>
      </c>
      <c r="G341" s="161" t="s">
        <v>625</v>
      </c>
      <c r="H341" s="193" t="s">
        <v>629</v>
      </c>
      <c r="J341" s="193"/>
      <c r="K341" s="161" t="s">
        <v>627</v>
      </c>
      <c r="L341" s="193" t="s">
        <v>775</v>
      </c>
      <c r="M341" s="161" t="s">
        <v>839</v>
      </c>
      <c r="N341" s="161" t="s">
        <v>271</v>
      </c>
      <c r="O341" s="161" t="s">
        <v>595</v>
      </c>
      <c r="P341" s="161" t="s">
        <v>985</v>
      </c>
    </row>
    <row r="342" spans="2:17" s="164" customFormat="1" ht="25.5">
      <c r="B342" s="175"/>
      <c r="C342" s="179"/>
      <c r="D342" s="187">
        <v>41402.305555555555</v>
      </c>
      <c r="E342" s="164" t="s">
        <v>603</v>
      </c>
      <c r="F342" s="188" t="s">
        <v>604</v>
      </c>
      <c r="G342" s="164" t="s">
        <v>605</v>
      </c>
      <c r="H342" s="188" t="s">
        <v>606</v>
      </c>
      <c r="J342" s="188"/>
      <c r="K342" s="164" t="s">
        <v>101</v>
      </c>
      <c r="L342" s="188" t="s">
        <v>373</v>
      </c>
      <c r="M342" s="164" t="s">
        <v>609</v>
      </c>
      <c r="N342" s="164" t="s">
        <v>653</v>
      </c>
      <c r="P342" s="164" t="s">
        <v>984</v>
      </c>
      <c r="Q342" s="164" t="s">
        <v>608</v>
      </c>
    </row>
    <row r="343" spans="2:17" s="164" customFormat="1" ht="25.5">
      <c r="B343" s="175"/>
      <c r="C343" s="179"/>
      <c r="D343" s="187">
        <v>41402.306250000001</v>
      </c>
      <c r="E343" s="164" t="s">
        <v>609</v>
      </c>
      <c r="F343" s="188" t="s">
        <v>604</v>
      </c>
      <c r="G343" s="164" t="s">
        <v>617</v>
      </c>
      <c r="H343" s="188" t="s">
        <v>595</v>
      </c>
      <c r="J343" s="188"/>
      <c r="K343" s="164" t="s">
        <v>102</v>
      </c>
      <c r="L343" s="188" t="s">
        <v>373</v>
      </c>
      <c r="M343" s="164" t="s">
        <v>609</v>
      </c>
      <c r="N343" s="164" t="s">
        <v>653</v>
      </c>
      <c r="P343" s="164" t="s">
        <v>637</v>
      </c>
    </row>
    <row r="344" spans="2:17" s="166" customFormat="1" ht="47.25" customHeight="1">
      <c r="B344" s="198"/>
      <c r="C344" s="199"/>
      <c r="D344" s="200">
        <v>41402.306944444441</v>
      </c>
      <c r="E344" s="166" t="s">
        <v>635</v>
      </c>
      <c r="F344" s="201" t="s">
        <v>604</v>
      </c>
      <c r="G344" s="166" t="s">
        <v>617</v>
      </c>
      <c r="H344" s="201" t="s">
        <v>736</v>
      </c>
      <c r="J344" s="201"/>
      <c r="K344" s="166" t="s">
        <v>103</v>
      </c>
      <c r="L344" s="201" t="s">
        <v>735</v>
      </c>
      <c r="M344" s="166" t="s">
        <v>217</v>
      </c>
      <c r="N344" s="166" t="s">
        <v>271</v>
      </c>
      <c r="O344" s="166" t="s">
        <v>595</v>
      </c>
      <c r="P344" s="166" t="s">
        <v>636</v>
      </c>
    </row>
    <row r="345" spans="2:17" s="166" customFormat="1" ht="36" customHeight="1">
      <c r="B345" s="198"/>
      <c r="C345" s="199"/>
      <c r="D345" s="200">
        <v>41402.307638888888</v>
      </c>
      <c r="E345" s="205"/>
      <c r="F345" s="205"/>
      <c r="H345" s="201" t="s">
        <v>595</v>
      </c>
      <c r="K345" s="166" t="s">
        <v>104</v>
      </c>
      <c r="L345" s="166" t="s">
        <v>775</v>
      </c>
      <c r="M345" s="166" t="s">
        <v>217</v>
      </c>
      <c r="N345" s="166" t="s">
        <v>271</v>
      </c>
      <c r="O345" s="166" t="s">
        <v>595</v>
      </c>
      <c r="P345" s="166" t="s">
        <v>952</v>
      </c>
    </row>
    <row r="346" spans="2:17" s="166" customFormat="1" ht="63" customHeight="1">
      <c r="B346" s="198"/>
      <c r="C346" s="199"/>
      <c r="D346" s="200">
        <v>41402.308333333334</v>
      </c>
      <c r="E346" s="205"/>
      <c r="F346" s="205"/>
      <c r="H346" s="201" t="s">
        <v>595</v>
      </c>
      <c r="K346" s="166" t="s">
        <v>105</v>
      </c>
      <c r="L346" s="166" t="s">
        <v>373</v>
      </c>
      <c r="M346" s="166" t="s">
        <v>839</v>
      </c>
      <c r="N346" s="166" t="s">
        <v>653</v>
      </c>
      <c r="P346" s="166" t="s">
        <v>168</v>
      </c>
    </row>
    <row r="347" spans="2:17" s="167" customFormat="1" ht="63.75">
      <c r="D347" s="186">
        <v>41402.333333333336</v>
      </c>
      <c r="E347" s="167" t="s">
        <v>735</v>
      </c>
      <c r="F347" s="167" t="s">
        <v>333</v>
      </c>
      <c r="H347" s="167" t="s">
        <v>220</v>
      </c>
      <c r="K347" s="167" t="s">
        <v>106</v>
      </c>
      <c r="L347" s="167" t="s">
        <v>373</v>
      </c>
      <c r="M347" s="167" t="s">
        <v>609</v>
      </c>
      <c r="N347" s="167" t="s">
        <v>1032</v>
      </c>
      <c r="P347" s="167" t="s">
        <v>852</v>
      </c>
    </row>
    <row r="348" spans="2:17" s="166" customFormat="1" ht="51">
      <c r="B348" s="198"/>
      <c r="C348" s="199"/>
      <c r="D348" s="200">
        <v>41402.334027777775</v>
      </c>
      <c r="E348" s="205"/>
      <c r="F348" s="205"/>
      <c r="H348" s="201" t="s">
        <v>595</v>
      </c>
      <c r="K348" s="166" t="s">
        <v>105</v>
      </c>
      <c r="L348" s="166" t="s">
        <v>775</v>
      </c>
      <c r="M348" s="166" t="s">
        <v>217</v>
      </c>
      <c r="N348" s="166" t="s">
        <v>653</v>
      </c>
      <c r="P348" s="166" t="s">
        <v>650</v>
      </c>
    </row>
    <row r="349" spans="2:17" s="167" customFormat="1" ht="38.25">
      <c r="B349" s="184"/>
      <c r="C349" s="185"/>
      <c r="D349" s="186">
        <v>41402.336805555555</v>
      </c>
      <c r="E349" s="209" t="s">
        <v>735</v>
      </c>
      <c r="F349" s="209" t="s">
        <v>300</v>
      </c>
      <c r="H349" s="209" t="s">
        <v>303</v>
      </c>
      <c r="I349" s="209"/>
      <c r="K349" s="167" t="s">
        <v>107</v>
      </c>
      <c r="L349" s="167" t="s">
        <v>735</v>
      </c>
      <c r="M349" s="167" t="s">
        <v>839</v>
      </c>
      <c r="N349" s="167" t="s">
        <v>1032</v>
      </c>
      <c r="P349" s="209" t="s">
        <v>298</v>
      </c>
    </row>
    <row r="350" spans="2:17" s="166" customFormat="1" ht="18.75" customHeight="1">
      <c r="B350" s="198"/>
      <c r="C350" s="199"/>
      <c r="D350" s="200">
        <v>41402.340277777781</v>
      </c>
      <c r="E350" s="208"/>
      <c r="F350" s="208"/>
      <c r="H350" s="208"/>
      <c r="I350" s="208"/>
      <c r="K350" s="166" t="s">
        <v>886</v>
      </c>
      <c r="L350" s="166" t="s">
        <v>373</v>
      </c>
      <c r="M350" s="166" t="s">
        <v>217</v>
      </c>
      <c r="N350" s="166" t="s">
        <v>911</v>
      </c>
      <c r="P350" s="212" t="s">
        <v>902</v>
      </c>
    </row>
    <row r="351" spans="2:17" s="166" customFormat="1" ht="17.25" customHeight="1">
      <c r="B351" s="198"/>
      <c r="C351" s="199"/>
      <c r="D351" s="200">
        <v>41402.34097222222</v>
      </c>
      <c r="E351" s="208"/>
      <c r="F351" s="208"/>
      <c r="H351" s="208"/>
      <c r="I351" s="208"/>
      <c r="K351" s="166" t="s">
        <v>899</v>
      </c>
      <c r="L351" s="166" t="s">
        <v>373</v>
      </c>
      <c r="M351" s="166" t="s">
        <v>217</v>
      </c>
      <c r="N351" s="166" t="s">
        <v>910</v>
      </c>
      <c r="P351" s="212" t="s">
        <v>903</v>
      </c>
    </row>
    <row r="352" spans="2:17" s="166" customFormat="1" ht="25.5">
      <c r="B352" s="198"/>
      <c r="C352" s="199"/>
      <c r="D352" s="200">
        <v>41402.341666666667</v>
      </c>
      <c r="E352" s="208"/>
      <c r="F352" s="208"/>
      <c r="H352" s="208"/>
      <c r="I352" s="208"/>
      <c r="K352" s="166" t="s">
        <v>887</v>
      </c>
      <c r="L352" s="166" t="s">
        <v>898</v>
      </c>
      <c r="M352" s="166" t="s">
        <v>217</v>
      </c>
      <c r="N352" s="166" t="s">
        <v>853</v>
      </c>
      <c r="P352" s="212" t="s">
        <v>904</v>
      </c>
    </row>
    <row r="353" spans="2:16" s="166" customFormat="1" ht="18" customHeight="1">
      <c r="B353" s="198"/>
      <c r="C353" s="199"/>
      <c r="D353" s="200">
        <v>41402.342361111114</v>
      </c>
      <c r="E353" s="208"/>
      <c r="F353" s="208"/>
      <c r="H353" s="208"/>
      <c r="I353" s="208"/>
      <c r="K353" s="166" t="s">
        <v>900</v>
      </c>
      <c r="L353" s="166" t="s">
        <v>373</v>
      </c>
      <c r="M353" s="166" t="s">
        <v>217</v>
      </c>
      <c r="N353" s="166" t="s">
        <v>912</v>
      </c>
      <c r="P353" s="212" t="s">
        <v>905</v>
      </c>
    </row>
    <row r="354" spans="2:16" s="166" customFormat="1" ht="21" customHeight="1">
      <c r="B354" s="198"/>
      <c r="C354" s="199"/>
      <c r="D354" s="200">
        <v>41402.343055555553</v>
      </c>
      <c r="E354" s="208"/>
      <c r="F354" s="208"/>
      <c r="H354" s="208"/>
      <c r="I354" s="208"/>
      <c r="K354" s="166" t="s">
        <v>900</v>
      </c>
      <c r="L354" s="166" t="s">
        <v>373</v>
      </c>
      <c r="M354" s="166" t="s">
        <v>217</v>
      </c>
      <c r="N354" s="166" t="s">
        <v>912</v>
      </c>
      <c r="P354" s="212" t="s">
        <v>906</v>
      </c>
    </row>
    <row r="355" spans="2:16" s="166" customFormat="1" ht="25.5">
      <c r="B355" s="198"/>
      <c r="C355" s="199"/>
      <c r="D355" s="200">
        <v>41402.34375</v>
      </c>
      <c r="E355" s="208"/>
      <c r="F355" s="208"/>
      <c r="H355" s="208"/>
      <c r="I355" s="208"/>
      <c r="K355" s="166" t="s">
        <v>887</v>
      </c>
      <c r="L355" s="166" t="s">
        <v>898</v>
      </c>
      <c r="M355" s="166" t="s">
        <v>217</v>
      </c>
      <c r="N355" s="166" t="s">
        <v>853</v>
      </c>
      <c r="P355" s="212" t="s">
        <v>907</v>
      </c>
    </row>
    <row r="356" spans="2:16" s="166" customFormat="1" ht="38.25">
      <c r="B356" s="198"/>
      <c r="C356" s="199"/>
      <c r="D356" s="200">
        <v>41402.344444444447</v>
      </c>
      <c r="E356" s="208"/>
      <c r="F356" s="208"/>
      <c r="H356" s="208"/>
      <c r="I356" s="208"/>
      <c r="K356" s="166" t="s">
        <v>887</v>
      </c>
      <c r="L356" s="166" t="s">
        <v>898</v>
      </c>
      <c r="M356" s="166" t="s">
        <v>217</v>
      </c>
      <c r="N356" s="166" t="s">
        <v>853</v>
      </c>
      <c r="P356" s="212" t="s">
        <v>908</v>
      </c>
    </row>
    <row r="357" spans="2:16" s="166" customFormat="1" ht="25.5">
      <c r="B357" s="198"/>
      <c r="C357" s="199"/>
      <c r="D357" s="200">
        <v>41402.345138888886</v>
      </c>
      <c r="E357" s="208"/>
      <c r="F357" s="208"/>
      <c r="H357" s="208"/>
      <c r="I357" s="208"/>
      <c r="K357" s="166" t="s">
        <v>901</v>
      </c>
      <c r="L357" s="166" t="s">
        <v>898</v>
      </c>
      <c r="M357" s="166" t="s">
        <v>217</v>
      </c>
      <c r="N357" s="166" t="s">
        <v>877</v>
      </c>
      <c r="P357" s="212" t="s">
        <v>909</v>
      </c>
    </row>
    <row r="358" spans="2:16" s="164" customFormat="1" ht="38.25">
      <c r="B358" s="175"/>
      <c r="C358" s="179"/>
      <c r="D358" s="187">
        <v>41402.345833333333</v>
      </c>
      <c r="E358" s="206"/>
      <c r="F358" s="206"/>
      <c r="H358" s="206"/>
      <c r="I358" s="206"/>
      <c r="K358" s="164" t="s">
        <v>913</v>
      </c>
      <c r="L358" s="164" t="s">
        <v>864</v>
      </c>
      <c r="M358" s="164" t="s">
        <v>609</v>
      </c>
      <c r="N358" s="164" t="s">
        <v>1032</v>
      </c>
      <c r="P358" s="206" t="s">
        <v>1086</v>
      </c>
    </row>
    <row r="359" spans="2:16" s="166" customFormat="1" ht="25.5">
      <c r="B359" s="198"/>
      <c r="C359" s="199"/>
      <c r="D359" s="200">
        <v>41402.34652777778</v>
      </c>
      <c r="E359" s="208"/>
      <c r="F359" s="208"/>
      <c r="H359" s="208"/>
      <c r="I359" s="208"/>
      <c r="K359" s="166" t="s">
        <v>901</v>
      </c>
      <c r="L359" s="166" t="s">
        <v>898</v>
      </c>
      <c r="M359" s="166" t="s">
        <v>217</v>
      </c>
      <c r="N359" s="166" t="s">
        <v>877</v>
      </c>
      <c r="P359" s="208" t="s">
        <v>914</v>
      </c>
    </row>
    <row r="360" spans="2:16" s="166" customFormat="1" ht="76.5">
      <c r="B360" s="198"/>
      <c r="C360" s="199"/>
      <c r="D360" s="200">
        <v>41402.347222222219</v>
      </c>
      <c r="E360" s="166" t="s">
        <v>224</v>
      </c>
      <c r="F360" s="166" t="s">
        <v>653</v>
      </c>
      <c r="H360" s="166" t="s">
        <v>229</v>
      </c>
      <c r="K360" s="166" t="s">
        <v>108</v>
      </c>
      <c r="L360" s="166" t="s">
        <v>373</v>
      </c>
      <c r="M360" s="211" t="s">
        <v>740</v>
      </c>
      <c r="N360" s="211" t="s">
        <v>653</v>
      </c>
      <c r="O360" s="211"/>
      <c r="P360" s="166" t="s">
        <v>932</v>
      </c>
    </row>
    <row r="361" spans="2:16" s="166" customFormat="1" ht="38.25">
      <c r="B361" s="198"/>
      <c r="C361" s="199"/>
      <c r="D361" s="200">
        <v>41402.354166666664</v>
      </c>
      <c r="E361" s="205"/>
      <c r="F361" s="205"/>
      <c r="H361" s="201" t="s">
        <v>595</v>
      </c>
      <c r="K361" s="166" t="s">
        <v>104</v>
      </c>
      <c r="L361" s="166" t="s">
        <v>775</v>
      </c>
      <c r="M361" s="166" t="s">
        <v>217</v>
      </c>
      <c r="N361" s="166" t="s">
        <v>271</v>
      </c>
      <c r="O361" s="166" t="s">
        <v>595</v>
      </c>
      <c r="P361" s="166" t="s">
        <v>649</v>
      </c>
    </row>
    <row r="362" spans="2:16" s="166" customFormat="1" ht="38.25">
      <c r="B362" s="198"/>
      <c r="C362" s="199"/>
      <c r="D362" s="200">
        <v>41402.375</v>
      </c>
      <c r="E362" s="205"/>
      <c r="F362" s="205"/>
      <c r="H362" s="201" t="s">
        <v>595</v>
      </c>
      <c r="K362" s="166" t="s">
        <v>104</v>
      </c>
      <c r="L362" s="166" t="s">
        <v>775</v>
      </c>
      <c r="M362" s="166" t="s">
        <v>217</v>
      </c>
      <c r="N362" s="166" t="s">
        <v>271</v>
      </c>
      <c r="O362" s="166" t="s">
        <v>595</v>
      </c>
      <c r="P362" s="166" t="s">
        <v>651</v>
      </c>
    </row>
    <row r="363" spans="2:16" s="166" customFormat="1" ht="60" customHeight="1">
      <c r="B363" s="198"/>
      <c r="C363" s="199"/>
      <c r="D363" s="200">
        <v>41402.378472222219</v>
      </c>
      <c r="E363" s="205"/>
      <c r="F363" s="205"/>
      <c r="H363" s="201"/>
      <c r="K363" s="166" t="s">
        <v>113</v>
      </c>
      <c r="L363" s="166" t="s">
        <v>373</v>
      </c>
      <c r="M363" s="166" t="s">
        <v>740</v>
      </c>
      <c r="N363" s="166" t="s">
        <v>653</v>
      </c>
      <c r="P363" s="210" t="s">
        <v>850</v>
      </c>
    </row>
    <row r="364" spans="2:16" s="164" customFormat="1" ht="38.25">
      <c r="B364" s="175"/>
      <c r="C364" s="179"/>
      <c r="D364" s="187">
        <v>41402.379861111112</v>
      </c>
      <c r="E364" s="206"/>
      <c r="F364" s="206"/>
      <c r="H364" s="206"/>
      <c r="I364" s="206"/>
      <c r="K364" s="164" t="s">
        <v>915</v>
      </c>
      <c r="L364" s="164" t="s">
        <v>373</v>
      </c>
      <c r="M364" s="164" t="s">
        <v>609</v>
      </c>
      <c r="N364" s="164" t="s">
        <v>653</v>
      </c>
      <c r="P364" s="206" t="s">
        <v>1024</v>
      </c>
    </row>
    <row r="365" spans="2:16" s="164" customFormat="1" ht="122.25" customHeight="1">
      <c r="B365" s="175"/>
      <c r="C365" s="179"/>
      <c r="D365" s="187">
        <v>41402.380555555559</v>
      </c>
      <c r="E365" s="206"/>
      <c r="F365" s="206"/>
      <c r="H365" s="206"/>
      <c r="I365" s="206"/>
      <c r="K365" s="164" t="s">
        <v>915</v>
      </c>
      <c r="L365" s="164" t="s">
        <v>373</v>
      </c>
      <c r="M365" s="164" t="s">
        <v>609</v>
      </c>
      <c r="N365" s="164" t="s">
        <v>653</v>
      </c>
      <c r="P365" s="207" t="s">
        <v>916</v>
      </c>
    </row>
    <row r="366" spans="2:16" s="166" customFormat="1" ht="25.5">
      <c r="B366" s="198"/>
      <c r="C366" s="199"/>
      <c r="D366" s="200">
        <v>41402.381249999999</v>
      </c>
      <c r="E366" s="208"/>
      <c r="F366" s="208"/>
      <c r="H366" s="208"/>
      <c r="I366" s="208"/>
      <c r="K366" s="166" t="s">
        <v>918</v>
      </c>
      <c r="L366" s="166" t="s">
        <v>373</v>
      </c>
      <c r="M366" s="166" t="s">
        <v>217</v>
      </c>
      <c r="N366" s="166" t="s">
        <v>877</v>
      </c>
      <c r="P366" s="208" t="s">
        <v>917</v>
      </c>
    </row>
    <row r="367" spans="2:16" s="164" customFormat="1" ht="72" customHeight="1">
      <c r="B367" s="175"/>
      <c r="C367" s="179"/>
      <c r="D367" s="187">
        <v>41402.383333333331</v>
      </c>
      <c r="E367" s="206"/>
      <c r="F367" s="206"/>
      <c r="H367" s="206"/>
      <c r="I367" s="206"/>
      <c r="K367" s="164" t="s">
        <v>394</v>
      </c>
      <c r="L367" s="164" t="s">
        <v>373</v>
      </c>
      <c r="M367" s="164" t="s">
        <v>609</v>
      </c>
      <c r="N367" s="164" t="s">
        <v>653</v>
      </c>
      <c r="P367" s="207" t="s">
        <v>919</v>
      </c>
    </row>
    <row r="368" spans="2:16" s="167" customFormat="1" ht="45" customHeight="1">
      <c r="B368" s="184"/>
      <c r="C368" s="185"/>
      <c r="D368" s="186">
        <v>41402.385416666664</v>
      </c>
      <c r="E368" s="167" t="s">
        <v>277</v>
      </c>
      <c r="F368" s="167" t="s">
        <v>278</v>
      </c>
      <c r="G368" s="167" t="s">
        <v>617</v>
      </c>
      <c r="H368" s="167" t="s">
        <v>606</v>
      </c>
      <c r="K368" s="167" t="s">
        <v>109</v>
      </c>
      <c r="L368" s="167" t="s">
        <v>373</v>
      </c>
      <c r="M368" s="167" t="s">
        <v>740</v>
      </c>
      <c r="N368" s="167" t="s">
        <v>1032</v>
      </c>
      <c r="P368" s="167" t="s">
        <v>933</v>
      </c>
    </row>
    <row r="369" spans="2:17" s="166" customFormat="1" ht="51">
      <c r="B369" s="198"/>
      <c r="C369" s="199"/>
      <c r="D369" s="200">
        <v>41402.395833333336</v>
      </c>
      <c r="E369" s="205"/>
      <c r="F369" s="205"/>
      <c r="H369" s="201" t="s">
        <v>595</v>
      </c>
      <c r="K369" s="166" t="s">
        <v>110</v>
      </c>
      <c r="L369" s="166" t="s">
        <v>373</v>
      </c>
      <c r="M369" s="166" t="s">
        <v>217</v>
      </c>
      <c r="N369" s="166" t="s">
        <v>653</v>
      </c>
      <c r="P369" s="166" t="s">
        <v>953</v>
      </c>
    </row>
    <row r="370" spans="2:17" s="167" customFormat="1" ht="25.5">
      <c r="B370" s="184"/>
      <c r="C370" s="185"/>
      <c r="D370" s="186">
        <v>41402.416666666664</v>
      </c>
      <c r="E370" s="167" t="s">
        <v>735</v>
      </c>
      <c r="F370" s="194"/>
      <c r="G370" s="167" t="s">
        <v>584</v>
      </c>
      <c r="H370" s="194"/>
      <c r="I370" s="167" t="s">
        <v>55</v>
      </c>
      <c r="J370" s="194"/>
      <c r="K370" s="167" t="s">
        <v>851</v>
      </c>
      <c r="L370" s="194" t="s">
        <v>578</v>
      </c>
      <c r="M370" s="167" t="s">
        <v>839</v>
      </c>
      <c r="N370" s="167" t="s">
        <v>271</v>
      </c>
      <c r="O370" s="167" t="s">
        <v>595</v>
      </c>
      <c r="P370" s="167" t="s">
        <v>569</v>
      </c>
    </row>
    <row r="371" spans="2:17" ht="114.75">
      <c r="B371" s="144">
        <v>41402</v>
      </c>
      <c r="C371" s="145">
        <v>41402.416666666664</v>
      </c>
      <c r="D371" s="146">
        <v>41402.417361111111</v>
      </c>
      <c r="E371" s="143" t="s">
        <v>735</v>
      </c>
      <c r="F371" s="147" t="s">
        <v>739</v>
      </c>
      <c r="H371" s="147" t="s">
        <v>736</v>
      </c>
      <c r="I371" s="143" t="s">
        <v>773</v>
      </c>
      <c r="J371" s="147" t="s">
        <v>733</v>
      </c>
      <c r="K371" s="143" t="s">
        <v>773</v>
      </c>
      <c r="L371" s="147" t="s">
        <v>864</v>
      </c>
      <c r="M371" s="143" t="s">
        <v>217</v>
      </c>
      <c r="N371" s="143" t="s">
        <v>271</v>
      </c>
      <c r="O371" s="143" t="s">
        <v>595</v>
      </c>
      <c r="P371" s="143" t="s">
        <v>589</v>
      </c>
    </row>
    <row r="372" spans="2:17" s="164" customFormat="1" ht="51">
      <c r="B372" s="175"/>
      <c r="C372" s="179"/>
      <c r="D372" s="187">
        <v>41402.418749999997</v>
      </c>
      <c r="E372" s="177"/>
      <c r="F372" s="177"/>
      <c r="H372" s="188" t="s">
        <v>595</v>
      </c>
      <c r="K372" s="164" t="s">
        <v>75</v>
      </c>
      <c r="L372" s="164" t="s">
        <v>373</v>
      </c>
      <c r="M372" s="164" t="s">
        <v>609</v>
      </c>
      <c r="N372" s="164" t="s">
        <v>653</v>
      </c>
      <c r="P372" s="164" t="s">
        <v>648</v>
      </c>
    </row>
    <row r="373" spans="2:17" s="164" customFormat="1" ht="63.75">
      <c r="B373" s="175"/>
      <c r="C373" s="179"/>
      <c r="D373" s="187">
        <v>41402.427083333336</v>
      </c>
      <c r="E373" s="164" t="s">
        <v>232</v>
      </c>
      <c r="F373" s="164" t="s">
        <v>653</v>
      </c>
      <c r="G373" s="164" t="s">
        <v>231</v>
      </c>
      <c r="H373" s="164" t="s">
        <v>252</v>
      </c>
      <c r="K373" s="164" t="s">
        <v>75</v>
      </c>
      <c r="L373" s="164" t="s">
        <v>373</v>
      </c>
      <c r="M373" s="164" t="s">
        <v>609</v>
      </c>
      <c r="N373" s="164" t="s">
        <v>877</v>
      </c>
      <c r="P373" s="164" t="s">
        <v>590</v>
      </c>
      <c r="Q373" s="164" t="s">
        <v>253</v>
      </c>
    </row>
    <row r="374" spans="2:17" s="164" customFormat="1" ht="25.5">
      <c r="B374" s="175"/>
      <c r="C374" s="179"/>
      <c r="D374" s="187">
        <v>41402.4375</v>
      </c>
      <c r="E374" s="164" t="s">
        <v>373</v>
      </c>
      <c r="F374" s="164" t="s">
        <v>781</v>
      </c>
      <c r="H374" s="164" t="s">
        <v>392</v>
      </c>
      <c r="J374" s="164">
        <v>9</v>
      </c>
      <c r="K374" s="164" t="s">
        <v>111</v>
      </c>
      <c r="L374" s="164" t="s">
        <v>921</v>
      </c>
      <c r="M374" s="164" t="s">
        <v>609</v>
      </c>
      <c r="N374" s="164" t="s">
        <v>853</v>
      </c>
      <c r="P374" s="164" t="s">
        <v>335</v>
      </c>
    </row>
    <row r="375" spans="2:17" s="164" customFormat="1">
      <c r="B375" s="175"/>
      <c r="C375" s="179"/>
      <c r="D375" s="187">
        <v>41402.438194444447</v>
      </c>
      <c r="E375" s="164" t="s">
        <v>373</v>
      </c>
      <c r="F375" s="164" t="s">
        <v>780</v>
      </c>
      <c r="H375" s="164" t="s">
        <v>595</v>
      </c>
      <c r="J375" s="164">
        <v>13</v>
      </c>
      <c r="K375" s="164" t="s">
        <v>112</v>
      </c>
      <c r="L375" s="164" t="s">
        <v>373</v>
      </c>
      <c r="M375" s="164" t="s">
        <v>609</v>
      </c>
      <c r="N375" s="164" t="s">
        <v>653</v>
      </c>
      <c r="P375" s="164" t="s">
        <v>406</v>
      </c>
    </row>
    <row r="376" spans="2:17" s="164" customFormat="1" ht="38.25">
      <c r="B376" s="175"/>
      <c r="C376" s="179"/>
      <c r="D376" s="187">
        <v>41402.438888888886</v>
      </c>
      <c r="E376" s="164" t="s">
        <v>373</v>
      </c>
      <c r="F376" s="164" t="s">
        <v>777</v>
      </c>
      <c r="H376" s="164" t="s">
        <v>392</v>
      </c>
      <c r="J376" s="164">
        <v>5</v>
      </c>
      <c r="K376" s="164" t="s">
        <v>75</v>
      </c>
      <c r="L376" s="164" t="s">
        <v>373</v>
      </c>
      <c r="M376" s="164" t="s">
        <v>609</v>
      </c>
      <c r="N376" s="164" t="s">
        <v>877</v>
      </c>
      <c r="P376" s="164" t="s">
        <v>407</v>
      </c>
    </row>
    <row r="377" spans="2:17" s="164" customFormat="1" ht="25.5">
      <c r="B377" s="175"/>
      <c r="C377" s="179"/>
      <c r="D377" s="187">
        <v>41402.439583333333</v>
      </c>
      <c r="E377" s="164" t="s">
        <v>373</v>
      </c>
      <c r="F377" s="164" t="s">
        <v>777</v>
      </c>
      <c r="H377" s="164" t="s">
        <v>392</v>
      </c>
      <c r="J377" s="164">
        <v>5</v>
      </c>
      <c r="K377" s="164" t="s">
        <v>75</v>
      </c>
      <c r="L377" s="164" t="s">
        <v>373</v>
      </c>
      <c r="M377" s="164" t="s">
        <v>609</v>
      </c>
      <c r="N377" s="164" t="s">
        <v>853</v>
      </c>
      <c r="P377" s="164" t="s">
        <v>408</v>
      </c>
    </row>
    <row r="378" spans="2:17" s="164" customFormat="1" ht="38.25">
      <c r="B378" s="175"/>
      <c r="C378" s="179"/>
      <c r="D378" s="187">
        <v>41402.44027777778</v>
      </c>
      <c r="E378" s="164" t="s">
        <v>373</v>
      </c>
      <c r="F378" s="164" t="s">
        <v>777</v>
      </c>
      <c r="H378" s="164" t="s">
        <v>392</v>
      </c>
      <c r="J378" s="164">
        <v>5</v>
      </c>
      <c r="K378" s="164" t="s">
        <v>113</v>
      </c>
      <c r="L378" s="164" t="s">
        <v>373</v>
      </c>
      <c r="M378" s="164" t="s">
        <v>609</v>
      </c>
      <c r="N378" s="164" t="s">
        <v>853</v>
      </c>
      <c r="P378" s="164" t="s">
        <v>856</v>
      </c>
    </row>
    <row r="379" spans="2:17" s="164" customFormat="1" ht="38.25">
      <c r="B379" s="175"/>
      <c r="C379" s="179"/>
      <c r="D379" s="187">
        <v>41402.440972222219</v>
      </c>
      <c r="E379" s="164" t="s">
        <v>373</v>
      </c>
      <c r="F379" s="164" t="s">
        <v>777</v>
      </c>
      <c r="H379" s="164" t="s">
        <v>392</v>
      </c>
      <c r="J379" s="164">
        <v>5</v>
      </c>
      <c r="K379" s="164" t="s">
        <v>113</v>
      </c>
      <c r="L379" s="164" t="s">
        <v>373</v>
      </c>
      <c r="M379" s="164" t="s">
        <v>609</v>
      </c>
      <c r="N379" s="164" t="s">
        <v>855</v>
      </c>
      <c r="P379" s="164" t="s">
        <v>891</v>
      </c>
    </row>
    <row r="380" spans="2:17" s="164" customFormat="1" ht="51">
      <c r="B380" s="175"/>
      <c r="C380" s="179"/>
      <c r="D380" s="187">
        <v>41402.441666666666</v>
      </c>
      <c r="E380" s="164" t="s">
        <v>373</v>
      </c>
      <c r="F380" s="164" t="s">
        <v>777</v>
      </c>
      <c r="H380" s="164" t="s">
        <v>392</v>
      </c>
      <c r="J380" s="164">
        <v>5</v>
      </c>
      <c r="K380" s="164" t="s">
        <v>113</v>
      </c>
      <c r="L380" s="164" t="s">
        <v>373</v>
      </c>
      <c r="M380" s="164" t="s">
        <v>609</v>
      </c>
      <c r="N380" s="164" t="s">
        <v>853</v>
      </c>
      <c r="P380" s="164" t="s">
        <v>854</v>
      </c>
    </row>
    <row r="381" spans="2:17" s="164" customFormat="1" ht="38.25">
      <c r="B381" s="175"/>
      <c r="C381" s="179"/>
      <c r="D381" s="187">
        <v>41402.442361111112</v>
      </c>
      <c r="E381" s="164" t="s">
        <v>373</v>
      </c>
      <c r="F381" s="164" t="s">
        <v>777</v>
      </c>
      <c r="H381" s="164" t="s">
        <v>392</v>
      </c>
      <c r="J381" s="164">
        <v>5</v>
      </c>
      <c r="K381" s="164" t="s">
        <v>113</v>
      </c>
      <c r="L381" s="164" t="s">
        <v>373</v>
      </c>
      <c r="M381" s="164" t="s">
        <v>609</v>
      </c>
      <c r="N381" s="164" t="s">
        <v>853</v>
      </c>
      <c r="P381" s="164" t="s">
        <v>892</v>
      </c>
    </row>
    <row r="382" spans="2:17" s="164" customFormat="1" ht="51">
      <c r="B382" s="175"/>
      <c r="C382" s="179"/>
      <c r="D382" s="187">
        <v>41402.443055555559</v>
      </c>
      <c r="E382" s="164" t="s">
        <v>373</v>
      </c>
      <c r="F382" s="164" t="s">
        <v>778</v>
      </c>
      <c r="H382" s="164" t="s">
        <v>392</v>
      </c>
      <c r="J382" s="164">
        <v>1</v>
      </c>
      <c r="K382" s="164" t="s">
        <v>114</v>
      </c>
      <c r="L382" s="164" t="s">
        <v>373</v>
      </c>
      <c r="M382" s="164" t="s">
        <v>609</v>
      </c>
      <c r="N382" s="164" t="s">
        <v>653</v>
      </c>
      <c r="P382" s="164" t="s">
        <v>591</v>
      </c>
    </row>
    <row r="383" spans="2:17" s="164" customFormat="1" ht="25.5">
      <c r="B383" s="175"/>
      <c r="C383" s="179"/>
      <c r="D383" s="187" t="s">
        <v>930</v>
      </c>
      <c r="E383" s="164" t="s">
        <v>373</v>
      </c>
      <c r="F383" s="164" t="s">
        <v>399</v>
      </c>
      <c r="H383" s="164" t="s">
        <v>595</v>
      </c>
      <c r="J383" s="164">
        <v>13</v>
      </c>
      <c r="K383" s="164" t="s">
        <v>115</v>
      </c>
      <c r="L383" s="164" t="s">
        <v>373</v>
      </c>
      <c r="M383" s="164" t="s">
        <v>609</v>
      </c>
      <c r="N383" s="164" t="s">
        <v>653</v>
      </c>
      <c r="P383" s="164" t="s">
        <v>587</v>
      </c>
    </row>
    <row r="384" spans="2:17" ht="51">
      <c r="B384" s="144">
        <v>41402.708333333336</v>
      </c>
      <c r="C384" s="155">
        <v>41402.708333333336</v>
      </c>
      <c r="D384" s="156">
        <v>41403.208333333336</v>
      </c>
      <c r="E384" s="143" t="s">
        <v>426</v>
      </c>
      <c r="I384" s="157" t="s">
        <v>21</v>
      </c>
      <c r="K384" s="158" t="s">
        <v>529</v>
      </c>
      <c r="L384" s="143" t="s">
        <v>864</v>
      </c>
      <c r="M384" s="143" t="s">
        <v>217</v>
      </c>
      <c r="N384" s="143" t="s">
        <v>271</v>
      </c>
      <c r="O384" s="143" t="s">
        <v>595</v>
      </c>
    </row>
    <row r="385" spans="2:17" ht="51">
      <c r="B385" s="144">
        <v>41402.708333333336</v>
      </c>
      <c r="C385" s="155">
        <v>41402.708333333336</v>
      </c>
      <c r="D385" s="156">
        <v>41403.208333333336</v>
      </c>
      <c r="E385" s="143" t="s">
        <v>426</v>
      </c>
      <c r="I385" s="157" t="s">
        <v>21</v>
      </c>
      <c r="K385" s="158" t="s">
        <v>515</v>
      </c>
      <c r="L385" s="143" t="s">
        <v>864</v>
      </c>
      <c r="M385" s="143" t="s">
        <v>217</v>
      </c>
      <c r="N385" s="143" t="s">
        <v>271</v>
      </c>
      <c r="O385" s="143" t="s">
        <v>595</v>
      </c>
    </row>
    <row r="386" spans="2:17" ht="30.75" customHeight="1">
      <c r="B386" s="144">
        <v>41402</v>
      </c>
      <c r="C386" s="155">
        <v>41402.708333333336</v>
      </c>
      <c r="D386" s="156">
        <v>41403.208333333336</v>
      </c>
      <c r="E386" s="143" t="s">
        <v>426</v>
      </c>
      <c r="I386" s="157" t="s">
        <v>21</v>
      </c>
      <c r="K386" s="158" t="s">
        <v>931</v>
      </c>
      <c r="L386" s="143" t="s">
        <v>864</v>
      </c>
      <c r="M386" s="143" t="s">
        <v>217</v>
      </c>
      <c r="N386" s="143" t="s">
        <v>271</v>
      </c>
      <c r="O386" s="143" t="s">
        <v>595</v>
      </c>
    </row>
    <row r="387" spans="2:17" ht="51">
      <c r="B387" s="144">
        <v>41402</v>
      </c>
      <c r="C387" s="155">
        <v>41402.708333333336</v>
      </c>
      <c r="D387" s="156">
        <v>41403.208333333336</v>
      </c>
      <c r="E387" s="143" t="s">
        <v>426</v>
      </c>
      <c r="I387" s="157" t="s">
        <v>21</v>
      </c>
      <c r="K387" s="158" t="s">
        <v>530</v>
      </c>
      <c r="L387" s="143" t="s">
        <v>864</v>
      </c>
      <c r="M387" s="143" t="s">
        <v>217</v>
      </c>
      <c r="N387" s="143" t="s">
        <v>271</v>
      </c>
      <c r="O387" s="143" t="s">
        <v>595</v>
      </c>
    </row>
    <row r="388" spans="2:17" ht="51">
      <c r="B388" s="144">
        <v>41402</v>
      </c>
      <c r="C388" s="155">
        <v>41402.708333333336</v>
      </c>
      <c r="D388" s="156">
        <v>41403.208333333336</v>
      </c>
      <c r="E388" s="143" t="s">
        <v>426</v>
      </c>
      <c r="I388" s="157" t="s">
        <v>21</v>
      </c>
      <c r="K388" s="158" t="s">
        <v>531</v>
      </c>
      <c r="L388" s="143" t="s">
        <v>864</v>
      </c>
      <c r="M388" s="143" t="s">
        <v>217</v>
      </c>
      <c r="N388" s="143" t="s">
        <v>271</v>
      </c>
      <c r="O388" s="143" t="s">
        <v>595</v>
      </c>
    </row>
    <row r="389" spans="2:17" ht="51">
      <c r="B389" s="144">
        <v>41402</v>
      </c>
      <c r="C389" s="155">
        <v>41402.708333333336</v>
      </c>
      <c r="D389" s="156">
        <v>41403.208333333336</v>
      </c>
      <c r="E389" s="143" t="s">
        <v>426</v>
      </c>
      <c r="I389" s="157" t="s">
        <v>21</v>
      </c>
      <c r="K389" s="158" t="s">
        <v>532</v>
      </c>
      <c r="L389" s="143" t="s">
        <v>864</v>
      </c>
      <c r="M389" s="143" t="s">
        <v>217</v>
      </c>
      <c r="N389" s="143" t="s">
        <v>271</v>
      </c>
      <c r="O389" s="143" t="s">
        <v>595</v>
      </c>
    </row>
    <row r="390" spans="2:17" ht="51">
      <c r="B390" s="144">
        <v>41402</v>
      </c>
      <c r="C390" s="155">
        <v>41402.708333333336</v>
      </c>
      <c r="D390" s="156">
        <v>41403.208333333336</v>
      </c>
      <c r="E390" s="143" t="s">
        <v>426</v>
      </c>
      <c r="I390" s="157" t="s">
        <v>21</v>
      </c>
      <c r="K390" s="158" t="s">
        <v>533</v>
      </c>
      <c r="L390" s="143" t="s">
        <v>864</v>
      </c>
      <c r="M390" s="143" t="s">
        <v>217</v>
      </c>
      <c r="N390" s="143" t="s">
        <v>271</v>
      </c>
      <c r="O390" s="143" t="s">
        <v>595</v>
      </c>
    </row>
    <row r="391" spans="2:17" ht="51">
      <c r="B391" s="144">
        <v>41402</v>
      </c>
      <c r="C391" s="155">
        <v>41402.708333333336</v>
      </c>
      <c r="D391" s="156">
        <v>41403.208333333336</v>
      </c>
      <c r="E391" s="143" t="s">
        <v>426</v>
      </c>
      <c r="I391" s="157" t="s">
        <v>21</v>
      </c>
      <c r="K391" s="158" t="s">
        <v>534</v>
      </c>
      <c r="L391" s="143" t="s">
        <v>864</v>
      </c>
      <c r="M391" s="143" t="s">
        <v>217</v>
      </c>
      <c r="N391" s="143" t="s">
        <v>271</v>
      </c>
      <c r="O391" s="143" t="s">
        <v>595</v>
      </c>
    </row>
    <row r="392" spans="2:17" ht="51">
      <c r="B392" s="144">
        <v>41402</v>
      </c>
      <c r="C392" s="155">
        <v>41402.708333333336</v>
      </c>
      <c r="D392" s="156">
        <v>41403.208333333336</v>
      </c>
      <c r="E392" s="143" t="s">
        <v>426</v>
      </c>
      <c r="I392" s="157" t="s">
        <v>21</v>
      </c>
      <c r="K392" s="158" t="s">
        <v>535</v>
      </c>
      <c r="L392" s="143" t="s">
        <v>864</v>
      </c>
      <c r="M392" s="143" t="s">
        <v>217</v>
      </c>
      <c r="N392" s="143" t="s">
        <v>271</v>
      </c>
      <c r="O392" s="143" t="s">
        <v>595</v>
      </c>
    </row>
    <row r="393" spans="2:17" ht="51">
      <c r="B393" s="144">
        <v>41402</v>
      </c>
      <c r="C393" s="155">
        <v>41402.708333333336</v>
      </c>
      <c r="D393" s="156">
        <v>41403.208333333336</v>
      </c>
      <c r="E393" s="143" t="s">
        <v>426</v>
      </c>
      <c r="I393" s="157" t="s">
        <v>21</v>
      </c>
      <c r="K393" s="158" t="s">
        <v>536</v>
      </c>
      <c r="L393" s="143" t="s">
        <v>864</v>
      </c>
      <c r="M393" s="143" t="s">
        <v>217</v>
      </c>
      <c r="N393" s="143" t="s">
        <v>271</v>
      </c>
      <c r="O393" s="143" t="s">
        <v>595</v>
      </c>
    </row>
    <row r="394" spans="2:17" ht="51">
      <c r="B394" s="144">
        <v>41402</v>
      </c>
      <c r="C394" s="155">
        <v>41402.708333333336</v>
      </c>
      <c r="D394" s="156">
        <v>41403.208333333336</v>
      </c>
      <c r="E394" s="143" t="s">
        <v>426</v>
      </c>
      <c r="I394" s="157" t="s">
        <v>21</v>
      </c>
      <c r="K394" s="158" t="s">
        <v>537</v>
      </c>
      <c r="L394" s="143" t="s">
        <v>864</v>
      </c>
      <c r="M394" s="143" t="s">
        <v>217</v>
      </c>
      <c r="N394" s="143" t="s">
        <v>271</v>
      </c>
      <c r="O394" s="143" t="s">
        <v>595</v>
      </c>
    </row>
    <row r="395" spans="2:17" ht="51">
      <c r="B395" s="144">
        <v>41402</v>
      </c>
      <c r="C395" s="155">
        <v>41402.708333333336</v>
      </c>
      <c r="D395" s="156">
        <v>41403.208333333336</v>
      </c>
      <c r="E395" s="143" t="s">
        <v>426</v>
      </c>
      <c r="I395" s="157" t="s">
        <v>21</v>
      </c>
      <c r="K395" s="158" t="s">
        <v>538</v>
      </c>
      <c r="L395" s="143" t="s">
        <v>864</v>
      </c>
      <c r="M395" s="143" t="s">
        <v>217</v>
      </c>
      <c r="N395" s="143" t="s">
        <v>271</v>
      </c>
      <c r="O395" s="143" t="s">
        <v>595</v>
      </c>
    </row>
    <row r="396" spans="2:17" ht="51">
      <c r="B396" s="144">
        <v>41402</v>
      </c>
      <c r="C396" s="155">
        <v>41402.708333333336</v>
      </c>
      <c r="D396" s="156">
        <v>41403.208333333336</v>
      </c>
      <c r="E396" s="143" t="s">
        <v>426</v>
      </c>
      <c r="I396" s="157" t="s">
        <v>21</v>
      </c>
      <c r="K396" s="158" t="s">
        <v>539</v>
      </c>
      <c r="L396" s="143" t="s">
        <v>864</v>
      </c>
      <c r="M396" s="143" t="s">
        <v>217</v>
      </c>
      <c r="N396" s="143" t="s">
        <v>271</v>
      </c>
      <c r="O396" s="143" t="s">
        <v>595</v>
      </c>
    </row>
    <row r="397" spans="2:17" ht="51">
      <c r="B397" s="144">
        <v>41402</v>
      </c>
      <c r="C397" s="155">
        <v>41402.708333333336</v>
      </c>
      <c r="D397" s="156">
        <v>41403.208333333336</v>
      </c>
      <c r="E397" s="143" t="s">
        <v>426</v>
      </c>
      <c r="I397" s="157" t="s">
        <v>21</v>
      </c>
      <c r="K397" s="158" t="s">
        <v>1081</v>
      </c>
      <c r="L397" s="143" t="s">
        <v>864</v>
      </c>
      <c r="M397" s="143" t="s">
        <v>217</v>
      </c>
      <c r="N397" s="143" t="s">
        <v>271</v>
      </c>
      <c r="O397" s="143" t="s">
        <v>595</v>
      </c>
    </row>
    <row r="398" spans="2:17" s="164" customFormat="1" ht="84" customHeight="1">
      <c r="B398" s="175"/>
      <c r="C398" s="179"/>
      <c r="D398" s="187">
        <v>41403.291666666664</v>
      </c>
      <c r="I398" s="189"/>
      <c r="K398" s="164" t="s">
        <v>935</v>
      </c>
      <c r="L398" s="164" t="s">
        <v>373</v>
      </c>
      <c r="M398" s="164" t="s">
        <v>609</v>
      </c>
      <c r="N398" s="164" t="s">
        <v>653</v>
      </c>
      <c r="P398" s="164" t="s">
        <v>1027</v>
      </c>
    </row>
    <row r="399" spans="2:17" s="164" customFormat="1" ht="93" customHeight="1">
      <c r="B399" s="175"/>
      <c r="C399" s="179"/>
      <c r="D399" s="187">
        <v>41403.3125</v>
      </c>
      <c r="I399" s="189"/>
      <c r="K399" s="164" t="s">
        <v>938</v>
      </c>
      <c r="L399" s="164" t="s">
        <v>373</v>
      </c>
      <c r="M399" s="164" t="s">
        <v>609</v>
      </c>
      <c r="N399" s="164" t="s">
        <v>653</v>
      </c>
      <c r="P399" s="178" t="s">
        <v>936</v>
      </c>
      <c r="Q399" s="164" t="s">
        <v>937</v>
      </c>
    </row>
    <row r="400" spans="2:17" s="164" customFormat="1" ht="315.75" customHeight="1">
      <c r="B400" s="175"/>
      <c r="C400" s="179"/>
      <c r="D400" s="187">
        <v>41403.333333333336</v>
      </c>
      <c r="I400" s="189"/>
      <c r="K400" s="164" t="s">
        <v>957</v>
      </c>
      <c r="L400" s="164" t="s">
        <v>373</v>
      </c>
      <c r="M400" s="164" t="s">
        <v>609</v>
      </c>
      <c r="N400" s="164" t="s">
        <v>653</v>
      </c>
      <c r="P400" s="178" t="s">
        <v>1026</v>
      </c>
    </row>
    <row r="401" spans="2:17" s="164" customFormat="1" ht="72" customHeight="1">
      <c r="B401" s="175"/>
      <c r="C401" s="179"/>
      <c r="D401" s="187">
        <v>41403.361111111109</v>
      </c>
      <c r="I401" s="189"/>
      <c r="K401" s="164" t="s">
        <v>940</v>
      </c>
      <c r="L401" s="164" t="s">
        <v>373</v>
      </c>
      <c r="M401" s="164" t="s">
        <v>609</v>
      </c>
      <c r="N401" s="164" t="s">
        <v>877</v>
      </c>
      <c r="P401" s="164" t="s">
        <v>939</v>
      </c>
    </row>
    <row r="402" spans="2:17" s="164" customFormat="1" ht="269.25" customHeight="1">
      <c r="B402" s="175"/>
      <c r="C402" s="179"/>
      <c r="D402" s="187">
        <v>41403.368055555555</v>
      </c>
      <c r="I402" s="189"/>
      <c r="K402" s="164" t="s">
        <v>960</v>
      </c>
      <c r="L402" s="164" t="s">
        <v>373</v>
      </c>
      <c r="M402" s="164" t="s">
        <v>609</v>
      </c>
      <c r="N402" s="164" t="s">
        <v>653</v>
      </c>
      <c r="P402" s="164" t="s">
        <v>1025</v>
      </c>
    </row>
    <row r="403" spans="2:17" s="167" customFormat="1" ht="77.25" customHeight="1">
      <c r="B403" s="184"/>
      <c r="C403" s="185"/>
      <c r="D403" s="186">
        <v>41403.375</v>
      </c>
      <c r="I403" s="213"/>
      <c r="K403" s="167" t="s">
        <v>942</v>
      </c>
      <c r="L403" s="167" t="s">
        <v>866</v>
      </c>
      <c r="M403" s="167" t="s">
        <v>839</v>
      </c>
      <c r="N403" s="167" t="s">
        <v>1032</v>
      </c>
      <c r="P403" s="214" t="s">
        <v>941</v>
      </c>
    </row>
    <row r="404" spans="2:17" s="167" customFormat="1" ht="77.25" customHeight="1">
      <c r="B404" s="184"/>
      <c r="C404" s="185"/>
      <c r="D404" s="186">
        <v>41403.378472222219</v>
      </c>
      <c r="I404" s="213"/>
      <c r="K404" s="167" t="s">
        <v>962</v>
      </c>
      <c r="L404" s="167" t="s">
        <v>735</v>
      </c>
      <c r="M404" s="167" t="s">
        <v>839</v>
      </c>
      <c r="N404" s="167" t="s">
        <v>271</v>
      </c>
      <c r="O404" s="167" t="s">
        <v>595</v>
      </c>
      <c r="P404" s="214" t="s">
        <v>961</v>
      </c>
    </row>
    <row r="405" spans="2:17" s="164" customFormat="1" ht="77.25" customHeight="1">
      <c r="B405" s="175"/>
      <c r="C405" s="179"/>
      <c r="D405" s="187"/>
      <c r="I405" s="189"/>
      <c r="K405" s="164" t="s">
        <v>998</v>
      </c>
      <c r="L405" s="164" t="s">
        <v>864</v>
      </c>
      <c r="M405" s="164" t="s">
        <v>609</v>
      </c>
      <c r="N405" s="164" t="s">
        <v>653</v>
      </c>
      <c r="P405" s="178" t="s">
        <v>996</v>
      </c>
      <c r="Q405" s="219" t="s">
        <v>997</v>
      </c>
    </row>
    <row r="406" spans="2:17" s="166" customFormat="1" ht="77.25" customHeight="1">
      <c r="B406" s="198"/>
      <c r="C406" s="199"/>
      <c r="D406" s="200">
        <v>41403.385416666664</v>
      </c>
      <c r="I406" s="215"/>
      <c r="K406" s="166" t="s">
        <v>963</v>
      </c>
      <c r="L406" s="166" t="s">
        <v>373</v>
      </c>
      <c r="M406" s="166" t="s">
        <v>217</v>
      </c>
      <c r="N406" s="166" t="s">
        <v>653</v>
      </c>
      <c r="P406" s="210" t="s">
        <v>964</v>
      </c>
    </row>
    <row r="407" spans="2:17" s="164" customFormat="1" ht="117" customHeight="1">
      <c r="B407" s="175"/>
      <c r="C407" s="179"/>
      <c r="D407" s="187">
        <v>41403.385416666664</v>
      </c>
      <c r="I407" s="189"/>
      <c r="K407" s="164" t="s">
        <v>986</v>
      </c>
      <c r="L407" s="164" t="s">
        <v>373</v>
      </c>
      <c r="M407" s="164" t="s">
        <v>609</v>
      </c>
      <c r="N407" s="164" t="s">
        <v>877</v>
      </c>
      <c r="P407" s="178" t="s">
        <v>965</v>
      </c>
    </row>
    <row r="408" spans="2:17" s="166" customFormat="1" ht="31.5" customHeight="1">
      <c r="B408" s="198"/>
      <c r="C408" s="199"/>
      <c r="D408" s="200">
        <v>41403.444444444445</v>
      </c>
      <c r="I408" s="215"/>
      <c r="K408" s="166" t="s">
        <v>934</v>
      </c>
      <c r="L408" s="166" t="s">
        <v>373</v>
      </c>
      <c r="M408" s="166" t="s">
        <v>217</v>
      </c>
      <c r="N408" s="166" t="s">
        <v>653</v>
      </c>
    </row>
    <row r="409" spans="2:17" s="164" customFormat="1" ht="51" customHeight="1">
      <c r="B409" s="175"/>
      <c r="C409" s="179"/>
      <c r="D409" s="187">
        <v>41403.444444444445</v>
      </c>
      <c r="I409" s="189"/>
      <c r="L409" s="164" t="s">
        <v>373</v>
      </c>
      <c r="M409" s="164" t="s">
        <v>609</v>
      </c>
      <c r="N409" s="164" t="s">
        <v>653</v>
      </c>
      <c r="P409" s="164" t="s">
        <v>966</v>
      </c>
    </row>
    <row r="410" spans="2:17" s="164" customFormat="1" ht="51.75" customHeight="1">
      <c r="B410" s="175"/>
      <c r="C410" s="179"/>
      <c r="D410" s="187">
        <v>41403.444444444445</v>
      </c>
      <c r="I410" s="189"/>
      <c r="K410" s="164" t="s">
        <v>989</v>
      </c>
      <c r="L410" s="164" t="s">
        <v>373</v>
      </c>
      <c r="M410" s="164" t="s">
        <v>609</v>
      </c>
      <c r="N410" s="164" t="s">
        <v>910</v>
      </c>
      <c r="P410" s="164" t="s">
        <v>988</v>
      </c>
    </row>
    <row r="411" spans="2:17" s="164" customFormat="1" ht="60.75" customHeight="1">
      <c r="B411" s="175"/>
      <c r="C411" s="179"/>
      <c r="D411" s="187">
        <v>41403.444444444445</v>
      </c>
      <c r="I411" s="189"/>
      <c r="K411" s="164" t="s">
        <v>992</v>
      </c>
      <c r="L411" s="164" t="s">
        <v>373</v>
      </c>
      <c r="M411" s="164" t="s">
        <v>609</v>
      </c>
      <c r="N411" s="164" t="s">
        <v>653</v>
      </c>
      <c r="P411" s="178" t="s">
        <v>991</v>
      </c>
    </row>
    <row r="412" spans="2:17" s="164" customFormat="1" ht="45" customHeight="1">
      <c r="B412" s="175"/>
      <c r="C412" s="179"/>
      <c r="D412" s="187">
        <v>41403.447916666664</v>
      </c>
      <c r="E412" s="164" t="s">
        <v>373</v>
      </c>
      <c r="F412" s="164" t="s">
        <v>698</v>
      </c>
      <c r="G412" s="164" t="s">
        <v>698</v>
      </c>
      <c r="H412" s="164" t="s">
        <v>553</v>
      </c>
      <c r="K412" s="164" t="s">
        <v>990</v>
      </c>
      <c r="L412" s="164" t="s">
        <v>373</v>
      </c>
      <c r="M412" s="164" t="s">
        <v>609</v>
      </c>
      <c r="N412" s="164" t="s">
        <v>877</v>
      </c>
      <c r="P412" s="164" t="s">
        <v>958</v>
      </c>
    </row>
    <row r="413" spans="2:17" s="167" customFormat="1" ht="84.75" customHeight="1">
      <c r="B413" s="184"/>
      <c r="C413" s="185"/>
      <c r="D413" s="186">
        <v>41403.448611111111</v>
      </c>
      <c r="E413" s="209" t="s">
        <v>735</v>
      </c>
      <c r="F413" s="209" t="s">
        <v>301</v>
      </c>
      <c r="H413" s="209" t="s">
        <v>303</v>
      </c>
      <c r="I413" s="209"/>
      <c r="K413" s="209" t="s">
        <v>959</v>
      </c>
      <c r="L413" s="167" t="s">
        <v>373</v>
      </c>
      <c r="M413" s="167" t="s">
        <v>839</v>
      </c>
      <c r="N413" s="167" t="s">
        <v>1032</v>
      </c>
      <c r="P413" s="209" t="s">
        <v>288</v>
      </c>
    </row>
    <row r="414" spans="2:17" s="164" customFormat="1" ht="38.25">
      <c r="B414" s="175"/>
      <c r="C414" s="179"/>
      <c r="D414" s="187">
        <v>41403.458333333336</v>
      </c>
      <c r="E414" s="164" t="s">
        <v>373</v>
      </c>
      <c r="F414" s="188" t="s">
        <v>653</v>
      </c>
      <c r="H414" s="188" t="s">
        <v>595</v>
      </c>
      <c r="K414" s="164" t="s">
        <v>117</v>
      </c>
      <c r="L414" s="164" t="s">
        <v>373</v>
      </c>
      <c r="M414" s="164" t="s">
        <v>609</v>
      </c>
      <c r="N414" s="164" t="s">
        <v>653</v>
      </c>
      <c r="P414" s="188" t="s">
        <v>418</v>
      </c>
    </row>
    <row r="415" spans="2:17" s="164" customFormat="1" ht="63.75">
      <c r="B415" s="175"/>
      <c r="C415" s="179"/>
      <c r="D415" s="187">
        <v>41403.46875</v>
      </c>
      <c r="E415" s="164" t="s">
        <v>232</v>
      </c>
      <c r="G415" s="164" t="s">
        <v>231</v>
      </c>
      <c r="H415" s="164" t="s">
        <v>239</v>
      </c>
      <c r="I415" s="164" t="s">
        <v>241</v>
      </c>
      <c r="K415" s="164" t="s">
        <v>240</v>
      </c>
      <c r="L415" s="164" t="s">
        <v>866</v>
      </c>
      <c r="M415" s="164" t="s">
        <v>609</v>
      </c>
      <c r="P415" s="164" t="s">
        <v>351</v>
      </c>
      <c r="Q415" s="164" t="s">
        <v>351</v>
      </c>
    </row>
    <row r="416" spans="2:17" s="161" customFormat="1" ht="69" customHeight="1">
      <c r="B416" s="190"/>
      <c r="C416" s="191"/>
      <c r="D416" s="192">
        <v>41403.472222222219</v>
      </c>
      <c r="K416" s="161" t="s">
        <v>994</v>
      </c>
      <c r="L416" s="161" t="s">
        <v>775</v>
      </c>
      <c r="M416" s="161" t="s">
        <v>839</v>
      </c>
      <c r="N416" s="161" t="s">
        <v>271</v>
      </c>
      <c r="O416" s="161" t="s">
        <v>995</v>
      </c>
      <c r="P416" s="218" t="s">
        <v>993</v>
      </c>
    </row>
    <row r="417" spans="1:17" s="161" customFormat="1" ht="22.5" customHeight="1">
      <c r="B417" s="190">
        <v>41402</v>
      </c>
      <c r="C417" s="216">
        <v>0.5</v>
      </c>
      <c r="D417" s="192">
        <v>41403.479166666664</v>
      </c>
      <c r="E417" s="204" t="s">
        <v>735</v>
      </c>
      <c r="F417" s="204" t="s">
        <v>741</v>
      </c>
      <c r="G417" s="161" t="s">
        <v>742</v>
      </c>
      <c r="H417" s="161" t="s">
        <v>743</v>
      </c>
      <c r="K417" s="161" t="s">
        <v>744</v>
      </c>
      <c r="L417" s="161" t="s">
        <v>740</v>
      </c>
      <c r="M417" s="161" t="s">
        <v>740</v>
      </c>
      <c r="N417" s="161" t="s">
        <v>1032</v>
      </c>
      <c r="P417" s="161" t="s">
        <v>746</v>
      </c>
    </row>
    <row r="418" spans="1:17" s="164" customFormat="1" ht="90" customHeight="1">
      <c r="B418" s="175"/>
      <c r="C418" s="176"/>
      <c r="D418" s="187">
        <v>41403.5</v>
      </c>
      <c r="E418" s="177"/>
      <c r="F418" s="177"/>
      <c r="K418" s="164" t="s">
        <v>947</v>
      </c>
      <c r="L418" s="164" t="s">
        <v>373</v>
      </c>
      <c r="M418" s="164" t="s">
        <v>609</v>
      </c>
      <c r="N418" s="164" t="s">
        <v>653</v>
      </c>
      <c r="P418" s="178" t="s">
        <v>920</v>
      </c>
    </row>
    <row r="419" spans="1:17" s="166" customFormat="1" ht="90" customHeight="1">
      <c r="B419" s="198"/>
      <c r="C419" s="217"/>
      <c r="D419" s="200">
        <v>41403.506944444445</v>
      </c>
      <c r="E419" s="205"/>
      <c r="F419" s="205"/>
      <c r="K419" s="166" t="s">
        <v>887</v>
      </c>
      <c r="L419" s="166" t="s">
        <v>373</v>
      </c>
      <c r="M419" s="166" t="s">
        <v>217</v>
      </c>
      <c r="N419" s="166" t="s">
        <v>853</v>
      </c>
      <c r="P419" s="212" t="s">
        <v>927</v>
      </c>
    </row>
    <row r="420" spans="1:17" s="166" customFormat="1" ht="90" customHeight="1">
      <c r="B420" s="198"/>
      <c r="C420" s="217"/>
      <c r="D420" s="200">
        <v>41403.507638888892</v>
      </c>
      <c r="E420" s="205"/>
      <c r="F420" s="205"/>
      <c r="K420" s="166" t="s">
        <v>901</v>
      </c>
      <c r="L420" s="166" t="s">
        <v>373</v>
      </c>
      <c r="M420" s="166" t="s">
        <v>217</v>
      </c>
      <c r="N420" s="166" t="s">
        <v>877</v>
      </c>
      <c r="P420" s="212" t="s">
        <v>928</v>
      </c>
    </row>
    <row r="421" spans="1:17" s="166" customFormat="1" ht="90" customHeight="1">
      <c r="B421" s="198"/>
      <c r="C421" s="217"/>
      <c r="D421" s="200">
        <v>41403.508333333331</v>
      </c>
      <c r="E421" s="205"/>
      <c r="F421" s="205"/>
      <c r="K421" s="166" t="s">
        <v>901</v>
      </c>
      <c r="L421" s="166" t="s">
        <v>373</v>
      </c>
      <c r="M421" s="166" t="s">
        <v>217</v>
      </c>
      <c r="N421" s="166" t="s">
        <v>877</v>
      </c>
      <c r="P421" s="212" t="s">
        <v>929</v>
      </c>
    </row>
    <row r="422" spans="1:17" s="164" customFormat="1" ht="63" customHeight="1">
      <c r="B422" s="175"/>
      <c r="C422" s="176"/>
      <c r="D422" s="187">
        <v>41403.509722222225</v>
      </c>
      <c r="E422" s="177"/>
      <c r="F422" s="177"/>
      <c r="K422" s="164" t="s">
        <v>394</v>
      </c>
      <c r="L422" s="164" t="s">
        <v>373</v>
      </c>
      <c r="M422" s="164" t="s">
        <v>609</v>
      </c>
      <c r="N422" s="164" t="s">
        <v>653</v>
      </c>
      <c r="P422" s="178" t="s">
        <v>926</v>
      </c>
    </row>
    <row r="423" spans="1:17" s="180" customFormat="1" ht="25.5">
      <c r="B423" s="181">
        <v>41402</v>
      </c>
      <c r="C423" s="182">
        <v>0.5</v>
      </c>
      <c r="D423" s="195">
        <v>41402.513888888891</v>
      </c>
      <c r="E423" s="183" t="s">
        <v>735</v>
      </c>
      <c r="F423" s="183" t="s">
        <v>741</v>
      </c>
      <c r="G423" s="180" t="s">
        <v>742</v>
      </c>
      <c r="H423" s="180" t="s">
        <v>743</v>
      </c>
      <c r="K423" s="180" t="s">
        <v>744</v>
      </c>
      <c r="L423" s="180" t="s">
        <v>745</v>
      </c>
      <c r="M423" s="180" t="s">
        <v>217</v>
      </c>
      <c r="N423" s="180" t="s">
        <v>1032</v>
      </c>
      <c r="P423" s="180" t="s">
        <v>746</v>
      </c>
    </row>
    <row r="424" spans="1:17" s="166" customFormat="1" ht="267.75">
      <c r="B424" s="198">
        <v>41402</v>
      </c>
      <c r="C424" s="199">
        <v>1200.5</v>
      </c>
      <c r="D424" s="200">
        <v>41403.517361111109</v>
      </c>
      <c r="E424" s="205"/>
      <c r="F424" s="205"/>
      <c r="J424" s="166">
        <v>5</v>
      </c>
      <c r="K424" s="166" t="s">
        <v>954</v>
      </c>
      <c r="L424" s="166" t="s">
        <v>373</v>
      </c>
      <c r="M424" s="166" t="s">
        <v>217</v>
      </c>
      <c r="N424" s="166" t="s">
        <v>877</v>
      </c>
      <c r="P424" s="166" t="s">
        <v>943</v>
      </c>
    </row>
    <row r="425" spans="1:17" s="166" customFormat="1" ht="167.25" customHeight="1">
      <c r="B425" s="198"/>
      <c r="C425" s="199"/>
      <c r="D425" s="200">
        <v>41403.520833333336</v>
      </c>
      <c r="E425" s="166" t="s">
        <v>373</v>
      </c>
      <c r="F425" s="166" t="s">
        <v>779</v>
      </c>
      <c r="H425" s="166" t="s">
        <v>392</v>
      </c>
      <c r="J425" s="166">
        <v>7</v>
      </c>
      <c r="K425" s="166" t="s">
        <v>945</v>
      </c>
      <c r="L425" s="166" t="s">
        <v>373</v>
      </c>
      <c r="M425" s="166" t="s">
        <v>217</v>
      </c>
      <c r="N425" s="166" t="s">
        <v>877</v>
      </c>
      <c r="P425" s="166" t="s">
        <v>944</v>
      </c>
    </row>
    <row r="426" spans="1:17" s="164" customFormat="1" ht="60" customHeight="1">
      <c r="B426" s="175"/>
      <c r="C426" s="179"/>
      <c r="D426" s="187">
        <v>41403.53125</v>
      </c>
      <c r="K426" s="164" t="s">
        <v>940</v>
      </c>
      <c r="L426" s="164" t="s">
        <v>373</v>
      </c>
      <c r="M426" s="164" t="s">
        <v>609</v>
      </c>
      <c r="N426" s="164" t="s">
        <v>877</v>
      </c>
      <c r="P426" s="164" t="s">
        <v>946</v>
      </c>
    </row>
    <row r="427" spans="1:17" s="164" customFormat="1" ht="25.5">
      <c r="B427" s="175"/>
      <c r="C427" s="179"/>
      <c r="D427" s="187">
        <v>41403.542361111111</v>
      </c>
      <c r="E427" s="164" t="s">
        <v>735</v>
      </c>
      <c r="F427" s="188"/>
      <c r="G427" s="164" t="s">
        <v>584</v>
      </c>
      <c r="H427" s="188"/>
      <c r="I427" s="164" t="s">
        <v>55</v>
      </c>
      <c r="J427" s="188"/>
      <c r="K427" s="164" t="s">
        <v>75</v>
      </c>
      <c r="L427" s="188" t="s">
        <v>373</v>
      </c>
      <c r="M427" s="164" t="s">
        <v>609</v>
      </c>
      <c r="N427" s="164" t="s">
        <v>653</v>
      </c>
      <c r="P427" s="164" t="s">
        <v>955</v>
      </c>
    </row>
    <row r="428" spans="1:17" s="161" customFormat="1" ht="114.75">
      <c r="B428" s="190"/>
      <c r="C428" s="191"/>
      <c r="D428" s="192">
        <v>41403.552083333336</v>
      </c>
      <c r="E428" s="161" t="s">
        <v>232</v>
      </c>
      <c r="F428" s="161" t="s">
        <v>653</v>
      </c>
      <c r="G428" s="161" t="s">
        <v>231</v>
      </c>
      <c r="H428" s="161" t="s">
        <v>225</v>
      </c>
      <c r="K428" s="161" t="s">
        <v>118</v>
      </c>
      <c r="L428" s="161" t="s">
        <v>373</v>
      </c>
      <c r="M428" s="161" t="s">
        <v>609</v>
      </c>
      <c r="N428" s="161" t="s">
        <v>983</v>
      </c>
      <c r="P428" s="161" t="s">
        <v>982</v>
      </c>
      <c r="Q428" s="161" t="s">
        <v>245</v>
      </c>
    </row>
    <row r="429" spans="1:17" s="166" customFormat="1" ht="63.75">
      <c r="B429" s="198"/>
      <c r="C429" s="199"/>
      <c r="D429" s="200">
        <v>41403.59375</v>
      </c>
      <c r="E429" s="166" t="s">
        <v>232</v>
      </c>
      <c r="F429" s="166" t="s">
        <v>247</v>
      </c>
      <c r="H429" s="166" t="s">
        <v>248</v>
      </c>
      <c r="K429" s="166" t="s">
        <v>249</v>
      </c>
      <c r="L429" s="166" t="s">
        <v>373</v>
      </c>
      <c r="M429" s="166" t="s">
        <v>217</v>
      </c>
      <c r="N429" s="166" t="s">
        <v>271</v>
      </c>
      <c r="O429" s="166" t="s">
        <v>595</v>
      </c>
      <c r="P429" s="166" t="s">
        <v>956</v>
      </c>
      <c r="Q429" s="166" t="s">
        <v>352</v>
      </c>
    </row>
    <row r="430" spans="1:17" s="167" customFormat="1" ht="25.5">
      <c r="B430" s="184"/>
      <c r="C430" s="185"/>
      <c r="D430" s="186">
        <v>41403.635416666664</v>
      </c>
      <c r="E430" s="209" t="s">
        <v>735</v>
      </c>
      <c r="F430" s="209" t="s">
        <v>301</v>
      </c>
      <c r="H430" s="209" t="s">
        <v>306</v>
      </c>
      <c r="I430" s="209"/>
      <c r="K430" s="209" t="s">
        <v>987</v>
      </c>
      <c r="L430" s="167" t="s">
        <v>864</v>
      </c>
      <c r="M430" s="167" t="s">
        <v>609</v>
      </c>
      <c r="N430" s="167" t="s">
        <v>1032</v>
      </c>
      <c r="P430" s="209" t="s">
        <v>299</v>
      </c>
      <c r="Q430" s="167" t="s">
        <v>250</v>
      </c>
    </row>
    <row r="431" spans="1:17" ht="114.75">
      <c r="B431" s="144">
        <v>41402</v>
      </c>
      <c r="C431" s="145">
        <v>41402.666666666664</v>
      </c>
      <c r="D431" s="146">
        <v>41403.666666666664</v>
      </c>
      <c r="E431" s="143" t="s">
        <v>735</v>
      </c>
      <c r="F431" s="147" t="s">
        <v>739</v>
      </c>
      <c r="H431" s="147" t="s">
        <v>736</v>
      </c>
      <c r="I431" s="143" t="s">
        <v>774</v>
      </c>
      <c r="J431" s="147" t="s">
        <v>733</v>
      </c>
      <c r="K431" s="143" t="s">
        <v>774</v>
      </c>
      <c r="L431" s="143" t="s">
        <v>864</v>
      </c>
      <c r="M431" s="143" t="s">
        <v>217</v>
      </c>
      <c r="N431" s="143" t="s">
        <v>271</v>
      </c>
      <c r="O431" s="143" t="s">
        <v>595</v>
      </c>
      <c r="P431" s="143" t="s">
        <v>353</v>
      </c>
    </row>
    <row r="432" spans="1:17">
      <c r="A432" s="55"/>
      <c r="B432" s="168">
        <v>40305</v>
      </c>
      <c r="C432" s="172">
        <v>0.66666666666666663</v>
      </c>
      <c r="D432" s="170">
        <v>41402.666666666664</v>
      </c>
      <c r="E432" s="173"/>
      <c r="F432" s="173"/>
      <c r="G432" s="55"/>
      <c r="H432" s="55"/>
      <c r="I432" s="55"/>
      <c r="J432" s="55"/>
      <c r="K432" s="55"/>
      <c r="L432" s="55"/>
      <c r="M432" s="55"/>
      <c r="N432" s="55"/>
      <c r="O432" s="55"/>
      <c r="P432" s="55" t="s">
        <v>560</v>
      </c>
      <c r="Q432" s="55"/>
    </row>
    <row r="433" spans="11:16" ht="14.25">
      <c r="K433" s="60"/>
      <c r="P433" s="174"/>
    </row>
    <row r="434" spans="11:16">
      <c r="K434" s="60"/>
    </row>
    <row r="435" spans="11:16">
      <c r="K435" s="60"/>
    </row>
    <row r="436" spans="11:16">
      <c r="K436" s="60"/>
    </row>
    <row r="437" spans="11:16">
      <c r="K437" s="60"/>
    </row>
    <row r="438" spans="11:16">
      <c r="K438" s="60"/>
    </row>
    <row r="439" spans="11:16">
      <c r="K439" s="60"/>
    </row>
    <row r="440" spans="11:16">
      <c r="K440" s="60"/>
    </row>
    <row r="441" spans="11:16">
      <c r="K441" s="60"/>
    </row>
    <row r="442" spans="11:16">
      <c r="K442" s="60"/>
    </row>
    <row r="443" spans="11:16">
      <c r="K443" s="60"/>
    </row>
    <row r="444" spans="11:16">
      <c r="K444" s="60"/>
    </row>
    <row r="445" spans="11:16">
      <c r="K445" s="60"/>
    </row>
    <row r="446" spans="11:16">
      <c r="K446" s="60"/>
    </row>
  </sheetData>
  <autoFilter ref="A1:Q432">
    <filterColumn colId="13"/>
    <filterColumn colId="14"/>
  </autoFilter>
  <phoneticPr fontId="1" type="noConversion"/>
  <printOptions horizontalCentered="1" verticalCentered="1"/>
  <pageMargins left="0.75" right="0.5" top="0.53" bottom="0.55000000000000004" header="0.27" footer="0.3"/>
  <pageSetup paperSize="5" scale="52" fitToHeight="36" orientation="landscape" horizontalDpi="4294967292" r:id="rId1"/>
  <headerFooter alignWithMargins="0">
    <oddHeader>&amp;L&amp;"Arial,Bold"&amp;12&amp;F&amp;R&amp;"Arial,Bold"&amp;12Exercise Only</oddHeader>
    <oddFooter>&amp;L&amp;"Arial,Bold"&amp;12Exercise Only&amp;C&amp;F
&amp;D&amp;T</oddFooter>
  </headerFooter>
</worksheet>
</file>

<file path=xl/worksheets/sheet3.xml><?xml version="1.0" encoding="utf-8"?>
<worksheet xmlns="http://schemas.openxmlformats.org/spreadsheetml/2006/main" xmlns:r="http://schemas.openxmlformats.org/officeDocument/2006/relationships">
  <dimension ref="A1:P4"/>
  <sheetViews>
    <sheetView workbookViewId="0">
      <selection sqref="A1:A4"/>
    </sheetView>
  </sheetViews>
  <sheetFormatPr defaultRowHeight="12.75"/>
  <cols>
    <col min="1" max="1" width="54.28515625" bestFit="1" customWidth="1"/>
    <col min="2" max="2" width="8.85546875" bestFit="1" customWidth="1"/>
    <col min="3" max="3" width="18.140625" bestFit="1" customWidth="1"/>
    <col min="4" max="4" width="17.5703125" bestFit="1" customWidth="1"/>
    <col min="5" max="5" width="20.5703125" bestFit="1" customWidth="1"/>
    <col min="6" max="6" width="34.140625" bestFit="1" customWidth="1"/>
    <col min="7" max="7" width="19.85546875" bestFit="1" customWidth="1"/>
    <col min="8" max="8" width="13.7109375" bestFit="1" customWidth="1"/>
    <col min="9" max="9" width="29.5703125" bestFit="1" customWidth="1"/>
    <col min="10" max="10" width="6.7109375" bestFit="1" customWidth="1"/>
    <col min="11" max="11" width="20.28515625" bestFit="1" customWidth="1"/>
    <col min="12" max="12" width="28.140625" bestFit="1" customWidth="1"/>
    <col min="13" max="13" width="25.85546875" bestFit="1" customWidth="1"/>
    <col min="14" max="14" width="74.7109375" bestFit="1" customWidth="1"/>
    <col min="15" max="15" width="41.85546875" bestFit="1" customWidth="1"/>
    <col min="16" max="16" width="18.42578125" bestFit="1" customWidth="1"/>
  </cols>
  <sheetData>
    <row r="1" spans="1:16" s="11" customFormat="1" ht="27" customHeight="1">
      <c r="A1" s="22" t="s">
        <v>732</v>
      </c>
      <c r="B1"/>
      <c r="C1"/>
      <c r="D1"/>
      <c r="E1"/>
      <c r="F1"/>
      <c r="G1"/>
      <c r="H1"/>
      <c r="I1"/>
      <c r="J1"/>
      <c r="K1"/>
      <c r="N1" s="12"/>
      <c r="O1" s="12"/>
    </row>
    <row r="2" spans="1:16" s="13" customFormat="1" ht="27" customHeight="1" thickBot="1">
      <c r="A2" s="23" t="s">
        <v>726</v>
      </c>
      <c r="B2"/>
      <c r="C2"/>
      <c r="D2"/>
      <c r="E2"/>
      <c r="F2"/>
      <c r="G2"/>
      <c r="H2"/>
      <c r="I2"/>
      <c r="J2"/>
      <c r="K2"/>
      <c r="N2" s="14"/>
      <c r="O2" s="14"/>
    </row>
    <row r="3" spans="1:16" s="9" customFormat="1" ht="27" customHeight="1">
      <c r="A3" s="3" t="s">
        <v>731</v>
      </c>
      <c r="B3" s="18" t="s">
        <v>734</v>
      </c>
      <c r="C3" s="20" t="s">
        <v>704</v>
      </c>
      <c r="D3" s="6" t="s">
        <v>718</v>
      </c>
      <c r="E3" s="3" t="s">
        <v>721</v>
      </c>
      <c r="F3" s="4" t="s">
        <v>722</v>
      </c>
      <c r="G3" s="6" t="s">
        <v>719</v>
      </c>
      <c r="H3" s="4" t="s">
        <v>723</v>
      </c>
      <c r="I3" s="6" t="s">
        <v>720</v>
      </c>
      <c r="J3" s="5" t="s">
        <v>727</v>
      </c>
      <c r="K3" s="6" t="s">
        <v>728</v>
      </c>
      <c r="L3" s="4" t="s">
        <v>729</v>
      </c>
      <c r="M3" s="6" t="s">
        <v>730</v>
      </c>
      <c r="N3" s="5" t="s">
        <v>724</v>
      </c>
      <c r="O3" s="5" t="s">
        <v>725</v>
      </c>
      <c r="P3" s="16" t="s">
        <v>738</v>
      </c>
    </row>
    <row r="4" spans="1:16" s="8" customFormat="1" ht="27" customHeight="1">
      <c r="A4" s="1"/>
      <c r="B4" s="19"/>
      <c r="C4" s="21"/>
      <c r="D4" s="7"/>
      <c r="E4" s="1"/>
      <c r="F4" s="2"/>
      <c r="G4" s="7"/>
      <c r="H4" s="2"/>
      <c r="I4" s="7"/>
      <c r="J4" s="15"/>
      <c r="K4" s="7"/>
      <c r="L4" s="2"/>
      <c r="M4" s="7"/>
      <c r="N4" s="1"/>
      <c r="O4" s="10"/>
      <c r="P4" s="17"/>
    </row>
  </sheetData>
  <customSheetViews>
    <customSheetView guid="{795CE737-CFBD-47E1-A5F3-F6879A411FBA}" showPageBreaks="1">
      <selection sqref="A1:A4"/>
      <pageMargins left="0.7" right="0.7" top="0.75" bottom="0.75" header="0.3" footer="0.3"/>
    </customSheetView>
    <customSheetView guid="{6D5C82C1-3F67-4DCA-9285-CC6695655904}">
      <selection sqref="A1:A4"/>
      <pageMargins left="0.7" right="0.7" top="0.75" bottom="0.75" header="0.3" footer="0.3"/>
    </customSheetView>
    <customSheetView guid="{3225D158-A05E-4956-976D-0A8BB346F3CD}">
      <selection sqref="A1:A4"/>
      <pageMargins left="0.7" right="0.7" top="0.75" bottom="0.75" header="0.3" footer="0.3"/>
    </customSheetView>
    <customSheetView guid="{5BBCA58B-D765-479F-9504-1E4279142E7F}">
      <selection sqref="A1:A4"/>
      <pageMargins left="0.7" right="0.7" top="0.75" bottom="0.75" header="0.3" footer="0.3"/>
    </customSheetView>
    <customSheetView guid="{C75FF036-91FF-4E44-9156-54230F8F355B}">
      <selection sqref="A1:A4"/>
      <pageMargins left="0.7" right="0.7" top="0.75" bottom="0.75" header="0.3" footer="0.3"/>
    </customSheetView>
    <customSheetView guid="{21D272AB-5ED3-41C2-B2AC-DB44252878EA}">
      <selection sqref="A1:A4"/>
      <pageMargins left="0.7" right="0.7" top="0.75" bottom="0.75" header="0.3" footer="0.3"/>
    </customSheetView>
  </customSheetViews>
  <phoneticPr fontId="17" type="noConversion"/>
  <pageMargins left="0.7" right="0.7" top="0.75" bottom="0.75" header="0.3" footer="0.3"/>
  <pageSetup orientation="portrait" r:id="rId1"/>
  <legacyDrawing r:id="rId2"/>
</worksheet>
</file>

<file path=xl/worksheets/sheet4.xml><?xml version="1.0" encoding="utf-8"?>
<worksheet xmlns="http://schemas.openxmlformats.org/spreadsheetml/2006/main" xmlns:r="http://schemas.openxmlformats.org/officeDocument/2006/relationships">
  <dimension ref="A1:I240"/>
  <sheetViews>
    <sheetView topLeftCell="A7" zoomScaleNormal="100" workbookViewId="0">
      <selection activeCell="F14" sqref="F14"/>
    </sheetView>
  </sheetViews>
  <sheetFormatPr defaultRowHeight="12.75"/>
  <cols>
    <col min="1" max="1" width="5.42578125" style="65" customWidth="1"/>
    <col min="2" max="2" width="14.7109375" style="65" hidden="1" customWidth="1"/>
    <col min="3" max="3" width="12.7109375" style="66" customWidth="1"/>
    <col min="4" max="4" width="14.140625" style="65" customWidth="1"/>
    <col min="5" max="5" width="14" style="65" customWidth="1"/>
    <col min="6" max="6" width="37.5703125" style="65" customWidth="1"/>
    <col min="7" max="7" width="33" style="65" customWidth="1"/>
    <col min="8" max="8" width="9.140625" style="65"/>
    <col min="9" max="9" width="9.140625" style="70"/>
  </cols>
  <sheetData>
    <row r="1" spans="1:9" s="62" customFormat="1" ht="45">
      <c r="A1" s="67" t="s">
        <v>18</v>
      </c>
      <c r="B1" s="67" t="s">
        <v>782</v>
      </c>
      <c r="C1" s="68" t="s">
        <v>14</v>
      </c>
      <c r="D1" s="67" t="s">
        <v>718</v>
      </c>
      <c r="E1" s="67" t="s">
        <v>19</v>
      </c>
      <c r="F1" s="67" t="s">
        <v>20</v>
      </c>
      <c r="G1" s="67" t="s">
        <v>15</v>
      </c>
      <c r="H1" s="67" t="s">
        <v>17</v>
      </c>
      <c r="I1" s="69" t="s">
        <v>16</v>
      </c>
    </row>
    <row r="2" spans="1:9" s="24" customFormat="1" ht="33.75">
      <c r="A2" s="63">
        <f>'Excercise - Al '!A2</f>
        <v>1</v>
      </c>
      <c r="B2" s="63" t="s">
        <v>783</v>
      </c>
      <c r="C2" s="64">
        <f>'Excercise - Al '!E2</f>
        <v>40298.208333333336</v>
      </c>
      <c r="D2" s="63" t="str">
        <f>IF('Excercise - Al '!F2&lt;&gt;0,'Excercise - Al '!F2,"")</f>
        <v>31st CHEM BDE - Notifies select staff</v>
      </c>
      <c r="E2" s="63" t="str">
        <f>IF('Excercise - Al '!G2&lt;&gt;"","MODE: "&amp;'Excercise - Al '!G2,"")&amp;IF('Excercise - Al '!H2&lt;&gt;"","   FROM: "&amp;'Excercise - Al '!H2,"")&amp;IF('Excercise - Al '!I2&lt;&gt;"","   INJECTED BY: "&amp;'Excercise - Al '!I2,"")&amp;IF('Excercise - Al '!J2&lt;&gt;"","   SEND TO: "&amp;'Excercise - Al '!J2,"")</f>
        <v>MODE: Not Injected</v>
      </c>
      <c r="F2" s="63" t="str">
        <f>IF('Excercise - Al '!K2&lt;&gt;"","STORYLINE: "&amp;'Excercise - Al '!K2,"")&amp;IF('Excercise - Al '!M2&lt;&gt;"","   DESCRIPTION: "&amp;'Excercise - Al '!M2,"")&amp;IF('Excercise - Al '!O2&lt;&gt;"","   NOTES/REMARKS: "&amp;'Excercise - Al '!O2,"")&amp;IF('Excercise - Al '!Q2&lt;&gt;"","   BACKGROUND INFO: "&amp;'Excercise - Al '!Q2,"")</f>
        <v/>
      </c>
      <c r="G2" s="63" t="str">
        <f>IF('Excercise - Al '!P2&lt;&gt;"","IMPLEMENTER: "&amp;'Excercise - Al '!P2,"")</f>
        <v/>
      </c>
      <c r="H2" s="63" t="str">
        <f>IF('Excercise - Al '!N2&lt;&gt;"","EXPECTED ACTIONS: "&amp;'Excercise - Al '!N2,"")</f>
        <v/>
      </c>
      <c r="I2" s="63" t="str">
        <f>'Excercise - Al '!R2</f>
        <v>Napier</v>
      </c>
    </row>
    <row r="3" spans="1:9" s="24" customFormat="1" ht="78.75">
      <c r="A3" s="63">
        <f>'Excercise - Al '!A3</f>
        <v>2</v>
      </c>
      <c r="B3" s="63"/>
      <c r="C3" s="64">
        <f>'Excercise - Al '!E3</f>
        <v>40299.166666666664</v>
      </c>
      <c r="D3" s="63" t="str">
        <f>IF('Excercise - Al '!F3&lt;&gt;0,'Excercise - Al '!F3,"")</f>
        <v>INFO</v>
      </c>
      <c r="E3" s="63" t="str">
        <f>IF('Excercise - Al '!G3&lt;&gt;"","MODE: "&amp;'Excercise - Al '!G3,"")&amp;IF('Excercise - Al '!H3&lt;&gt;"","   FROM: "&amp;'Excercise - Al '!H3,"")&amp;IF('Excercise - Al '!I3&lt;&gt;"","   INJECTED BY: "&amp;'Excercise - Al '!I3,"")&amp;IF('Excercise - Al '!J3&lt;&gt;"","   SEND TO: "&amp;'Excercise - Al '!J3,"")</f>
        <v>MODE: Email   FROM: Simcell - National Hurricane Center   INJECTED BY: KEANE   SEND TO: JOC, All</v>
      </c>
      <c r="F3" s="63" t="str">
        <f>IF('Excercise - Al '!K3&lt;&gt;"","STORYLINE: "&amp;'Excercise - Al '!K3,"")&amp;IF('Excercise - Al '!M3&lt;&gt;"","   DESCRIPTION: "&amp;'Excercise - Al '!M3,"")&amp;IF('Excercise - Al '!O3&lt;&gt;"","   NOTES/REMARKS: "&amp;'Excercise - Al '!O3,"")&amp;IF('Excercise - Al '!Q3&lt;&gt;"","   BACKGROUND INFO: "&amp;'Excercise - Al '!Q3,"")</f>
        <v>STORYLINE: Tropical Depression One Forms   DESCRIPTION: Tropical Depression One Forms</v>
      </c>
      <c r="G3" s="63" t="str">
        <f>IF('Excercise - Al '!P3&lt;&gt;"","IMPLEMENTER: "&amp;'Excercise - Al '!P3,"")</f>
        <v xml:space="preserve">IMPLEMENTER: On 01 May, 0400 HRS CDT, The National Hurricane Center issues Tropical Depression Advisory "One".  Current Location 14.5 N 74.1 W Max Sustained Wind 30mph  </v>
      </c>
      <c r="H3" s="63" t="str">
        <f>IF('Excercise - Al '!N3&lt;&gt;"","EXPECTED ACTIONS: "&amp;'Excercise - Al '!N3,"")</f>
        <v/>
      </c>
      <c r="I3" s="63" t="str">
        <f>'Excercise - Al '!R3</f>
        <v>Keane</v>
      </c>
    </row>
    <row r="4" spans="1:9" s="24" customFormat="1" ht="45">
      <c r="A4" s="63">
        <f>'Excercise - Al '!A4</f>
        <v>3</v>
      </c>
      <c r="B4" s="63"/>
      <c r="C4" s="64">
        <f>'Excercise - Al '!E4</f>
        <v>40299.208333333336</v>
      </c>
      <c r="D4" s="63" t="str">
        <f>IF('Excercise - Al '!F4&lt;&gt;0,'Excercise - Al '!F4,"")</f>
        <v>31st CHEM BDE - Telecon with unit CDRs  and issue verbal WARNO</v>
      </c>
      <c r="E4" s="63" t="str">
        <f>IF('Excercise - Al '!G4&lt;&gt;"","MODE: "&amp;'Excercise - Al '!G4,"")&amp;IF('Excercise - Al '!H4&lt;&gt;"","   FROM: "&amp;'Excercise - Al '!H4,"")&amp;IF('Excercise - Al '!I4&lt;&gt;"","   INJECTED BY: "&amp;'Excercise - Al '!I4,"")&amp;IF('Excercise - Al '!J4&lt;&gt;"","   SEND TO: "&amp;'Excercise - Al '!J4,"")</f>
        <v>MODE: Not Injected</v>
      </c>
      <c r="F4" s="63" t="str">
        <f>IF('Excercise - Al '!K4&lt;&gt;"","STORYLINE: "&amp;'Excercise - Al '!K4,"")&amp;IF('Excercise - Al '!M4&lt;&gt;"","   DESCRIPTION: "&amp;'Excercise - Al '!M4,"")&amp;IF('Excercise - Al '!O4&lt;&gt;"","   NOTES/REMARKS: "&amp;'Excercise - Al '!O4,"")&amp;IF('Excercise - Al '!Q4&lt;&gt;"","   BACKGROUND INFO: "&amp;'Excercise - Al '!Q4,"")</f>
        <v/>
      </c>
      <c r="G4" s="63" t="str">
        <f>IF('Excercise - Al '!P4&lt;&gt;"","IMPLEMENTER: "&amp;'Excercise - Al '!P4,"")</f>
        <v/>
      </c>
      <c r="H4" s="63" t="str">
        <f>IF('Excercise - Al '!N4&lt;&gt;"","EXPECTED ACTIONS: "&amp;'Excercise - Al '!N4,"")</f>
        <v/>
      </c>
      <c r="I4" s="63" t="str">
        <f>'Excercise - Al '!R4</f>
        <v>Napier</v>
      </c>
    </row>
    <row r="5" spans="1:9" s="24" customFormat="1" ht="56.25">
      <c r="A5" s="63">
        <f>'Excercise - Al '!A5</f>
        <v>4</v>
      </c>
      <c r="B5" s="63"/>
      <c r="C5" s="64">
        <f>'Excercise - Al '!E5</f>
        <v>40299.208333333336</v>
      </c>
      <c r="D5" s="63" t="str">
        <f>IF('Excercise - Al '!F5&lt;&gt;0,'Excercise - Al '!F5,"")</f>
        <v>31st CHEM BDE - Test alert roster of key personnel and for the 1165th and 690th</v>
      </c>
      <c r="E5" s="63" t="str">
        <f>IF('Excercise - Al '!G5&lt;&gt;"","MODE: "&amp;'Excercise - Al '!G5,"")&amp;IF('Excercise - Al '!H5&lt;&gt;"","   FROM: "&amp;'Excercise - Al '!H5,"")&amp;IF('Excercise - Al '!I5&lt;&gt;"","   INJECTED BY: "&amp;'Excercise - Al '!I5,"")&amp;IF('Excercise - Al '!J5&lt;&gt;"","   SEND TO: "&amp;'Excercise - Al '!J5,"")</f>
        <v>MODE: Not Injected</v>
      </c>
      <c r="F5" s="63" t="str">
        <f>IF('Excercise - Al '!K5&lt;&gt;"","STORYLINE: "&amp;'Excercise - Al '!K5,"")&amp;IF('Excercise - Al '!M5&lt;&gt;"","   DESCRIPTION: "&amp;'Excercise - Al '!M5,"")&amp;IF('Excercise - Al '!O5&lt;&gt;"","   NOTES/REMARKS: "&amp;'Excercise - Al '!O5,"")&amp;IF('Excercise - Al '!Q5&lt;&gt;"","   BACKGROUND INFO: "&amp;'Excercise - Al '!Q5,"")</f>
        <v/>
      </c>
      <c r="G5" s="63" t="str">
        <f>IF('Excercise - Al '!P5&lt;&gt;"","IMPLEMENTER: "&amp;'Excercise - Al '!P5,"")</f>
        <v/>
      </c>
      <c r="H5" s="63" t="str">
        <f>IF('Excercise - Al '!N5&lt;&gt;"","EXPECTED ACTIONS: "&amp;'Excercise - Al '!N5,"")</f>
        <v/>
      </c>
      <c r="I5" s="63" t="str">
        <f>'Excercise - Al '!R5</f>
        <v>Napier</v>
      </c>
    </row>
    <row r="6" spans="1:9" s="24" customFormat="1" ht="258.75">
      <c r="A6" s="63">
        <f>'Excercise - Al '!A6</f>
        <v>5</v>
      </c>
      <c r="B6" s="63"/>
      <c r="C6" s="64">
        <f>'Excercise - Al '!E6</f>
        <v>40299.416666666664</v>
      </c>
      <c r="D6" s="63" t="str">
        <f>IF('Excercise - Al '!F6&lt;&gt;0,'Excercise - Al '!F6,"")</f>
        <v>INFO</v>
      </c>
      <c r="E6" s="63" t="str">
        <f>IF('Excercise - Al '!G6&lt;&gt;"","MODE: "&amp;'Excercise - Al '!G6,"")&amp;IF('Excercise - Al '!H6&lt;&gt;"","   FROM: "&amp;'Excercise - Al '!H6,"")&amp;IF('Excercise - Al '!I6&lt;&gt;"","   INJECTED BY: "&amp;'Excercise - Al '!I6,"")&amp;IF('Excercise - Al '!J6&lt;&gt;"","   SEND TO: "&amp;'Excercise - Al '!J6,"")</f>
        <v>MODE: Email   FROM: Simcell - National Hurricane Center   INJECTED BY: KEANE   SEND TO: JOC, All</v>
      </c>
      <c r="F6" s="63" t="str">
        <f>IF('Excercise - Al '!K6&lt;&gt;"","STORYLINE: "&amp;'Excercise - Al '!K6,"")&amp;IF('Excercise - Al '!M6&lt;&gt;"","   DESCRIPTION: "&amp;'Excercise - Al '!M6,"")&amp;IF('Excercise - Al '!O6&lt;&gt;"","   NOTES/REMARKS: "&amp;'Excercise - Al '!O6,"")&amp;IF('Excercise - Al '!Q6&lt;&gt;"","   BACKGROUND INFO: "&amp;'Excercise - Al '!Q6,"")</f>
        <v>STORYLINE: Tropical Storm Al Update 2   DESCRIPTION: Tropical Storm Al Update 2</v>
      </c>
      <c r="G6" s="63" t="str">
        <f>IF('Excercise - Al '!P6&lt;&gt;"","IMPLEMENTER: "&amp;'Excercise - Al '!P6,"")</f>
        <v xml:space="preserve">IMPLEMENTER: 
...FIRST TROPICAL STORM OF THE SEASON...AL NEARS THE COAST OF NICARAGUA...
SUMMARY OF 1100 AM EDT...1500 UTC...INFORMATION
-----------------------------------------------
LOCATION...14.9N 74.9W
ABOUT 220 MILES...354 KM...SOUTH SOUTHEAST OF KINGSTON JAMAICA 
ABOUT 280 MILES...450 KM...NORTH OF BARRANQUILLA COLUMBIA 
ABOUT 510 MILES...820 KM...NORTHEAST OF PANAMA CITY PANAMA
MAXIMUM SUSTAINED WINDS...45 MPH...39 KM/HR
PRESENT MOVEMENT...WNW OR 276 DEGREES AT 15 MPH...24 KM/HR
MINIMUM CENTRAL PRESSURE...999 MB...29.5 INCHES
</v>
      </c>
      <c r="H6" s="63" t="str">
        <f>IF('Excercise - Al '!N6&lt;&gt;"","EXPECTED ACTIONS: "&amp;'Excercise - Al '!N6,"")</f>
        <v/>
      </c>
      <c r="I6" s="63" t="str">
        <f>'Excercise - Al '!R6</f>
        <v>Keane</v>
      </c>
    </row>
    <row r="7" spans="1:9" s="24" customFormat="1" ht="247.5">
      <c r="A7" s="63">
        <f>'Excercise - Al '!A7</f>
        <v>6</v>
      </c>
      <c r="B7" s="63"/>
      <c r="C7" s="64">
        <f>'Excercise - Al '!E7</f>
        <v>40299.666666666664</v>
      </c>
      <c r="D7" s="63" t="str">
        <f>IF('Excercise - Al '!F7&lt;&gt;0,'Excercise - Al '!F7,"")</f>
        <v>INFO</v>
      </c>
      <c r="E7" s="63" t="str">
        <f>IF('Excercise - Al '!G7&lt;&gt;"","MODE: "&amp;'Excercise - Al '!G7,"")&amp;IF('Excercise - Al '!H7&lt;&gt;"","   FROM: "&amp;'Excercise - Al '!H7,"")&amp;IF('Excercise - Al '!I7&lt;&gt;"","   INJECTED BY: "&amp;'Excercise - Al '!I7,"")&amp;IF('Excercise - Al '!J7&lt;&gt;"","   SEND TO: "&amp;'Excercise - Al '!J7,"")</f>
        <v>MODE: Email   FROM: Simcell - National Hurricane Center   INJECTED BY: KEANE   SEND TO: JOC, All</v>
      </c>
      <c r="F7" s="63" t="str">
        <f>IF('Excercise - Al '!K7&lt;&gt;"","STORYLINE: "&amp;'Excercise - Al '!K7,"")&amp;IF('Excercise - Al '!M7&lt;&gt;"","   DESCRIPTION: "&amp;'Excercise - Al '!M7,"")&amp;IF('Excercise - Al '!O7&lt;&gt;"","   NOTES/REMARKS: "&amp;'Excercise - Al '!O7,"")&amp;IF('Excercise - Al '!Q7&lt;&gt;"","   BACKGROUND INFO: "&amp;'Excercise - Al '!Q7,"")</f>
        <v>STORYLINE: Tropical Storm Al Update 3   DESCRIPTION: Tropical Storm Al Update 3</v>
      </c>
      <c r="G7" s="63" t="str">
        <f>IF('Excercise - Al '!P7&lt;&gt;"","IMPLEMENTER: "&amp;'Excercise - Al '!P7,"")</f>
        <v xml:space="preserve">IMPLEMENTER: 
...TROPICAL STORM AL STRENGTHENS AS IT NEARS THE COAST OF NICARAGUA...
SUMMARY OF 1700 AM EDT...2100 UTC...INFORMATION
-----------------------------------------------
LOCATION...15.30 N 76.20 W
ABOUT 188 MILES...303 KM...167 DEGREES...SOUTH-SOUTHEAST OF KINGSTON JAMAICA 
ABOUT 312 MILES...502 KM...343 DEGREES...NORTH-NORTHWEST OF BARRANQUILLA COLUMBIA 
MAXIMUM SUSTAINED WINDS...60 MPH...99 KM/HR
PRESENT MOVEMENT...WESTERLY OR 275 DEGREES AT 10 MPH...16 KM/HR
MINIMUM CENTRAL PRESSURE...997 MB...29.44 INCHES
</v>
      </c>
      <c r="H7" s="63" t="str">
        <f>IF('Excercise - Al '!N7&lt;&gt;"","EXPECTED ACTIONS: "&amp;'Excercise - Al '!N7,"")</f>
        <v/>
      </c>
      <c r="I7" s="63" t="str">
        <f>'Excercise - Al '!R7</f>
        <v>Keane</v>
      </c>
    </row>
    <row r="8" spans="1:9" s="24" customFormat="1" ht="225">
      <c r="A8" s="63">
        <f>'Excercise - Al '!A8</f>
        <v>7</v>
      </c>
      <c r="B8" s="63"/>
      <c r="C8" s="64">
        <f>'Excercise - Al '!E8</f>
        <v>40299.916666666664</v>
      </c>
      <c r="D8" s="63" t="str">
        <f>IF('Excercise - Al '!F8&lt;&gt;0,'Excercise - Al '!F8,"")</f>
        <v>INFO</v>
      </c>
      <c r="E8" s="63" t="str">
        <f>IF('Excercise - Al '!G8&lt;&gt;"","MODE: "&amp;'Excercise - Al '!G8,"")&amp;IF('Excercise - Al '!H8&lt;&gt;"","   FROM: "&amp;'Excercise - Al '!H8,"")&amp;IF('Excercise - Al '!I8&lt;&gt;"","   INJECTED BY: "&amp;'Excercise - Al '!I8,"")&amp;IF('Excercise - Al '!J8&lt;&gt;"","   SEND TO: "&amp;'Excercise - Al '!J8,"")</f>
        <v>MODE: Email   FROM: Simcell - National Hurricane Center   INJECTED BY: KEANE   SEND TO: JOC, All</v>
      </c>
      <c r="F8" s="63" t="str">
        <f>IF('Excercise - Al '!K8&lt;&gt;"","STORYLINE: "&amp;'Excercise - Al '!K8,"")&amp;IF('Excercise - Al '!M8&lt;&gt;"","   DESCRIPTION: "&amp;'Excercise - Al '!M8,"")&amp;IF('Excercise - Al '!O8&lt;&gt;"","   NOTES/REMARKS: "&amp;'Excercise - Al '!O8,"")&amp;IF('Excercise - Al '!Q8&lt;&gt;"","   BACKGROUND INFO: "&amp;'Excercise - Al '!Q8,"")</f>
        <v>STORYLINE: Tropical Storm Al Update 4   DESCRIPTION: Tropical Storm Al Update 4</v>
      </c>
      <c r="G8" s="63" t="str">
        <f>IF('Excercise - Al '!P8&lt;&gt;"","IMPLEMENTER: "&amp;'Excercise - Al '!P8,"")</f>
        <v xml:space="preserve">IMPLEMENTER: 
...AL BECOMES A HURRICANE AS IT NEARS THE NORTH COAST OF NICARAGUA...
SUMMARY OF 1100 PM EDT...0300 UTC...INFORMATION
-----------------------------------------------
LOCATION...15.50 N 77.10 W
ABOUT 172 MILES...277 KM...SOUTH SOUTHEAST OF KINGSTON JAMAICA 
ABOUT 366 MILES...589 KM...NORTH-NORTHWEST OF CARTAGENA COLUMBIA 
MAXIMUM SUSTAINED WINDS...85 MPH...137 KM/HR
PRESENT MOVEMENT...WNW OR 284 DEGREES AT 12 MPH...19 KM/HR
MINIMUM CENTRAL PRESSURE...980 MB...28.94 INCHES
</v>
      </c>
      <c r="H8" s="63" t="str">
        <f>IF('Excercise - Al '!N8&lt;&gt;"","EXPECTED ACTIONS: "&amp;'Excercise - Al '!N8,"")</f>
        <v/>
      </c>
      <c r="I8" s="63" t="str">
        <f>'Excercise - Al '!R8</f>
        <v>Keane</v>
      </c>
    </row>
    <row r="9" spans="1:9" s="24" customFormat="1" ht="270">
      <c r="A9" s="63">
        <f>'Excercise - Al '!A9</f>
        <v>8</v>
      </c>
      <c r="B9" s="63"/>
      <c r="C9" s="64">
        <f>'Excercise - Al '!E9</f>
        <v>40300.166666666664</v>
      </c>
      <c r="D9" s="63" t="str">
        <f>IF('Excercise - Al '!F9&lt;&gt;0,'Excercise - Al '!F9,"")</f>
        <v>INFO</v>
      </c>
      <c r="E9" s="63" t="str">
        <f>IF('Excercise - Al '!G9&lt;&gt;"","MODE: "&amp;'Excercise - Al '!G9,"")&amp;IF('Excercise - Al '!H9&lt;&gt;"","   FROM: "&amp;'Excercise - Al '!H9,"")&amp;IF('Excercise - Al '!I9&lt;&gt;"","   INJECTED BY: "&amp;'Excercise - Al '!I9,"")&amp;IF('Excercise - Al '!J9&lt;&gt;"","   SEND TO: "&amp;'Excercise - Al '!J9,"")</f>
        <v>MODE: Email   FROM: Simcell - National Hurricane Center   INJECTED BY: KEANE   SEND TO: JOC, All</v>
      </c>
      <c r="F9" s="63" t="str">
        <f>IF('Excercise - Al '!K9&lt;&gt;"","STORYLINE: "&amp;'Excercise - Al '!K9,"")&amp;IF('Excercise - Al '!M9&lt;&gt;"","   DESCRIPTION: "&amp;'Excercise - Al '!M9,"")&amp;IF('Excercise - Al '!O9&lt;&gt;"","   NOTES/REMARKS: "&amp;'Excercise - Al '!O9,"")&amp;IF('Excercise - Al '!Q9&lt;&gt;"","   BACKGROUND INFO: "&amp;'Excercise - Al '!Q9,"")</f>
        <v>STORYLINE: Tropical Storm Al Update 4   DESCRIPTION: Tropical Storm Al Update 4</v>
      </c>
      <c r="G9" s="63" t="str">
        <f>IF('Excercise - Al '!P9&lt;&gt;"","IMPLEMENTER: "&amp;'Excercise - Al '!P9,"")</f>
        <v xml:space="preserve">IMPLEMENTER: 
...AL REMAINS A CAT 1 HURRICANE MOVING EAST TO WEST...SOUTH OF JAMAICA...GAINING STRENGTH...
SUMMARY OF 0500 AM EDT...0900 UTC...INFORMATION
-----------------------------------------------
LOCATION...15.90 N 78.10 W
ABOUT 159 MILES... 255 KM... SOUTH NEGRIL JAMAICA 
ABOUT 317 MILES... 510 KM... SOUTHEAST OF GEORGE TOWN CAYMAN ISLANDS 
ABOUT 375 MILES... 604 KM... EAST-NORTHEAST OF PUERTO CABEZAS NICARAGUA 
MAXIMUM SUSTAINED WINDS...85 MPH...137 KM/HR
PRESENT MOVEMENT...WNW OR 282 DEGREES AT 12 MPH...19 KM/HR
MINIMUM CENTRAL PRESSURE...979 MB...28.91 INCHES
</v>
      </c>
      <c r="H9" s="63" t="str">
        <f>IF('Excercise - Al '!N9&lt;&gt;"","EXPECTED ACTIONS: "&amp;'Excercise - Al '!N9,"")</f>
        <v/>
      </c>
      <c r="I9" s="63" t="str">
        <f>'Excercise - Al '!R9</f>
        <v>Keane</v>
      </c>
    </row>
    <row r="10" spans="1:9" s="24" customFormat="1" ht="22.5">
      <c r="A10" s="63">
        <f>'Excercise - Al '!A10</f>
        <v>9</v>
      </c>
      <c r="B10" s="63"/>
      <c r="C10" s="64">
        <f>'Excercise - Al '!E10</f>
        <v>40300.208333333336</v>
      </c>
      <c r="D10" s="63" t="str">
        <f>IF('Excercise - Al '!F10&lt;&gt;0,'Excercise - Al '!F10,"")</f>
        <v>INFO</v>
      </c>
      <c r="E10" s="63" t="str">
        <f>IF('Excercise - Al '!G10&lt;&gt;"","MODE: "&amp;'Excercise - Al '!G10,"")&amp;IF('Excercise - Al '!H10&lt;&gt;"","   FROM: "&amp;'Excercise - Al '!H10,"")&amp;IF('Excercise - Al '!I10&lt;&gt;"","   INJECTED BY: "&amp;'Excercise - Al '!I10,"")&amp;IF('Excercise - Al '!J10&lt;&gt;"","   SEND TO: "&amp;'Excercise - Al '!J10,"")</f>
        <v/>
      </c>
      <c r="F10" s="63" t="str">
        <f>IF('Excercise - Al '!K10&lt;&gt;"","STORYLINE: "&amp;'Excercise - Al '!K10,"")&amp;IF('Excercise - Al '!M10&lt;&gt;"","   DESCRIPTION: "&amp;'Excercise - Al '!M10,"")&amp;IF('Excercise - Al '!O10&lt;&gt;"","   NOTES/REMARKS: "&amp;'Excercise - Al '!O10,"")&amp;IF('Excercise - Al '!Q10&lt;&gt;"","   BACKGROUND INFO: "&amp;'Excercise - Al '!Q10,"")</f>
        <v>STORYLINE: Tropical Storm Al Update 5   DESCRIPTION: Tropical Storm Al Update 5</v>
      </c>
      <c r="G10" s="63" t="str">
        <f>IF('Excercise - Al '!P10&lt;&gt;"","IMPLEMENTER: "&amp;'Excercise - Al '!P10,"")</f>
        <v/>
      </c>
      <c r="H10" s="63" t="str">
        <f>IF('Excercise - Al '!N10&lt;&gt;"","EXPECTED ACTIONS: "&amp;'Excercise - Al '!N10,"")</f>
        <v/>
      </c>
      <c r="I10" s="63" t="str">
        <f>'Excercise - Al '!R10</f>
        <v>Jenne</v>
      </c>
    </row>
    <row r="11" spans="1:9" s="24" customFormat="1" ht="236.25">
      <c r="A11" s="63">
        <f>'Excercise - Al '!A11</f>
        <v>10</v>
      </c>
      <c r="B11" s="63"/>
      <c r="C11" s="64">
        <f>'Excercise - Al '!E11</f>
        <v>40300.416666666664</v>
      </c>
      <c r="D11" s="63" t="str">
        <f>IF('Excercise - Al '!F11&lt;&gt;0,'Excercise - Al '!F11,"")</f>
        <v>INFO</v>
      </c>
      <c r="E11" s="63" t="str">
        <f>IF('Excercise - Al '!G11&lt;&gt;"","MODE: "&amp;'Excercise - Al '!G11,"")&amp;IF('Excercise - Al '!H11&lt;&gt;"","   FROM: "&amp;'Excercise - Al '!H11,"")&amp;IF('Excercise - Al '!I11&lt;&gt;"","   INJECTED BY: "&amp;'Excercise - Al '!I11,"")&amp;IF('Excercise - Al '!J11&lt;&gt;"","   SEND TO: "&amp;'Excercise - Al '!J11,"")</f>
        <v>MODE: Email   FROM: Simcell - National Hurricane Center   INJECTED BY: KEANE   SEND TO: JOC, All</v>
      </c>
      <c r="F11" s="63" t="str">
        <f>IF('Excercise - Al '!K11&lt;&gt;"","STORYLINE: "&amp;'Excercise - Al '!K11,"")&amp;IF('Excercise - Al '!M11&lt;&gt;"","   DESCRIPTION: "&amp;'Excercise - Al '!M11,"")&amp;IF('Excercise - Al '!O11&lt;&gt;"","   NOTES/REMARKS: "&amp;'Excercise - Al '!O11,"")&amp;IF('Excercise - Al '!Q11&lt;&gt;"","   BACKGROUND INFO: "&amp;'Excercise - Al '!Q11,"")</f>
        <v>STORYLINE: Tropical Storm Al Update 6   DESCRIPTION: Tropical Storm Al Update 6</v>
      </c>
      <c r="G11" s="63" t="str">
        <f>IF('Excercise - Al '!P11&lt;&gt;"","IMPLEMENTER: "&amp;'Excercise - Al '!P11,"")</f>
        <v xml:space="preserve">IMPLEMENTER: 
... HURRICANE AL TRACKS TOWARD THE YUCATAN...
SUMMARY OF 1100 AM EDT...0900 UTC...INFORMATION
-----------------------------------------------
LOCATION...16.3N 79.0W
ABOUT 257 MILES... 321 KM...SOUTH SOUTHEAST OF GEORGE TOWN CAYMAN ISLANDS 
ABOUT 137 MILES... 222 KM...SOUTH OF NEGRIL JAMAICA 
MAXIMUM SUSTAINED WINDS...85 MPH...137 KM/HR
PRESENT MOVEMENT...WNW OR 284 DEGREES AT 12 MPH...19 KM/HR
MINIMUM CENTRAL PRESSURE...977 MB...28.85 INCHES
</v>
      </c>
      <c r="H11" s="63" t="str">
        <f>IF('Excercise - Al '!N11&lt;&gt;"","EXPECTED ACTIONS: "&amp;'Excercise - Al '!N11,"")</f>
        <v/>
      </c>
      <c r="I11" s="63" t="str">
        <f>'Excercise - Al '!R11</f>
        <v>Keane</v>
      </c>
    </row>
    <row r="12" spans="1:9" s="24" customFormat="1" ht="101.25">
      <c r="A12" s="63">
        <f>'Excercise - Al '!A12</f>
        <v>11</v>
      </c>
      <c r="B12" s="63"/>
      <c r="C12" s="64">
        <f>'Excercise - Al '!E12</f>
        <v>40300.5</v>
      </c>
      <c r="D12" s="63" t="str">
        <f>IF('Excercise - Al '!F12&lt;&gt;0,'Excercise - Al '!F12,"")</f>
        <v>RFI</v>
      </c>
      <c r="E12" s="63" t="str">
        <f>IF('Excercise - Al '!G12&lt;&gt;"","MODE: "&amp;'Excercise - Al '!G12,"")&amp;IF('Excercise - Al '!H12&lt;&gt;"","   FROM: "&amp;'Excercise - Al '!H12,"")&amp;IF('Excercise - Al '!I12&lt;&gt;"","   INJECTED BY: "&amp;'Excercise - Al '!I12,"")&amp;IF('Excercise - Al '!J12&lt;&gt;"","   SEND TO: "&amp;'Excercise - Al '!J12,"")</f>
        <v>MODE: Email   FROM: Each Task Force   INJECTED BY: TF S2   SEND TO: JOC, J2</v>
      </c>
      <c r="F12" s="63" t="str">
        <f>IF('Excercise - Al '!K12&lt;&gt;"","STORYLINE: "&amp;'Excercise - Al '!K12,"")&amp;IF('Excercise - Al '!M12&lt;&gt;"","   DESCRIPTION: "&amp;'Excercise - Al '!M12,"")&amp;IF('Excercise - Al '!O12&lt;&gt;"","   NOTES/REMARKS: "&amp;'Excercise - Al '!O12,"")&amp;IF('Excercise - Al '!Q12&lt;&gt;"","   BACKGROUND INFO: "&amp;'Excercise - Al '!Q12,"")</f>
        <v xml:space="preserve">   DESCRIPTION: Weather Update/Storm Track</v>
      </c>
      <c r="G12" s="63" t="str">
        <f>IF('Excercise - Al '!P12&lt;&gt;"","IMPLEMENTER: "&amp;'Excercise - Al '!P12,"")</f>
        <v>IMPLEMENTER: Weather RFI from Task Force to J2</v>
      </c>
      <c r="H12" s="63" t="str">
        <f>IF('Excercise - Al '!N12&lt;&gt;"","EXPECTED ACTIONS: "&amp;'Excercise - Al '!N12,"")</f>
        <v>EXPECTED ACTIONS: J2 Provides latest Weather and Storm Track to the TFs</v>
      </c>
      <c r="I12" s="63" t="str">
        <f>'Excercise - Al '!R12</f>
        <v>Houlton</v>
      </c>
    </row>
    <row r="13" spans="1:9" s="24" customFormat="1" ht="247.5">
      <c r="A13" s="63">
        <f>'Excercise - Al '!A13</f>
        <v>12</v>
      </c>
      <c r="B13" s="63"/>
      <c r="C13" s="64">
        <f>'Excercise - Al '!E13</f>
        <v>40300.666666666664</v>
      </c>
      <c r="D13" s="63" t="str">
        <f>IF('Excercise - Al '!F13&lt;&gt;0,'Excercise - Al '!F13,"")</f>
        <v>INFO</v>
      </c>
      <c r="E13" s="63" t="str">
        <f>IF('Excercise - Al '!G13&lt;&gt;"","MODE: "&amp;'Excercise - Al '!G13,"")&amp;IF('Excercise - Al '!H13&lt;&gt;"","   FROM: "&amp;'Excercise - Al '!H13,"")&amp;IF('Excercise - Al '!I13&lt;&gt;"","   INJECTED BY: "&amp;'Excercise - Al '!I13,"")&amp;IF('Excercise - Al '!J13&lt;&gt;"","   SEND TO: "&amp;'Excercise - Al '!J13,"")</f>
        <v>MODE: Email   FROM: Simcell - National Hurricane Center   INJECTED BY: KEANE   SEND TO: JOC, All</v>
      </c>
      <c r="F13" s="63" t="str">
        <f>IF('Excercise - Al '!K13&lt;&gt;"","STORYLINE: "&amp;'Excercise - Al '!K13,"")&amp;IF('Excercise - Al '!M13&lt;&gt;"","   DESCRIPTION: "&amp;'Excercise - Al '!M13,"")&amp;IF('Excercise - Al '!O13&lt;&gt;"","   NOTES/REMARKS: "&amp;'Excercise - Al '!O13,"")&amp;IF('Excercise - Al '!Q13&lt;&gt;"","   BACKGROUND INFO: "&amp;'Excercise - Al '!Q13,"")</f>
        <v>STORYLINE: Tropical Storm Al Update 7   DESCRIPTION: Tropical Storm Al Update 7</v>
      </c>
      <c r="G13" s="63" t="str">
        <f>IF('Excercise - Al '!P13&lt;&gt;"","IMPLEMENTER: "&amp;'Excercise - Al '!P13,"")</f>
        <v xml:space="preserve">IMPLEMENTER: 
... HURRICANE AL TRACKS TOWARD THE YUCATAN...AS A CATEGORY TWO HURRICANE...
SUMMARY OF 0500 AM EDT...0900 UTC...INFORMATION
-----------------------------------------------
LOCATION...16.7N 80.0W
ABOUT 199 MILES... 321 KM...SOUTH SOUTHEAST OF GEORGE TOWN CAYMAN ISLANDS 
ABOUT 150 MILES... 241 KM...NEGRIL JAMAICA 
MAXIMUM SUSTAINED WINDS...105 MPH...169 KM/HR
PRESENT MOVEMENT...WNW OR 292 DEGREES AT 12 MPH...19 KM/HR
MINIMUM CENTRAL PRESSURE...968 MB...28.59 INCHES
</v>
      </c>
      <c r="H13" s="63" t="str">
        <f>IF('Excercise - Al '!N13&lt;&gt;"","EXPECTED ACTIONS: "&amp;'Excercise - Al '!N13,"")</f>
        <v/>
      </c>
      <c r="I13" s="63" t="str">
        <f>'Excercise - Al '!R13</f>
        <v>Keane</v>
      </c>
    </row>
    <row r="14" spans="1:9" s="24" customFormat="1" ht="236.25">
      <c r="A14" s="63">
        <f>'Excercise - Al '!A14</f>
        <v>13</v>
      </c>
      <c r="B14" s="63"/>
      <c r="C14" s="64">
        <f>'Excercise - Al '!E14</f>
        <v>40300.916666666664</v>
      </c>
      <c r="D14" s="63" t="str">
        <f>IF('Excercise - Al '!F14&lt;&gt;0,'Excercise - Al '!F14,"")</f>
        <v>INFO</v>
      </c>
      <c r="E14" s="63" t="str">
        <f>IF('Excercise - Al '!G14&lt;&gt;"","MODE: "&amp;'Excercise - Al '!G14,"")&amp;IF('Excercise - Al '!H14&lt;&gt;"","   FROM: "&amp;'Excercise - Al '!H14,"")&amp;IF('Excercise - Al '!I14&lt;&gt;"","   INJECTED BY: "&amp;'Excercise - Al '!I14,"")&amp;IF('Excercise - Al '!J14&lt;&gt;"","   SEND TO: "&amp;'Excercise - Al '!J14,"")</f>
        <v>MODE: Email   FROM: Simcell - National Hurricane Center   INJECTED BY: KEANE   SEND TO: JOC, All</v>
      </c>
      <c r="F14" s="63" t="str">
        <f>IF('Excercise - Al '!K14&lt;&gt;"","STORYLINE: "&amp;'Excercise - Al '!K14,"")&amp;IF('Excercise - Al '!M14&lt;&gt;"","   DESCRIPTION: "&amp;'Excercise - Al '!M14,"")&amp;IF('Excercise - Al '!O14&lt;&gt;"","   NOTES/REMARKS: "&amp;'Excercise - Al '!O14,"")&amp;IF('Excercise - Al '!Q14&lt;&gt;"","   BACKGROUND INFO: "&amp;'Excercise - Al '!Q14,"")</f>
        <v>STORYLINE: Tropical Storm Al Update 8   DESCRIPTION: Tropical Storm Al Update 8</v>
      </c>
      <c r="G14" s="63" t="str">
        <f>IF('Excercise - Al '!P14&lt;&gt;"","IMPLEMENTER: "&amp;'Excercise - Al '!P14,"")</f>
        <v xml:space="preserve">IMPLEMENTER: 
... HURRICANE AL GAINS MOMENTUM AS A CATEGORY TWO HURRICANE...
SUMMARY OF 2300 PM EDT...0300 UTC...INFORMATION
-----------------------------------------------
LOCATION...17.1N 80.9W
ABOUT 184 MILES...296 KM...WEST-SOUTHWEST NEGRIL JAMAICA 
ABOUT 154 MILES...249 KM...SOUTH-SOUTHEAST OF GEORGE TOWN CAYMAN ISLANDS 
MAXIMUM SUSTAINED WINDS...105 MPH...169 KM/HR
PRESENT MOVEMENT...WNW OR 292 DEGREES AT 15 MPH...24 KM/HR
MINIMUM CENTRAL PRESSURE...963 MB...28.44 INCHES
</v>
      </c>
      <c r="H14" s="63" t="str">
        <f>IF('Excercise - Al '!N14&lt;&gt;"","EXPECTED ACTIONS: "&amp;'Excercise - Al '!N14,"")</f>
        <v/>
      </c>
      <c r="I14" s="63" t="str">
        <f>'Excercise - Al '!R14</f>
        <v>Keane</v>
      </c>
    </row>
    <row r="15" spans="1:9" s="24" customFormat="1" ht="236.25">
      <c r="A15" s="63">
        <f>'Excercise - Al '!A15</f>
        <v>14</v>
      </c>
      <c r="B15" s="63"/>
      <c r="C15" s="64">
        <f>'Excercise - Al '!E15</f>
        <v>40301.166666666664</v>
      </c>
      <c r="D15" s="63" t="str">
        <f>IF('Excercise - Al '!F15&lt;&gt;0,'Excercise - Al '!F15,"")</f>
        <v>INFO</v>
      </c>
      <c r="E15" s="63" t="str">
        <f>IF('Excercise - Al '!G15&lt;&gt;"","MODE: "&amp;'Excercise - Al '!G15,"")&amp;IF('Excercise - Al '!H15&lt;&gt;"","   FROM: "&amp;'Excercise - Al '!H15,"")&amp;IF('Excercise - Al '!I15&lt;&gt;"","   INJECTED BY: "&amp;'Excercise - Al '!I15,"")&amp;IF('Excercise - Al '!J15&lt;&gt;"","   SEND TO: "&amp;'Excercise - Al '!J15,"")</f>
        <v>MODE: Email   FROM: Simcell - National Hurricane Center   INJECTED BY: KEANE   SEND TO: JOC, All</v>
      </c>
      <c r="F15" s="63" t="str">
        <f>IF('Excercise - Al '!K15&lt;&gt;"","STORYLINE: "&amp;'Excercise - Al '!K15,"")&amp;IF('Excercise - Al '!M15&lt;&gt;"","   DESCRIPTION: "&amp;'Excercise - Al '!M15,"")&amp;IF('Excercise - Al '!O15&lt;&gt;"","   NOTES/REMARKS: "&amp;'Excercise - Al '!O15,"")&amp;IF('Excercise - Al '!Q15&lt;&gt;"","   BACKGROUND INFO: "&amp;'Excercise - Al '!Q15,"")</f>
        <v>STORYLINE: Tropical Storm Al Update 9   DESCRIPTION: Tropical Storm Al Update 9</v>
      </c>
      <c r="G15" s="63" t="str">
        <f>IF('Excercise - Al '!P15&lt;&gt;"","IMPLEMENTER: "&amp;'Excercise - Al '!P15,"")</f>
        <v xml:space="preserve">IMPLEMENTER: 
... HURRICANE AL CONTINUES ON A TRACK TOWARD COZUMEL...
SUMMARY OF 0500 AM EDT...0900 UTC...INFORMATION
-----------------------------------------------
LOCATION...17.7N 82.1W
ABOUT 250 MILES...401 KM...WEST-SOUTHWEST NEGRIL JAMAICA 
ABOUT 154 MILES...249 KM...SOUTH-SOUTHEAST OF GEORGE TOWN CAYMAN ISLANDS 
MAXIMUM SUSTAINED WINDS...105 MPH...169 KM/HR
PRESENT MOVEMENT...WNW OR 294 DEGREES AT 14 MPH...23 KM/HR
MINIMUM CENTRAL PRESSURE...960 MB...28.35 INCHES
</v>
      </c>
      <c r="H15" s="63" t="str">
        <f>IF('Excercise - Al '!N15&lt;&gt;"","EXPECTED ACTIONS: "&amp;'Excercise - Al '!N15,"")</f>
        <v/>
      </c>
      <c r="I15" s="63" t="str">
        <f>'Excercise - Al '!R15</f>
        <v>Keane</v>
      </c>
    </row>
    <row r="16" spans="1:9" s="24" customFormat="1" ht="45">
      <c r="A16" s="63">
        <f>'Excercise - Al '!A16</f>
        <v>15</v>
      </c>
      <c r="B16" s="63"/>
      <c r="C16" s="64">
        <f>'Excercise - Al '!E16</f>
        <v>40301.208333333336</v>
      </c>
      <c r="D16" s="63" t="str">
        <f>IF('Excercise - Al '!F16&lt;&gt;0,'Excercise - Al '!F16,"")</f>
        <v>31st CHEM BDE - Stands up the CAC and begins tracking storm</v>
      </c>
      <c r="E16" s="63" t="str">
        <f>IF('Excercise - Al '!G16&lt;&gt;"","MODE: "&amp;'Excercise - Al '!G16,"")&amp;IF('Excercise - Al '!H16&lt;&gt;"","   FROM: "&amp;'Excercise - Al '!H16,"")&amp;IF('Excercise - Al '!I16&lt;&gt;"","   INJECTED BY: "&amp;'Excercise - Al '!I16,"")&amp;IF('Excercise - Al '!J16&lt;&gt;"","   SEND TO: "&amp;'Excercise - Al '!J16,"")</f>
        <v>MODE: Not Injected</v>
      </c>
      <c r="F16" s="63" t="str">
        <f>IF('Excercise - Al '!K16&lt;&gt;"","STORYLINE: "&amp;'Excercise - Al '!K16,"")&amp;IF('Excercise - Al '!M16&lt;&gt;"","   DESCRIPTION: "&amp;'Excercise - Al '!M16,"")&amp;IF('Excercise - Al '!O16&lt;&gt;"","   NOTES/REMARKS: "&amp;'Excercise - Al '!O16,"")&amp;IF('Excercise - Al '!Q16&lt;&gt;"","   BACKGROUND INFO: "&amp;'Excercise - Al '!Q16,"")</f>
        <v/>
      </c>
      <c r="G16" s="63" t="str">
        <f>IF('Excercise - Al '!P16&lt;&gt;"","IMPLEMENTER: "&amp;'Excercise - Al '!P16,"")</f>
        <v/>
      </c>
      <c r="H16" s="63" t="str">
        <f>IF('Excercise - Al '!N16&lt;&gt;"","EXPECTED ACTIONS: "&amp;'Excercise - Al '!N16,"")</f>
        <v/>
      </c>
      <c r="I16" s="63" t="str">
        <f>'Excercise - Al '!R16</f>
        <v>Napier</v>
      </c>
    </row>
    <row r="17" spans="1:9" s="24" customFormat="1" ht="45">
      <c r="A17" s="63">
        <f>'Excercise - Al '!A17</f>
        <v>16</v>
      </c>
      <c r="B17" s="63"/>
      <c r="C17" s="64">
        <f>'Excercise - Al '!E17</f>
        <v>40301.208333333336</v>
      </c>
      <c r="D17" s="63" t="str">
        <f>IF('Excercise - Al '!F17&lt;&gt;0,'Excercise - Al '!F17,"")</f>
        <v>31st CHEM BDE - Alert 1165th &amp; 690th O/O Activate</v>
      </c>
      <c r="E17" s="63" t="str">
        <f>IF('Excercise - Al '!G17&lt;&gt;"","MODE: "&amp;'Excercise - Al '!G17,"")&amp;IF('Excercise - Al '!H17&lt;&gt;"","   FROM: "&amp;'Excercise - Al '!H17,"")&amp;IF('Excercise - Al '!I17&lt;&gt;"","   INJECTED BY: "&amp;'Excercise - Al '!I17,"")&amp;IF('Excercise - Al '!J17&lt;&gt;"","   SEND TO: "&amp;'Excercise - Al '!J17,"")</f>
        <v>MODE: Not Injected</v>
      </c>
      <c r="F17" s="63" t="str">
        <f>IF('Excercise - Al '!K17&lt;&gt;"","STORYLINE: "&amp;'Excercise - Al '!K17,"")&amp;IF('Excercise - Al '!M17&lt;&gt;"","   DESCRIPTION: "&amp;'Excercise - Al '!M17,"")&amp;IF('Excercise - Al '!O17&lt;&gt;"","   NOTES/REMARKS: "&amp;'Excercise - Al '!O17,"")&amp;IF('Excercise - Al '!Q17&lt;&gt;"","   BACKGROUND INFO: "&amp;'Excercise - Al '!Q17,"")</f>
        <v/>
      </c>
      <c r="G17" s="63" t="str">
        <f>IF('Excercise - Al '!P17&lt;&gt;"","IMPLEMENTER: "&amp;'Excercise - Al '!P17,"")</f>
        <v/>
      </c>
      <c r="H17" s="63" t="str">
        <f>IF('Excercise - Al '!N17&lt;&gt;"","EXPECTED ACTIONS: "&amp;'Excercise - Al '!N17,"")</f>
        <v/>
      </c>
      <c r="I17" s="63" t="str">
        <f>'Excercise - Al '!R17</f>
        <v>Napier</v>
      </c>
    </row>
    <row r="18" spans="1:9" s="24" customFormat="1" ht="56.25">
      <c r="A18" s="63">
        <f>'Excercise - Al '!A18</f>
        <v>17</v>
      </c>
      <c r="B18" s="63"/>
      <c r="C18" s="64">
        <f>'Excercise - Al '!E18</f>
        <v>40301.292361111111</v>
      </c>
      <c r="D18" s="63" t="str">
        <f>IF('Excercise - Al '!F18&lt;&gt;0,'Excercise - Al '!F18,"")</f>
        <v xml:space="preserve">LNO to SEOC </v>
      </c>
      <c r="E18" s="63" t="str">
        <f>IF('Excercise - Al '!G18&lt;&gt;"","MODE: "&amp;'Excercise - Al '!G18,"")&amp;IF('Excercise - Al '!H18&lt;&gt;"","   FROM: "&amp;'Excercise - Al '!H18,"")&amp;IF('Excercise - Al '!I18&lt;&gt;"","   INJECTED BY: "&amp;'Excercise - Al '!I18,"")&amp;IF('Excercise - Al '!J18&lt;&gt;"","   SEND TO: "&amp;'Excercise - Al '!J18,"")</f>
        <v>MODE: EMITS   FROM: SEOC LNO   INJECTED BY: SEOC LNO   SEND TO: JOC</v>
      </c>
      <c r="F18" s="63" t="str">
        <f>IF('Excercise - Al '!K18&lt;&gt;"","STORYLINE: "&amp;'Excercise - Al '!K18,"")&amp;IF('Excercise - Al '!M18&lt;&gt;"","   DESCRIPTION: "&amp;'Excercise - Al '!M18,"")&amp;IF('Excercise - Al '!O18&lt;&gt;"","   NOTES/REMARKS: "&amp;'Excercise - Al '!O18,"")&amp;IF('Excercise - Al '!Q18&lt;&gt;"","   BACKGROUND INFO: "&amp;'Excercise - Al '!Q18,"")</f>
        <v xml:space="preserve">   DESCRIPTION: NG LNO's to State EOC by 0700 4 May 10</v>
      </c>
      <c r="G18" s="63" t="str">
        <f>IF('Excercise - Al '!P18&lt;&gt;"","IMPLEMENTER: "&amp;'Excercise - Al '!P18,"")</f>
        <v>IMPLEMENTER: NG LNO's to State EOC by 0700 4 May 10</v>
      </c>
      <c r="H18" s="63" t="str">
        <f>IF('Excercise - Al '!N18&lt;&gt;"","EXPECTED ACTIONS: "&amp;'Excercise - Al '!N18,"")</f>
        <v/>
      </c>
      <c r="I18" s="63" t="str">
        <f>'Excercise - Al '!R18</f>
        <v>Keane</v>
      </c>
    </row>
    <row r="19" spans="1:9" s="24" customFormat="1" ht="157.5">
      <c r="A19" s="63">
        <f>'Excercise - Al '!A19</f>
        <v>18</v>
      </c>
      <c r="B19" s="63"/>
      <c r="C19" s="64">
        <f>'Excercise - Al '!E19</f>
        <v>40301.313194444447</v>
      </c>
      <c r="D19" s="63" t="str">
        <f>IF('Excercise - Al '!F19&lt;&gt;0,'Excercise - Al '!F19,"")</f>
        <v>RFI - Holman Prison</v>
      </c>
      <c r="E19" s="63" t="str">
        <f>IF('Excercise - Al '!G19&lt;&gt;"","MODE: "&amp;'Excercise - Al '!G19,"")&amp;IF('Excercise - Al '!H19&lt;&gt;"","   FROM: "&amp;'Excercise - Al '!H19,"")&amp;IF('Excercise - Al '!I19&lt;&gt;"","   INJECTED BY: "&amp;'Excercise - Al '!I19,"")&amp;IF('Excercise - Al '!J19&lt;&gt;"","   SEND TO: "&amp;'Excercise - Al '!J19,"")</f>
        <v>MODE: Phone Call   FROM: JTF-S White Cell (subordinnate commander)   INJECTED BY: TOMBERLIN   SEND TO: 226 MEB</v>
      </c>
      <c r="F19" s="63" t="str">
        <f>IF('Excercise - Al '!K19&lt;&gt;"","STORYLINE: "&amp;'Excercise - Al '!K19,"")&amp;IF('Excercise - Al '!M19&lt;&gt;"","   DESCRIPTION: "&amp;'Excercise - Al '!M19,"")&amp;IF('Excercise - Al '!O19&lt;&gt;"","   NOTES/REMARKS: "&amp;'Excercise - Al '!O19,"")&amp;IF('Excercise - Al '!Q19&lt;&gt;"","   BACKGROUND INFO: "&amp;'Excercise - Al '!Q19,"")</f>
        <v>STORYLINE: Holman Prison Blues   DESCRIPTION: Company commander requests guidance on soldier   NOTES/REMARKS: Inject called in on schedule. Monitoring of JOC message traffic indicates that information apparently did not make it outside of 226 MEB.</v>
      </c>
      <c r="G19" s="63" t="str">
        <f>IF('Excercise - Al '!P19&lt;&gt;"","IMPLEMENTER: "&amp;'Excercise - Al '!P19,"")</f>
        <v>IMPLEMENTER: Company commander has a soldier who is a prison guard at Holman Prison.  Soldier states that he has been directed to remain at prison and not to report to Guard.  Indicates rumors of potential inmate takeover and mass escape during hurricane.  Soldier/guard states that inmates are apparently planning a takeover while hurricane is in progress, followed by mass escape.  There are indications that they may receive external support by an affilated gang.  Soldier/guard states that prison officials are discussing requesting security assistance from Guard.</v>
      </c>
      <c r="H19" s="63" t="str">
        <f>IF('Excercise - Al '!N19&lt;&gt;"","EXPECTED ACTIONS: "&amp;'Excercise - Al '!N19,"")</f>
        <v/>
      </c>
      <c r="I19" s="63" t="str">
        <f>'Excercise - Al '!R19</f>
        <v>Jenne</v>
      </c>
    </row>
    <row r="20" spans="1:9" s="24" customFormat="1" ht="56.25">
      <c r="A20" s="63">
        <f>'Excercise - Al '!A20</f>
        <v>19</v>
      </c>
      <c r="B20" s="63"/>
      <c r="C20" s="64">
        <f>'Excercise - Al '!E20</f>
        <v>40301.313888888886</v>
      </c>
      <c r="D20" s="63" t="str">
        <f>IF('Excercise - Al '!F20&lt;&gt;0,'Excercise - Al '!F20,"")</f>
        <v>MISSION</v>
      </c>
      <c r="E20" s="63" t="str">
        <f>IF('Excercise - Al '!G20&lt;&gt;"","MODE: "&amp;'Excercise - Al '!G20,"")&amp;IF('Excercise - Al '!H20&lt;&gt;"","   FROM: "&amp;'Excercise - Al '!H20,"")&amp;IF('Excercise - Al '!I20&lt;&gt;"","   INJECTED BY: "&amp;'Excercise - Al '!I20,"")&amp;IF('Excercise - Al '!J20&lt;&gt;"","   SEND TO: "&amp;'Excercise - Al '!J20,"")</f>
        <v>MODE: EMITS   FROM: AEMA ESF 5   INJECTED BY: SEOC LNO   SEND TO: JOC</v>
      </c>
      <c r="F20" s="63" t="str">
        <f>IF('Excercise - Al '!K20&lt;&gt;"","STORYLINE: "&amp;'Excercise - Al '!K20,"")&amp;IF('Excercise - Al '!M20&lt;&gt;"","   DESCRIPTION: "&amp;'Excercise - Al '!M20,"")&amp;IF('Excercise - Al '!O20&lt;&gt;"","   NOTES/REMARKS: "&amp;'Excercise - Al '!O20,"")&amp;IF('Excercise - Al '!Q20&lt;&gt;"","   BACKGROUND INFO: "&amp;'Excercise - Al '!Q20,"")</f>
        <v xml:space="preserve">   DESCRIPTION: Provide meteorological services to SEOC (AL)</v>
      </c>
      <c r="G20" s="63" t="str">
        <f>IF('Excercise - Al '!P20&lt;&gt;"","IMPLEMENTER: "&amp;'Excercise - Al '!P20,"")</f>
        <v>IMPLEMENTER: Provide meteorological services to SEOC (AL)</v>
      </c>
      <c r="H20" s="63" t="str">
        <f>IF('Excercise - Al '!N20&lt;&gt;"","EXPECTED ACTIONS: "&amp;'Excercise - Al '!N20,"")</f>
        <v/>
      </c>
      <c r="I20" s="63" t="str">
        <f>'Excercise - Al '!R20</f>
        <v>Keane</v>
      </c>
    </row>
    <row r="21" spans="1:9" s="24" customFormat="1" ht="90">
      <c r="A21" s="63">
        <f>'Excercise - Al '!A21</f>
        <v>20</v>
      </c>
      <c r="B21" s="63"/>
      <c r="C21" s="64">
        <f>'Excercise - Al '!E21</f>
        <v>40301.333333333336</v>
      </c>
      <c r="D21" s="63" t="str">
        <f>IF('Excercise - Al '!F21&lt;&gt;0,'Excercise - Al '!F21,"")</f>
        <v>AEMA Contacts JOC</v>
      </c>
      <c r="E21" s="63" t="str">
        <f>IF('Excercise - Al '!G21&lt;&gt;"","MODE: "&amp;'Excercise - Al '!G21,"")&amp;IF('Excercise - Al '!H21&lt;&gt;"","   FROM: "&amp;'Excercise - Al '!H21,"")&amp;IF('Excercise - Al '!I21&lt;&gt;"","   INJECTED BY: "&amp;'Excercise - Al '!I21,"")&amp;IF('Excercise - Al '!J21&lt;&gt;"","   SEND TO: "&amp;'Excercise - Al '!J21,"")</f>
        <v>MODE: Phone   FROM: AEMA   INJECTED BY: ALAN PETTY   SEND TO: AL J3</v>
      </c>
      <c r="F21" s="63" t="str">
        <f>IF('Excercise - Al '!K21&lt;&gt;"","STORYLINE: "&amp;'Excercise - Al '!K21,"")&amp;IF('Excercise - Al '!M21&lt;&gt;"","   DESCRIPTION: "&amp;'Excercise - Al '!M21,"")&amp;IF('Excercise - Al '!O21&lt;&gt;"","   NOTES/REMARKS: "&amp;'Excercise - Al '!O21,"")&amp;IF('Excercise - Al '!Q21&lt;&gt;"","   BACKGROUND INFO: "&amp;'Excercise - Al '!Q21,"")</f>
        <v xml:space="preserve">   DESCRIPTION: AEMA Director contacts AL TAG/J3 to discuss hurricane response planning/operations.  </v>
      </c>
      <c r="G21" s="63" t="str">
        <f>IF('Excercise - Al '!P21&lt;&gt;"","IMPLEMENTER: "&amp;'Excercise - Al '!P21,"")</f>
        <v>IMPLEMENTER: AEMA Director contacts AL TAG/J3 to discuss hurricane response planning/operations.  AEMA Director states that they are making preliminary plans for possible Alex response operations. Suggests issuing warning orders to MACOMs for potential in-state response operations.</v>
      </c>
      <c r="H21" s="63" t="str">
        <f>IF('Excercise - Al '!N21&lt;&gt;"","EXPECTED ACTIONS: "&amp;'Excercise - Al '!N21,"")</f>
        <v/>
      </c>
      <c r="I21" s="63" t="str">
        <f>'Excercise - Al '!R21</f>
        <v>Keane</v>
      </c>
    </row>
    <row r="22" spans="1:9" s="24" customFormat="1" ht="56.25">
      <c r="A22" s="63">
        <f>'Excercise - Al '!A22</f>
        <v>21</v>
      </c>
      <c r="B22" s="63"/>
      <c r="C22" s="64">
        <f>'Excercise - Al '!E22</f>
        <v>40301.334722222222</v>
      </c>
      <c r="D22" s="63" t="str">
        <f>IF('Excercise - Al '!F22&lt;&gt;0,'Excercise - Al '!F22,"")</f>
        <v>MISSION - SASO</v>
      </c>
      <c r="E22" s="63" t="str">
        <f>IF('Excercise - Al '!G22&lt;&gt;"","MODE: "&amp;'Excercise - Al '!G22,"")&amp;IF('Excercise - Al '!H22&lt;&gt;"","   FROM: "&amp;'Excercise - Al '!H22,"")&amp;IF('Excercise - Al '!I22&lt;&gt;"","   INJECTED BY: "&amp;'Excercise - Al '!I22,"")&amp;IF('Excercise - Al '!J22&lt;&gt;"","   SEND TO: "&amp;'Excercise - Al '!J22,"")</f>
        <v>MODE: Email   FROM: simcell-SEOC   INJECTED BY: SEOC LNO   SEND TO: J35</v>
      </c>
      <c r="F22" s="63" t="str">
        <f>IF('Excercise - Al '!K22&lt;&gt;"","STORYLINE: "&amp;'Excercise - Al '!K22,"")&amp;IF('Excercise - Al '!M22&lt;&gt;"","   DESCRIPTION: "&amp;'Excercise - Al '!M22,"")&amp;IF('Excercise - Al '!O22&lt;&gt;"","   NOTES/REMARKS: "&amp;'Excercise - Al '!O22,"")&amp;IF('Excercise - Al '!Q22&lt;&gt;"","   BACKGROUND INFO: "&amp;'Excercise - Al '!Q22,"")</f>
        <v>STORYLINE: SASO   DESCRIPTION: SASO Request</v>
      </c>
      <c r="G22" s="63" t="str">
        <f>IF('Excercise - Al '!P22&lt;&gt;"","IMPLEMENTER: "&amp;'Excercise - Al '!P22,"")</f>
        <v xml:space="preserve">IMPLEMENTER: Email Emits message'  AEMA SEOC Request ALNG Provide SASO to MAFB </v>
      </c>
      <c r="H22" s="63" t="str">
        <f>IF('Excercise - Al '!N22&lt;&gt;"","EXPECTED ACTIONS: "&amp;'Excercise - Al '!N22,"")</f>
        <v>EXPECTED ACTIONS: EOC contacts 122CSG</v>
      </c>
      <c r="I22" s="63" t="str">
        <f>'Excercise - Al '!R22</f>
        <v>Messer</v>
      </c>
    </row>
    <row r="23" spans="1:9" s="24" customFormat="1" ht="56.25">
      <c r="A23" s="63">
        <f>'Excercise - Al '!A23</f>
        <v>22</v>
      </c>
      <c r="B23" s="63"/>
      <c r="C23" s="64">
        <f>'Excercise - Al '!E23</f>
        <v>40301.335416666669</v>
      </c>
      <c r="D23" s="63" t="str">
        <f>IF('Excercise - Al '!F23&lt;&gt;0,'Excercise - Al '!F23,"")</f>
        <v>MISSION - SEOC LOG CELL</v>
      </c>
      <c r="E23" s="63" t="str">
        <f>IF('Excercise - Al '!G23&lt;&gt;"","MODE: "&amp;'Excercise - Al '!G23,"")&amp;IF('Excercise - Al '!H23&lt;&gt;"","   FROM: "&amp;'Excercise - Al '!H23,"")&amp;IF('Excercise - Al '!I23&lt;&gt;"","   INJECTED BY: "&amp;'Excercise - Al '!I23,"")&amp;IF('Excercise - Al '!J23&lt;&gt;"","   SEND TO: "&amp;'Excercise - Al '!J23,"")</f>
        <v>MODE: Email   FROM: simcell-SEOC   INJECTED BY: SEOC LNO   SEND TO: J35</v>
      </c>
      <c r="F23" s="63" t="str">
        <f>IF('Excercise - Al '!K23&lt;&gt;"","STORYLINE: "&amp;'Excercise - Al '!K23,"")&amp;IF('Excercise - Al '!M23&lt;&gt;"","   DESCRIPTION: "&amp;'Excercise - Al '!M23,"")&amp;IF('Excercise - Al '!O23&lt;&gt;"","   NOTES/REMARKS: "&amp;'Excercise - Al '!O23,"")&amp;IF('Excercise - Al '!Q23&lt;&gt;"","   BACKGROUND INFO: "&amp;'Excercise - Al '!Q23,"")</f>
        <v>STORYLINE: SEOC Log Cell   DESCRIPTION: SEOC Log Cell Request</v>
      </c>
      <c r="G23" s="63" t="str">
        <f>IF('Excercise - Al '!P23&lt;&gt;"","IMPLEMENTER: "&amp;'Excercise - Al '!P23,"")</f>
        <v>IMPLEMENTER: Email Emits message'  AEMA SEOC Request ALNG Provide SEOC Log Cell to Clanton Al.</v>
      </c>
      <c r="H23" s="63" t="str">
        <f>IF('Excercise - Al '!N23&lt;&gt;"","EXPECTED ACTIONS: "&amp;'Excercise - Al '!N23,"")</f>
        <v>EXPECTED ACTIONS: EOC contacts 122CSG</v>
      </c>
      <c r="I23" s="63" t="str">
        <f>'Excercise - Al '!R23</f>
        <v>Messer</v>
      </c>
    </row>
    <row r="24" spans="1:9" s="24" customFormat="1" ht="101.25">
      <c r="A24" s="63">
        <f>'Excercise - Al '!A24</f>
        <v>23</v>
      </c>
      <c r="B24" s="63"/>
      <c r="C24" s="64">
        <f>'Excercise - Al '!E24</f>
        <v>40301.354166666664</v>
      </c>
      <c r="D24" s="63" t="str">
        <f>IF('Excercise - Al '!F24&lt;&gt;0,'Excercise - Al '!F24,"")</f>
        <v>INFO</v>
      </c>
      <c r="E24" s="63" t="str">
        <f>IF('Excercise - Al '!G24&lt;&gt;"","MODE: "&amp;'Excercise - Al '!G24,"")&amp;IF('Excercise - Al '!H24&lt;&gt;"","   FROM: "&amp;'Excercise - Al '!H24,"")&amp;IF('Excercise - Al '!I24&lt;&gt;"","   INJECTED BY: "&amp;'Excercise - Al '!I24,"")&amp;IF('Excercise - Al '!J24&lt;&gt;"","   SEND TO: "&amp;'Excercise - Al '!J24,"")</f>
        <v>MODE: Phone   FROM: simcell-citizen   INJECTED BY: HOWARD   SEND TO: Message Center</v>
      </c>
      <c r="F24" s="63" t="str">
        <f>IF('Excercise - Al '!K24&lt;&gt;"","STORYLINE: "&amp;'Excercise - Al '!K24,"")&amp;IF('Excercise - Al '!M24&lt;&gt;"","   DESCRIPTION: "&amp;'Excercise - Al '!M24,"")&amp;IF('Excercise - Al '!O24&lt;&gt;"","   NOTES/REMARKS: "&amp;'Excercise - Al '!O24,"")&amp;IF('Excercise - Al '!Q24&lt;&gt;"","   BACKGROUND INFO: "&amp;'Excercise - Al '!Q24,"")</f>
        <v>STORYLINE: MVC/ Fatality   DESCRIPTION: Report of Accident</v>
      </c>
      <c r="G24" s="63" t="str">
        <f>IF('Excercise - Al '!P24&lt;&gt;"","IMPLEMENTER: "&amp;'Excercise - Al '!P24,"")</f>
        <v>IMPLEMENTER: Citizen:  I am a retired ARNG member and I just say one of your Humvee's run a stop sign and hit a mini van, and flipped it and it ran off the road.  I didn't see anyone get out of either vehicle.  I have called 911, just thought you guys wanted to know.</v>
      </c>
      <c r="H24" s="63" t="str">
        <f>IF('Excercise - Al '!N24&lt;&gt;"","EXPECTED ACTIONS: "&amp;'Excercise - Al '!N24,"")</f>
        <v>EXPECTED ACTIONS: EOC RFIs MACOMS regarding report of accident/vehicles on road</v>
      </c>
      <c r="I24" s="63" t="str">
        <f>'Excercise - Al '!R24</f>
        <v>Messer</v>
      </c>
    </row>
    <row r="25" spans="1:9" s="24" customFormat="1" ht="56.25">
      <c r="A25" s="63">
        <f>'Excercise - Al '!A25</f>
        <v>24</v>
      </c>
      <c r="B25" s="63"/>
      <c r="C25" s="64">
        <f>'Excercise - Al '!E25</f>
        <v>40301.375694444447</v>
      </c>
      <c r="D25" s="63" t="str">
        <f>IF('Excercise - Al '!F25&lt;&gt;0,'Excercise - Al '!F25,"")</f>
        <v>INFO</v>
      </c>
      <c r="E25" s="63" t="str">
        <f>IF('Excercise - Al '!G25&lt;&gt;"","MODE: "&amp;'Excercise - Al '!G25,"")&amp;IF('Excercise - Al '!H25&lt;&gt;"","   FROM: "&amp;'Excercise - Al '!H25,"")&amp;IF('Excercise - Al '!I25&lt;&gt;"","   INJECTED BY: "&amp;'Excercise - Al '!I25,"")&amp;IF('Excercise - Al '!J25&lt;&gt;"","   SEND TO: "&amp;'Excercise - Al '!J25,"")</f>
        <v>MODE: Email   FROM: JIEE   INJECTED BY: KAHL   SEND TO: JOC</v>
      </c>
      <c r="F25" s="63" t="str">
        <f>IF('Excercise - Al '!K25&lt;&gt;"","STORYLINE: "&amp;'Excercise - Al '!K25,"")&amp;IF('Excercise - Al '!M25&lt;&gt;"","   DESCRIPTION: "&amp;'Excercise - Al '!M25,"")&amp;IF('Excercise - Al '!O25&lt;&gt;"","   NOTES/REMARKS: "&amp;'Excercise - Al '!O25,"")&amp;IF('Excercise - Al '!Q25&lt;&gt;"","   BACKGROUND INFO: "&amp;'Excercise - Al '!Q25,"")</f>
        <v>STORYLINE: Set NGB Conference call up on DCO</v>
      </c>
      <c r="G25" s="63" t="str">
        <f>IF('Excercise - Al '!P25&lt;&gt;"","IMPLEMENTER: "&amp;'Excercise - Al '!P25,"")</f>
        <v/>
      </c>
      <c r="H25" s="63" t="str">
        <f>IF('Excercise - Al '!N25&lt;&gt;"","EXPECTED ACTIONS: "&amp;'Excercise - Al '!N25,"")</f>
        <v/>
      </c>
      <c r="I25" s="63" t="str">
        <f>'Excercise - Al '!R25</f>
        <v>Kahl</v>
      </c>
    </row>
    <row r="26" spans="1:9" s="24" customFormat="1" ht="67.5">
      <c r="A26" s="63">
        <f>'Excercise - Al '!A26</f>
        <v>25</v>
      </c>
      <c r="B26" s="63"/>
      <c r="C26" s="64">
        <f>'Excercise - Al '!E26</f>
        <v>40301.376388888893</v>
      </c>
      <c r="D26" s="63" t="str">
        <f>IF('Excercise - Al '!F26&lt;&gt;0,'Excercise - Al '!F26,"")</f>
        <v>INFO</v>
      </c>
      <c r="E26" s="63" t="str">
        <f>IF('Excercise - Al '!G26&lt;&gt;"","MODE: "&amp;'Excercise - Al '!G26,"")&amp;IF('Excercise - Al '!H26&lt;&gt;"","   FROM: "&amp;'Excercise - Al '!H26,"")&amp;IF('Excercise - Al '!I26&lt;&gt;"","   INJECTED BY: "&amp;'Excercise - Al '!I26,"")&amp;IF('Excercise - Al '!J26&lt;&gt;"","   SEND TO: "&amp;'Excercise - Al '!J26,"")</f>
        <v>MODE: Phone   FROM: simcell_LNO   INJECTED BY: SEOC LNO   SEND TO: J35</v>
      </c>
      <c r="F26" s="63" t="str">
        <f>IF('Excercise - Al '!K26&lt;&gt;"","STORYLINE: "&amp;'Excercise - Al '!K26,"")&amp;IF('Excercise - Al '!M26&lt;&gt;"","   DESCRIPTION: "&amp;'Excercise - Al '!M26,"")&amp;IF('Excercise - Al '!O26&lt;&gt;"","   NOTES/REMARKS: "&amp;'Excercise - Al '!O26,"")&amp;IF('Excercise - Al '!Q26&lt;&gt;"","   BACKGROUND INFO: "&amp;'Excercise - Al '!Q26,"")</f>
        <v>STORYLINE: Contra Flow   DESCRIPTION: Informal message from LNO</v>
      </c>
      <c r="G26" s="63" t="str">
        <f>IF('Excercise - Al '!P26&lt;&gt;"","IMPLEMENTER: "&amp;'Excercise - Al '!P26,"")</f>
        <v>IMPLEMENTER: I just heard that the Governor is probably going to order contra flow on I 65 sometimes tomorrow morning.  I will let you know more as I hear it.</v>
      </c>
      <c r="H26" s="63" t="str">
        <f>IF('Excercise - Al '!N26&lt;&gt;"","EXPECTED ACTIONS: "&amp;'Excercise - Al '!N26,"")</f>
        <v>EXPECTED ACTIONS: WARNO to 62nd Troop Command</v>
      </c>
      <c r="I26" s="63" t="str">
        <f>'Excercise - Al '!R26</f>
        <v>Messer</v>
      </c>
    </row>
    <row r="27" spans="1:9" s="24" customFormat="1" ht="56.25">
      <c r="A27" s="63">
        <f>'Excercise - Al '!A27</f>
        <v>26</v>
      </c>
      <c r="B27" s="63"/>
      <c r="C27" s="64">
        <f>'Excercise - Al '!E27</f>
        <v>40301.37708333334</v>
      </c>
      <c r="D27" s="63" t="str">
        <f>IF('Excercise - Al '!F27&lt;&gt;0,'Excercise - Al '!F27,"")</f>
        <v>INFO</v>
      </c>
      <c r="E27" s="63" t="str">
        <f>IF('Excercise - Al '!G27&lt;&gt;"","MODE: "&amp;'Excercise - Al '!G27,"")&amp;IF('Excercise - Al '!H27&lt;&gt;"","   FROM: "&amp;'Excercise - Al '!H27,"")&amp;IF('Excercise - Al '!I27&lt;&gt;"","   INJECTED BY: "&amp;'Excercise - Al '!I27,"")&amp;IF('Excercise - Al '!J27&lt;&gt;"","   SEND TO: "&amp;'Excercise - Al '!J27,"")</f>
        <v>MODE: Email   FROM: NGB   INJECTED BY: KAHL   SEND TO: JOC</v>
      </c>
      <c r="F27" s="63" t="str">
        <f>IF('Excercise - Al '!K27&lt;&gt;"","STORYLINE: "&amp;'Excercise - Al '!K27,"")&amp;IF('Excercise - Al '!M27&lt;&gt;"","   DESCRIPTION: "&amp;'Excercise - Al '!M27,"")&amp;IF('Excercise - Al '!O27&lt;&gt;"","   NOTES/REMARKS: "&amp;'Excercise - Al '!O27,"")&amp;IF('Excercise - Al '!Q27&lt;&gt;"","   BACKGROUND INFO: "&amp;'Excercise - Al '!Q27,"")</f>
        <v>STORYLINE: Set up event and Share with NGB</v>
      </c>
      <c r="G27" s="63" t="str">
        <f>IF('Excercise - Al '!P27&lt;&gt;"","IMPLEMENTER: "&amp;'Excercise - Al '!P27,"")</f>
        <v/>
      </c>
      <c r="H27" s="63" t="str">
        <f>IF('Excercise - Al '!N27&lt;&gt;"","EXPECTED ACTIONS: "&amp;'Excercise - Al '!N27,"")</f>
        <v/>
      </c>
      <c r="I27" s="63" t="str">
        <f>'Excercise - Al '!R27</f>
        <v>Kahl</v>
      </c>
    </row>
    <row r="28" spans="1:9" s="24" customFormat="1" ht="56.25">
      <c r="A28" s="63">
        <f>'Excercise - Al '!A28</f>
        <v>27</v>
      </c>
      <c r="B28" s="63"/>
      <c r="C28" s="64">
        <f>'Excercise - Al '!E28</f>
        <v>40301.377777777787</v>
      </c>
      <c r="D28" s="63" t="str">
        <f>IF('Excercise - Al '!F28&lt;&gt;0,'Excercise - Al '!F28,"")</f>
        <v>RFI</v>
      </c>
      <c r="E28" s="63" t="str">
        <f>IF('Excercise - Al '!G28&lt;&gt;"","MODE: "&amp;'Excercise - Al '!G28,"")&amp;IF('Excercise - Al '!H28&lt;&gt;"","   FROM: "&amp;'Excercise - Al '!H28,"")&amp;IF('Excercise - Al '!I28&lt;&gt;"","   INJECTED BY: "&amp;'Excercise - Al '!I28,"")&amp;IF('Excercise - Al '!J28&lt;&gt;"","   SEND TO: "&amp;'Excercise - Al '!J28,"")</f>
        <v>MODE: JIEE   FROM: JIEE   INJECTED BY: KAHL   SEND TO: JOC</v>
      </c>
      <c r="F28" s="63" t="str">
        <f>IF('Excercise - Al '!K28&lt;&gt;"","STORYLINE: "&amp;'Excercise - Al '!K28,"")&amp;IF('Excercise - Al '!M28&lt;&gt;"","   DESCRIPTION: "&amp;'Excercise - Al '!M28,"")&amp;IF('Excercise - Al '!O28&lt;&gt;"","   NOTES/REMARKS: "&amp;'Excercise - Al '!O28,"")&amp;IF('Excercise - Al '!Q28&lt;&gt;"","   BACKGROUND INFO: "&amp;'Excercise - Al '!Q28,"")</f>
        <v>STORYLINE: Does the JOC need a JET or PARRT   DESCRIPTION: Request for JET</v>
      </c>
      <c r="G28" s="63" t="str">
        <f>IF('Excercise - Al '!P28&lt;&gt;"","IMPLEMENTER: "&amp;'Excercise - Al '!P28,"")</f>
        <v/>
      </c>
      <c r="H28" s="63" t="str">
        <f>IF('Excercise - Al '!N28&lt;&gt;"","EXPECTED ACTIONS: "&amp;'Excercise - Al '!N28,"")</f>
        <v/>
      </c>
      <c r="I28" s="63" t="str">
        <f>'Excercise - Al '!R28</f>
        <v>Kahl</v>
      </c>
    </row>
    <row r="29" spans="1:9" s="24" customFormat="1" ht="56.25">
      <c r="A29" s="63">
        <f>'Excercise - Al '!A29</f>
        <v>28</v>
      </c>
      <c r="B29" s="63"/>
      <c r="C29" s="64">
        <f>'Excercise - Al '!E29</f>
        <v>40301.378472222234</v>
      </c>
      <c r="D29" s="63" t="str">
        <f>IF('Excercise - Al '!F29&lt;&gt;0,'Excercise - Al '!F29,"")</f>
        <v>INFO</v>
      </c>
      <c r="E29" s="63" t="str">
        <f>IF('Excercise - Al '!G29&lt;&gt;"","MODE: "&amp;'Excercise - Al '!G29,"")&amp;IF('Excercise - Al '!H29&lt;&gt;"","   FROM: "&amp;'Excercise - Al '!H29,"")&amp;IF('Excercise - Al '!I29&lt;&gt;"","   INJECTED BY: "&amp;'Excercise - Al '!I29,"")&amp;IF('Excercise - Al '!J29&lt;&gt;"","   SEND TO: "&amp;'Excercise - Al '!J29,"")</f>
        <v xml:space="preserve">   INJECTED BY: SEOC LNO</v>
      </c>
      <c r="F29" s="63" t="str">
        <f>IF('Excercise - Al '!K29&lt;&gt;"","STORYLINE: "&amp;'Excercise - Al '!K29,"")&amp;IF('Excercise - Al '!M29&lt;&gt;"","   DESCRIPTION: "&amp;'Excercise - Al '!M29,"")&amp;IF('Excercise - Al '!O29&lt;&gt;"","   NOTES/REMARKS: "&amp;'Excercise - Al '!O29,"")&amp;IF('Excercise - Al '!Q29&lt;&gt;"","   BACKGROUND INFO: "&amp;'Excercise - Al '!Q29,"")</f>
        <v xml:space="preserve">   DESCRIPTION: The State Emergency Response Team (SERT) is recalled to the State Emergency Operations Center (SEOC (AL)) and activated at Level 1 effective 0900 3 May 2010.</v>
      </c>
      <c r="G29" s="63" t="str">
        <f>IF('Excercise - Al '!P29&lt;&gt;"","IMPLEMENTER: "&amp;'Excercise - Al '!P29,"")</f>
        <v>IMPLEMENTER: The State Emergency Response Team (SERT) is recalled to the State Emergency Operations Center (SEOC (AL)) and activated at Level 1 effective 0900 3 May 2010.</v>
      </c>
      <c r="H29" s="63" t="str">
        <f>IF('Excercise - Al '!N29&lt;&gt;"","EXPECTED ACTIONS: "&amp;'Excercise - Al '!N29,"")</f>
        <v/>
      </c>
      <c r="I29" s="63" t="str">
        <f>'Excercise - Al '!R29</f>
        <v>Keane</v>
      </c>
    </row>
    <row r="30" spans="1:9" s="24" customFormat="1" ht="56.25">
      <c r="A30" s="63">
        <f>'Excercise - Al '!A30</f>
        <v>29</v>
      </c>
      <c r="B30" s="63"/>
      <c r="C30" s="64">
        <f>'Excercise - Al '!E30</f>
        <v>40301.37916666668</v>
      </c>
      <c r="D30" s="63" t="str">
        <f>IF('Excercise - Al '!F30&lt;&gt;0,'Excercise - Al '!F30,"")</f>
        <v>MISSION</v>
      </c>
      <c r="E30" s="63" t="str">
        <f>IF('Excercise - Al '!G30&lt;&gt;"","MODE: "&amp;'Excercise - Al '!G30,"")&amp;IF('Excercise - Al '!H30&lt;&gt;"","   FROM: "&amp;'Excercise - Al '!H30,"")&amp;IF('Excercise - Al '!I30&lt;&gt;"","   INJECTED BY: "&amp;'Excercise - Al '!I30,"")&amp;IF('Excercise - Al '!J30&lt;&gt;"","   SEND TO: "&amp;'Excercise - Al '!J30,"")</f>
        <v>MODE: Email   FROM: USPFO, S&amp;S   INJECTED BY: DENNIS   SEND TO: JOC J4</v>
      </c>
      <c r="F30" s="63" t="str">
        <f>IF('Excercise - Al '!K30&lt;&gt;"","STORYLINE: "&amp;'Excercise - Al '!K30,"")&amp;IF('Excercise - Al '!M30&lt;&gt;"","   DESCRIPTION: "&amp;'Excercise - Al '!M30,"")&amp;IF('Excercise - Al '!O30&lt;&gt;"","   NOTES/REMARKS: "&amp;'Excercise - Al '!O30,"")&amp;IF('Excercise - Al '!Q30&lt;&gt;"","   BACKGROUND INFO: "&amp;'Excercise - Al '!Q30,"")</f>
        <v xml:space="preserve">   DESCRIPTION: USPFO  Warehouse to push 20 pallets of MREs and 20 pallets of bottled water to Ft McClellan, AL (pre-positioning for soldier support).   BACKGROUND INFO: USPFO Warehouse SOP, SA only</v>
      </c>
      <c r="G30" s="63" t="str">
        <f>IF('Excercise - Al '!P30&lt;&gt;"","IMPLEMENTER: "&amp;'Excercise - Al '!P30,"")</f>
        <v>IMPLEMENTER: USPFO  Warehouse to push 20 pallets of MREs and 20 pallets of bottled water to Ft McClellan, AL (pre-positioning for soldier support).</v>
      </c>
      <c r="H30" s="63" t="str">
        <f>IF('Excercise - Al '!N30&lt;&gt;"","EXPECTED ACTIONS: "&amp;'Excercise - Al '!N30,"")</f>
        <v/>
      </c>
      <c r="I30" s="63" t="str">
        <f>'Excercise - Al '!R30</f>
        <v>Keane</v>
      </c>
    </row>
    <row r="31" spans="1:9" s="24" customFormat="1" ht="78.75">
      <c r="A31" s="63">
        <f>'Excercise - Al '!A31</f>
        <v>30</v>
      </c>
      <c r="B31" s="63"/>
      <c r="C31" s="64">
        <f>'Excercise - Al '!E31</f>
        <v>40301.380555555574</v>
      </c>
      <c r="D31" s="63" t="str">
        <f>IF('Excercise - Al '!F31&lt;&gt;0,'Excercise - Al '!F31,"")</f>
        <v>INFO - Evacuation</v>
      </c>
      <c r="E31" s="63" t="str">
        <f>IF('Excercise - Al '!G31&lt;&gt;"","MODE: "&amp;'Excercise - Al '!G31,"")&amp;IF('Excercise - Al '!H31&lt;&gt;"","   FROM: "&amp;'Excercise - Al '!H31,"")&amp;IF('Excercise - Al '!I31&lt;&gt;"","   INJECTED BY: "&amp;'Excercise - Al '!I31,"")&amp;IF('Excercise - Al '!J31&lt;&gt;"","   SEND TO: "&amp;'Excercise - Al '!J31,"")</f>
        <v xml:space="preserve">   INJECTED BY: SEOC LNO</v>
      </c>
      <c r="F31" s="63" t="str">
        <f>IF('Excercise - Al '!K31&lt;&gt;"","STORYLINE: "&amp;'Excercise - Al '!K31,"")&amp;IF('Excercise - Al '!M31&lt;&gt;"","   DESCRIPTION: "&amp;'Excercise - Al '!M31,"")&amp;IF('Excercise - Al '!O31&lt;&gt;"","   NOTES/REMARKS: "&amp;'Excercise - Al '!O31,"")&amp;IF('Excercise - Al '!Q31&lt;&gt;"","   BACKGROUND INFO: "&amp;'Excercise - Al '!Q31,"")</f>
        <v xml:space="preserve">   DESCRIPTION: AEMA recommends voluntary evacuation of Baldwin and Mobile counties. </v>
      </c>
      <c r="G31" s="63" t="str">
        <f>IF('Excercise - Al '!P31&lt;&gt;"","IMPLEMENTER: "&amp;'Excercise - Al '!P31,"")</f>
        <v>IMPLEMENTER: AEMA recommends voluntary evacuation of Baldwin and Mobile counties. Voluntary evacuations recommended for citizens living in mobile homes for the following counties:  Washington, Clarke, Monroe, Conecuh, Escambia, Covington, Geneva, and Houston.</v>
      </c>
      <c r="H31" s="63" t="str">
        <f>IF('Excercise - Al '!N31&lt;&gt;"","EXPECTED ACTIONS: "&amp;'Excercise - Al '!N31,"")</f>
        <v/>
      </c>
      <c r="I31" s="63" t="str">
        <f>'Excercise - Al '!R31</f>
        <v>Keane</v>
      </c>
    </row>
    <row r="32" spans="1:9" s="24" customFormat="1" ht="33.75">
      <c r="A32" s="63">
        <f>'Excercise - Al '!A32</f>
        <v>31</v>
      </c>
      <c r="B32" s="63"/>
      <c r="C32" s="64">
        <f>'Excercise - Al '!E32</f>
        <v>40301.38125000002</v>
      </c>
      <c r="D32" s="63" t="str">
        <f>IF('Excercise - Al '!F32&lt;&gt;0,'Excercise - Al '!F32,"")</f>
        <v>INFO</v>
      </c>
      <c r="E32" s="63" t="str">
        <f>IF('Excercise - Al '!G32&lt;&gt;"","MODE: "&amp;'Excercise - Al '!G32,"")&amp;IF('Excercise - Al '!H32&lt;&gt;"","   FROM: "&amp;'Excercise - Al '!H32,"")&amp;IF('Excercise - Al '!I32&lt;&gt;"","   INJECTED BY: "&amp;'Excercise - Al '!I32,"")&amp;IF('Excercise - Al '!J32&lt;&gt;"","   SEND TO: "&amp;'Excercise - Al '!J32,"")</f>
        <v xml:space="preserve">   INJECTED BY: KEANE</v>
      </c>
      <c r="F32" s="63" t="str">
        <f>IF('Excercise - Al '!K32&lt;&gt;"","STORYLINE: "&amp;'Excercise - Al '!K32,"")&amp;IF('Excercise - Al '!M32&lt;&gt;"","   DESCRIPTION: "&amp;'Excercise - Al '!M32,"")&amp;IF('Excercise - Al '!O32&lt;&gt;"","   NOTES/REMARKS: "&amp;'Excercise - Al '!O32,"")&amp;IF('Excercise - Al '!Q32&lt;&gt;"","   BACKGROUND INFO: "&amp;'Excercise - Al '!Q32,"")</f>
        <v xml:space="preserve">   DESCRIPTION: JFHQ activates JTF-South (FTUS) Primary Staff (LNO's)and local units for possible support</v>
      </c>
      <c r="G32" s="63" t="str">
        <f>IF('Excercise - Al '!P32&lt;&gt;"","IMPLEMENTER: "&amp;'Excercise - Al '!P32,"")</f>
        <v>IMPLEMENTER: JFHQ activates JTF-South (FTUS) Primary Staff (LNO's)and local units for possible support</v>
      </c>
      <c r="H32" s="63" t="str">
        <f>IF('Excercise - Al '!N32&lt;&gt;"","EXPECTED ACTIONS: "&amp;'Excercise - Al '!N32,"")</f>
        <v/>
      </c>
      <c r="I32" s="63" t="str">
        <f>'Excercise - Al '!R32</f>
        <v>Keane</v>
      </c>
    </row>
    <row r="33" spans="1:9" s="24" customFormat="1" ht="90">
      <c r="A33" s="63">
        <f>'Excercise - Al '!A33</f>
        <v>32</v>
      </c>
      <c r="B33" s="63"/>
      <c r="C33" s="64">
        <f>'Excercise - Al '!E33</f>
        <v>40301.385416666664</v>
      </c>
      <c r="D33" s="63" t="str">
        <f>IF('Excercise - Al '!F33&lt;&gt;0,'Excercise - Al '!F33,"")</f>
        <v>INFO</v>
      </c>
      <c r="E33" s="63" t="str">
        <f>IF('Excercise - Al '!G33&lt;&gt;"","MODE: "&amp;'Excercise - Al '!G33,"")&amp;IF('Excercise - Al '!H33&lt;&gt;"","   FROM: "&amp;'Excercise - Al '!H33,"")&amp;IF('Excercise - Al '!I33&lt;&gt;"","   INJECTED BY: "&amp;'Excercise - Al '!I33,"")&amp;IF('Excercise - Al '!J33&lt;&gt;"","   SEND TO: "&amp;'Excercise - Al '!J33,"")</f>
        <v>MODE: Email   FROM: MED DET   INJECTED BY: BENTON   SEND TO: SPS MED &amp; J1</v>
      </c>
      <c r="F33" s="63" t="str">
        <f>IF('Excercise - Al '!K33&lt;&gt;"","STORYLINE: "&amp;'Excercise - Al '!K33,"")&amp;IF('Excercise - Al '!M33&lt;&gt;"","   DESCRIPTION: "&amp;'Excercise - Al '!M33,"")&amp;IF('Excercise - Al '!O33&lt;&gt;"","   NOTES/REMARKS: "&amp;'Excercise - Al '!O33,"")&amp;IF('Excercise - Al '!Q33&lt;&gt;"","   BACKGROUND INFO: "&amp;'Excercise - Al '!Q33,"")</f>
        <v>STORYLINE: 1 Soldier found HIV positive in the 226th MEB after a periodic health assessment (PHA) performed by the medical detachment, from 10-11 Apr 10 SRP in Mobile.   DESCRIPTION: 1 Soldier found HIV positive in the 226th MEB after a periodic health assessment (PHA) performed by the medical detachment, from 10-11 Apr 10 SRP in Mobile.</v>
      </c>
      <c r="G33" s="63" t="str">
        <f>IF('Excercise - Al '!P33&lt;&gt;"","IMPLEMENTER: "&amp;'Excercise - Al '!P33,"")</f>
        <v>IMPLEMENTER: 1 Soldier found HIV positive in the 226th MEB after a periodic health assessment (PHA) performed by the medical detachment, from 10-11 Apr 10 SRP in Mobile.</v>
      </c>
      <c r="H33" s="63" t="str">
        <f>IF('Excercise - Al '!N33&lt;&gt;"","EXPECTED ACTIONS: "&amp;'Excercise - Al '!N33,"")</f>
        <v/>
      </c>
      <c r="I33" s="63" t="str">
        <f>'Excercise - Al '!R33</f>
        <v>Benton</v>
      </c>
    </row>
    <row r="34" spans="1:9" s="24" customFormat="1" ht="101.25">
      <c r="A34" s="63">
        <f>'Excercise - Al '!A34</f>
        <v>33</v>
      </c>
      <c r="B34" s="63"/>
      <c r="C34" s="64">
        <f>'Excercise - Al '!E34</f>
        <v>40301.385416666664</v>
      </c>
      <c r="D34" s="63" t="str">
        <f>IF('Excercise - Al '!F34&lt;&gt;0,'Excercise - Al '!F34,"")</f>
        <v/>
      </c>
      <c r="E34" s="63" t="str">
        <f>IF('Excercise - Al '!G34&lt;&gt;"","MODE: "&amp;'Excercise - Al '!G34,"")&amp;IF('Excercise - Al '!H34&lt;&gt;"","   FROM: "&amp;'Excercise - Al '!H34,"")&amp;IF('Excercise - Al '!I34&lt;&gt;"","   INJECTED BY: "&amp;'Excercise - Al '!I34,"")&amp;IF('Excercise - Al '!J34&lt;&gt;"","   SEND TO: "&amp;'Excercise - Al '!J34,"")</f>
        <v xml:space="preserve">   INJECTED BY: P. MCDONALD   SEND TO: JOC MSG CTR</v>
      </c>
      <c r="F34" s="63" t="str">
        <f>IF('Excercise - Al '!K34&lt;&gt;"","STORYLINE: "&amp;'Excercise - Al '!K34,"")&amp;IF('Excercise - Al '!M34&lt;&gt;"","   DESCRIPTION: "&amp;'Excercise - Al '!M34,"")&amp;IF('Excercise - Al '!O34&lt;&gt;"","   NOTES/REMARKS: "&amp;'Excercise - Al '!O34,"")&amp;IF('Excercise - Al '!Q34&lt;&gt;"","   BACKGROUND INFO: "&amp;'Excercise - Al '!Q34,"")</f>
        <v>STORYLINE: Army National Guard CAT requests Alabama review resources available IOT support FL with 1X Med Trk Co and 1X DS/GS Maint Co.   NOTES/REMARKS: At 0939 hours LTC Small , ARNG CAT, contacted MAJ Davis @ 334.273.3547 after several attempts to other numbers provided by SGT Vice.  He is to advise.  At 1114 hours, MAJ Davis advises TAG-AL requests a 48 hour hold before approving the EMAC request.</v>
      </c>
      <c r="G34" s="63" t="str">
        <f>IF('Excercise - Al '!P34&lt;&gt;"","IMPLEMENTER: "&amp;'Excercise - Al '!P34,"")</f>
        <v>IMPLEMENTER: Army National Guard CAT requests Alabama review resources available IOT support FL with 1X Med Trk Co and 1X DS/GS Maint Co.</v>
      </c>
      <c r="H34" s="63" t="str">
        <f>IF('Excercise - Al '!N34&lt;&gt;"","EXPECTED ACTIONS: "&amp;'Excercise - Al '!N34,"")</f>
        <v/>
      </c>
      <c r="I34" s="63" t="str">
        <f>'Excercise - Al '!R34</f>
        <v>McDonald</v>
      </c>
    </row>
    <row r="35" spans="1:9" s="24" customFormat="1" ht="168.75">
      <c r="A35" s="63">
        <f>'Excercise - Al '!A35</f>
        <v>34</v>
      </c>
      <c r="B35" s="63"/>
      <c r="C35" s="64">
        <f>'Excercise - Al '!E35</f>
        <v>40301.386111111111</v>
      </c>
      <c r="D35" s="63" t="str">
        <f>IF('Excercise - Al '!F35&lt;&gt;0,'Excercise - Al '!F35,"")</f>
        <v>INFO</v>
      </c>
      <c r="E35" s="63" t="str">
        <f>IF('Excercise - Al '!G35&lt;&gt;"","MODE: "&amp;'Excercise - Al '!G35,"")&amp;IF('Excercise - Al '!H35&lt;&gt;"","   FROM: "&amp;'Excercise - Al '!H35,"")&amp;IF('Excercise - Al '!I35&lt;&gt;"","   INJECTED BY: "&amp;'Excercise - Al '!I35,"")&amp;IF('Excercise - Al '!J35&lt;&gt;"","   SEND TO: "&amp;'Excercise - Al '!J35,"")</f>
        <v>MODE: Telephone Call   FROM: STATE SURGEON   INJECTED BY: BENTON   SEND TO: SPS MED</v>
      </c>
      <c r="F35" s="63" t="str">
        <f>IF('Excercise - Al '!K35&lt;&gt;"","STORYLINE: "&amp;'Excercise - Al '!K35,"")&amp;IF('Excercise - Al '!M35&lt;&gt;"","   DESCRIPTION: "&amp;'Excercise - Al '!M35,"")&amp;IF('Excercise - Al '!O35&lt;&gt;"","   NOTES/REMARKS: "&amp;'Excercise - Al '!O35,"")&amp;IF('Excercise - Al '!Q35&lt;&gt;"","   BACKGROUND INFO: "&amp;'Excercise - Al '!Q35,"")</f>
        <v>STORYLINE: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   DESCRIPTION: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v>
      </c>
      <c r="G35" s="63" t="str">
        <f>IF('Excercise - Al '!P35&lt;&gt;"","IMPLEMENTER: "&amp;'Excercise - Al '!P35,"")</f>
        <v>IMPLEMENTER: All JTFs must perform a medical readiness screening of the potential personnel being considered for DSCA support mission to ensure that they have a current PHA, Dental Exam, Routine Adult Immunizations (to include H1N1) and have no outstanding noon-deployable medical conditions.  Submit status report back to SPS.MED NLT 1200 4 May 10.</v>
      </c>
      <c r="H35" s="63" t="str">
        <f>IF('Excercise - Al '!N35&lt;&gt;"","EXPECTED ACTIONS: "&amp;'Excercise - Al '!N35,"")</f>
        <v/>
      </c>
      <c r="I35" s="63" t="str">
        <f>'Excercise - Al '!R35</f>
        <v>Benton</v>
      </c>
    </row>
    <row r="36" spans="1:9" s="24" customFormat="1" ht="22.5">
      <c r="A36" s="63">
        <f>'Excercise - Al '!A36</f>
        <v>35</v>
      </c>
      <c r="B36" s="63"/>
      <c r="C36" s="64">
        <f>'Excercise - Al '!E36</f>
        <v>40301.386805555594</v>
      </c>
      <c r="D36" s="63" t="str">
        <f>IF('Excercise - Al '!F36&lt;&gt;0,'Excercise - Al '!F36,"")</f>
        <v>INFO</v>
      </c>
      <c r="E36" s="63" t="str">
        <f>IF('Excercise - Al '!G36&lt;&gt;"","MODE: "&amp;'Excercise - Al '!G36,"")&amp;IF('Excercise - Al '!H36&lt;&gt;"","   FROM: "&amp;'Excercise - Al '!H36,"")&amp;IF('Excercise - Al '!I36&lt;&gt;"","   INJECTED BY: "&amp;'Excercise - Al '!I36,"")&amp;IF('Excercise - Al '!J36&lt;&gt;"","   SEND TO: "&amp;'Excercise - Al '!J36,"")</f>
        <v xml:space="preserve">   INJECTED BY: SEOC LNO</v>
      </c>
      <c r="F36" s="63" t="str">
        <f>IF('Excercise - Al '!K36&lt;&gt;"","STORYLINE: "&amp;'Excercise - Al '!K36,"")&amp;IF('Excercise - Al '!M36&lt;&gt;"","   DESCRIPTION: "&amp;'Excercise - Al '!M36,"")&amp;IF('Excercise - Al '!O36&lt;&gt;"","   NOTES/REMARKS: "&amp;'Excercise - Al '!O36,"")&amp;IF('Excercise - Al '!Q36&lt;&gt;"","   BACKGROUND INFO: "&amp;'Excercise - Al '!Q36,"")</f>
        <v xml:space="preserve">   DESCRIPTION: TF South gets notification of pending activation</v>
      </c>
      <c r="G36" s="63" t="str">
        <f>IF('Excercise - Al '!P36&lt;&gt;"","IMPLEMENTER: "&amp;'Excercise - Al '!P36,"")</f>
        <v>IMPLEMENTER: TF South gets notification of pending activation</v>
      </c>
      <c r="H36" s="63" t="str">
        <f>IF('Excercise - Al '!N36&lt;&gt;"","EXPECTED ACTIONS: "&amp;'Excercise - Al '!N36,"")</f>
        <v/>
      </c>
      <c r="I36" s="63" t="str">
        <f>'Excercise - Al '!R36</f>
        <v>Keane</v>
      </c>
    </row>
    <row r="37" spans="1:9" s="24" customFormat="1" ht="146.25">
      <c r="A37" s="63">
        <f>'Excercise - Al '!A37</f>
        <v>36</v>
      </c>
      <c r="B37" s="63"/>
      <c r="C37" s="64">
        <f>'Excercise - Al '!E37</f>
        <v>40301.388888888891</v>
      </c>
      <c r="D37" s="63" t="str">
        <f>IF('Excercise - Al '!F37&lt;&gt;0,'Excercise - Al '!F37,"")</f>
        <v/>
      </c>
      <c r="E37" s="63" t="str">
        <f>IF('Excercise - Al '!G37&lt;&gt;"","MODE: "&amp;'Excercise - Al '!G37,"")&amp;IF('Excercise - Al '!H37&lt;&gt;"","   FROM: "&amp;'Excercise - Al '!H37,"")&amp;IF('Excercise - Al '!I37&lt;&gt;"","   INJECTED BY: "&amp;'Excercise - Al '!I37,"")&amp;IF('Excercise - Al '!J37&lt;&gt;"","   SEND TO: "&amp;'Excercise - Al '!J37,"")</f>
        <v xml:space="preserve">   INJECTED BY: P. MCDONALD</v>
      </c>
      <c r="F37" s="63" t="str">
        <f>IF('Excercise - Al '!K37&lt;&gt;"","STORYLINE: "&amp;'Excercise - Al '!K37,"")&amp;IF('Excercise - Al '!M37&lt;&gt;"","   DESCRIPTION: "&amp;'Excercise - Al '!M37,"")&amp;IF('Excercise - Al '!O37&lt;&gt;"","   NOTES/REMARKS: "&amp;'Excercise - Al '!O37,"")&amp;IF('Excercise - Al '!Q37&lt;&gt;"","   BACKGROUND INFO: "&amp;'Excercise - Al '!Q37,"")</f>
        <v xml:space="preserve">STORYLINE: Army National Guard CAT requests Alabama review resources available IOT support TX with 1x Light/Medium Truck Company and 1x POL Co.   NOTES/REMARKS: At 0923 hours LTC Small, ARNG CAT, contacted MSG Woodall @ 334.213.7748 and he took message and would have someone return our call.  At 1007 hours called MSG Woodall and advised no one had called.  Left another message.  At 1114 hours MAJ Davis, AL JOC returned call and received request.  Will advise. At 1715 hours, MAJ Davis advises TAG will concur with request but requests a 48 hours delay for the EMAC request. </v>
      </c>
      <c r="G37" s="63" t="str">
        <f>IF('Excercise - Al '!P37&lt;&gt;"","IMPLEMENTER: "&amp;'Excercise - Al '!P37,"")</f>
        <v>IMPLEMENTER: Army National Guard CAT requests Alabama review resources available IOT support TX with 1x Light/Medium Truck Company and 1x POL Co.</v>
      </c>
      <c r="H37" s="63" t="str">
        <f>IF('Excercise - Al '!N37&lt;&gt;"","EXPECTED ACTIONS: "&amp;'Excercise - Al '!N37,"")</f>
        <v/>
      </c>
      <c r="I37" s="63" t="str">
        <f>'Excercise - Al '!R37</f>
        <v>McDonald</v>
      </c>
    </row>
    <row r="38" spans="1:9" s="24" customFormat="1" ht="33.75">
      <c r="A38" s="63">
        <f>'Excercise - Al '!A38</f>
        <v>37</v>
      </c>
      <c r="B38" s="63"/>
      <c r="C38" s="64">
        <f>'Excercise - Al '!E38</f>
        <v>40301.389583333381</v>
      </c>
      <c r="D38" s="63" t="str">
        <f>IF('Excercise - Al '!F38&lt;&gt;0,'Excercise - Al '!F38,"")</f>
        <v>INFO</v>
      </c>
      <c r="E38" s="63" t="str">
        <f>IF('Excercise - Al '!G38&lt;&gt;"","MODE: "&amp;'Excercise - Al '!G38,"")&amp;IF('Excercise - Al '!H38&lt;&gt;"","   FROM: "&amp;'Excercise - Al '!H38,"")&amp;IF('Excercise - Al '!I38&lt;&gt;"","   INJECTED BY: "&amp;'Excercise - Al '!I38,"")&amp;IF('Excercise - Al '!J38&lt;&gt;"","   SEND TO: "&amp;'Excercise - Al '!J38,"")</f>
        <v xml:space="preserve">   INJECTED BY: SEOC LNO</v>
      </c>
      <c r="F38" s="63" t="str">
        <f>IF('Excercise - Al '!K38&lt;&gt;"","STORYLINE: "&amp;'Excercise - Al '!K38,"")&amp;IF('Excercise - Al '!M38&lt;&gt;"","   DESCRIPTION: "&amp;'Excercise - Al '!M38,"")&amp;IF('Excercise - Al '!O38&lt;&gt;"","   NOTES/REMARKS: "&amp;'Excercise - Al '!O38,"")&amp;IF('Excercise - Al '!Q38&lt;&gt;"","   BACKGROUND INFO: "&amp;'Excercise - Al '!Q38,"")</f>
        <v xml:space="preserve">   DESCRIPTION: FEMA Region JFO ERT-A will deploy to AEMA on 4 May about 1200, FEMA Region 9 DCO will serve as JFO-AL DCO</v>
      </c>
      <c r="G38" s="63" t="str">
        <f>IF('Excercise - Al '!P38&lt;&gt;"","IMPLEMENTER: "&amp;'Excercise - Al '!P38,"")</f>
        <v>IMPLEMENTER: FEMA Region JFO ERT-A will deploy to AEMA on 4 May about 1200, FEMA Region 9 DCO will serve as JFO-AL DCO</v>
      </c>
      <c r="H38" s="63" t="str">
        <f>IF('Excercise - Al '!N38&lt;&gt;"","EXPECTED ACTIONS: "&amp;'Excercise - Al '!N38,"")</f>
        <v/>
      </c>
      <c r="I38" s="63" t="str">
        <f>'Excercise - Al '!R38</f>
        <v>Keane</v>
      </c>
    </row>
    <row r="39" spans="1:9" s="24" customFormat="1" ht="33.75">
      <c r="A39" s="63">
        <f>'Excercise - Al '!A39</f>
        <v>38</v>
      </c>
      <c r="B39" s="63"/>
      <c r="C39" s="64">
        <f>'Excercise - Al '!E39</f>
        <v>40301.390277777828</v>
      </c>
      <c r="D39" s="63" t="str">
        <f>IF('Excercise - Al '!F39&lt;&gt;0,'Excercise - Al '!F39,"")</f>
        <v>MISSION</v>
      </c>
      <c r="E39" s="63" t="str">
        <f>IF('Excercise - Al '!G39&lt;&gt;"","MODE: "&amp;'Excercise - Al '!G39,"")&amp;IF('Excercise - Al '!H39&lt;&gt;"","   FROM: "&amp;'Excercise - Al '!H39,"")&amp;IF('Excercise - Al '!I39&lt;&gt;"","   INJECTED BY: "&amp;'Excercise - Al '!I39,"")&amp;IF('Excercise - Al '!J39&lt;&gt;"","   SEND TO: "&amp;'Excercise - Al '!J39,"")</f>
        <v xml:space="preserve">   INJECTED BY: SEOC LNO</v>
      </c>
      <c r="F39" s="63" t="str">
        <f>IF('Excercise - Al '!K39&lt;&gt;"","STORYLINE: "&amp;'Excercise - Al '!K39,"")&amp;IF('Excercise - Al '!M39&lt;&gt;"","   DESCRIPTION: "&amp;'Excercise - Al '!M39,"")&amp;IF('Excercise - Al '!O39&lt;&gt;"","   NOTES/REMARKS: "&amp;'Excercise - Al '!O39,"")&amp;IF('Excercise - Al '!Q39&lt;&gt;"","   BACKGROUND INFO: "&amp;'Excercise - Al '!Q39,"")</f>
        <v xml:space="preserve">   DESCRIPTION: Deploy SERT (AL) LNOs to Mobile and Baldwin counties NLT 4 May 1800.</v>
      </c>
      <c r="G39" s="63" t="str">
        <f>IF('Excercise - Al '!P39&lt;&gt;"","IMPLEMENTER: "&amp;'Excercise - Al '!P39,"")</f>
        <v>IMPLEMENTER: Deploy SERT (AL)LNOs to Mobile and Baldwin counties NLT 4 May 1800.</v>
      </c>
      <c r="H39" s="63" t="str">
        <f>IF('Excercise - Al '!N39&lt;&gt;"","EXPECTED ACTIONS: "&amp;'Excercise - Al '!N39,"")</f>
        <v/>
      </c>
      <c r="I39" s="63" t="str">
        <f>'Excercise - Al '!R39</f>
        <v>Keane</v>
      </c>
    </row>
    <row r="40" spans="1:9" s="24" customFormat="1" ht="45">
      <c r="A40" s="63">
        <f>'Excercise - Al '!A40</f>
        <v>39</v>
      </c>
      <c r="B40" s="63"/>
      <c r="C40" s="64">
        <f>'Excercise - Al '!E40</f>
        <v>40301.392361111109</v>
      </c>
      <c r="D40" s="63" t="str">
        <f>IF('Excercise - Al '!F40&lt;&gt;0,'Excercise - Al '!F40,"")</f>
        <v/>
      </c>
      <c r="E40" s="63" t="str">
        <f>IF('Excercise - Al '!G40&lt;&gt;"","MODE: "&amp;'Excercise - Al '!G40,"")&amp;IF('Excercise - Al '!H40&lt;&gt;"","   FROM: "&amp;'Excercise - Al '!H40,"")&amp;IF('Excercise - Al '!I40&lt;&gt;"","   INJECTED BY: "&amp;'Excercise - Al '!I40,"")&amp;IF('Excercise - Al '!J40&lt;&gt;"","   SEND TO: "&amp;'Excercise - Al '!J40,"")</f>
        <v/>
      </c>
      <c r="F40" s="63" t="str">
        <f>IF('Excercise - Al '!K40&lt;&gt;"","STORYLINE: "&amp;'Excercise - Al '!K40,"")&amp;IF('Excercise - Al '!M40&lt;&gt;"","   DESCRIPTION: "&amp;'Excercise - Al '!M40,"")&amp;IF('Excercise - Al '!O40&lt;&gt;"","   NOTES/REMARKS: "&amp;'Excercise - Al '!O40,"")&amp;IF('Excercise - Al '!Q40&lt;&gt;"","   BACKGROUND INFO: "&amp;'Excercise - Al '!Q40,"")</f>
        <v>STORYLINE: Army National Guard CAT requests Alabama review resources available IOT support Tx and LA with unfilled EMAC Requests.</v>
      </c>
      <c r="G40" s="63" t="str">
        <f>IF('Excercise - Al '!P40&lt;&gt;"","IMPLEMENTER: "&amp;'Excercise - Al '!P40,"")</f>
        <v>IMPLEMENTER: Army National Guard CAT requests Alabama review resources available IOT support Tx and LA with unfilled EMAC Requests.</v>
      </c>
      <c r="H40" s="63" t="str">
        <f>IF('Excercise - Al '!N40&lt;&gt;"","EXPECTED ACTIONS: "&amp;'Excercise - Al '!N40,"")</f>
        <v/>
      </c>
      <c r="I40" s="63">
        <f>'Excercise - Al '!R40</f>
        <v>0</v>
      </c>
    </row>
    <row r="41" spans="1:9" s="24" customFormat="1" ht="22.5">
      <c r="A41" s="63">
        <f>'Excercise - Al '!A41</f>
        <v>40</v>
      </c>
      <c r="B41" s="63"/>
      <c r="C41" s="64">
        <f>'Excercise - Al '!E41</f>
        <v>40301.395138888955</v>
      </c>
      <c r="D41" s="63" t="str">
        <f>IF('Excercise - Al '!F41&lt;&gt;0,'Excercise - Al '!F41,"")</f>
        <v>INFO</v>
      </c>
      <c r="E41" s="63" t="str">
        <f>IF('Excercise - Al '!G41&lt;&gt;"","MODE: "&amp;'Excercise - Al '!G41,"")&amp;IF('Excercise - Al '!H41&lt;&gt;"","   FROM: "&amp;'Excercise - Al '!H41,"")&amp;IF('Excercise - Al '!I41&lt;&gt;"","   INJECTED BY: "&amp;'Excercise - Al '!I41,"")&amp;IF('Excercise - Al '!J41&lt;&gt;"","   SEND TO: "&amp;'Excercise - Al '!J41,"")</f>
        <v xml:space="preserve">   INJECTED BY: KEANE</v>
      </c>
      <c r="F41" s="63" t="str">
        <f>IF('Excercise - Al '!K41&lt;&gt;"","STORYLINE: "&amp;'Excercise - Al '!K41,"")&amp;IF('Excercise - Al '!M41&lt;&gt;"","   DESCRIPTION: "&amp;'Excercise - Al '!M41,"")&amp;IF('Excercise - Al '!O41&lt;&gt;"","   NOTES/REMARKS: "&amp;'Excercise - Al '!O41,"")&amp;IF('Excercise - Al '!Q41&lt;&gt;"","   BACKGROUND INFO: "&amp;'Excercise - Al '!Q41,"")</f>
        <v xml:space="preserve">   DESCRIPTION: AEMA Teleconference </v>
      </c>
      <c r="G41" s="63" t="str">
        <f>IF('Excercise - Al '!P41&lt;&gt;"","IMPLEMENTER: "&amp;'Excercise - Al '!P41,"")</f>
        <v xml:space="preserve">IMPLEMENTER: AEMA Teleconference </v>
      </c>
      <c r="H41" s="63" t="str">
        <f>IF('Excercise - Al '!N41&lt;&gt;"","EXPECTED ACTIONS: "&amp;'Excercise - Al '!N41,"")</f>
        <v/>
      </c>
      <c r="I41" s="63" t="str">
        <f>'Excercise - Al '!R41</f>
        <v>Keane</v>
      </c>
    </row>
    <row r="42" spans="1:9" s="24" customFormat="1" ht="56.25">
      <c r="A42" s="63">
        <f>'Excercise - Al '!A42</f>
        <v>41</v>
      </c>
      <c r="B42" s="63"/>
      <c r="C42" s="64">
        <f>'Excercise - Al '!E42</f>
        <v>40301.395833333336</v>
      </c>
      <c r="D42" s="63" t="str">
        <f>IF('Excercise - Al '!F42&lt;&gt;0,'Excercise - Al '!F42,"")</f>
        <v>MISSION</v>
      </c>
      <c r="E42" s="63" t="str">
        <f>IF('Excercise - Al '!G42&lt;&gt;"","MODE: "&amp;'Excercise - Al '!G42,"")&amp;IF('Excercise - Al '!H42&lt;&gt;"","   FROM: "&amp;'Excercise - Al '!H42,"")&amp;IF('Excercise - Al '!I42&lt;&gt;"","   INJECTED BY: "&amp;'Excercise - Al '!I42,"")&amp;IF('Excercise - Al '!J42&lt;&gt;"","   SEND TO: "&amp;'Excercise - Al '!J42,"")</f>
        <v>MODE: Email   FROM: USPFO, S&amp;S   INJECTED BY: SEOC LNO   SEND TO: JOC J4</v>
      </c>
      <c r="F42" s="63" t="str">
        <f>IF('Excercise - Al '!K42&lt;&gt;"","STORYLINE: "&amp;'Excercise - Al '!K42,"")&amp;IF('Excercise - Al '!M42&lt;&gt;"","   DESCRIPTION: "&amp;'Excercise - Al '!M42,"")&amp;IF('Excercise - Al '!O42&lt;&gt;"","   NOTES/REMARKS: "&amp;'Excercise - Al '!O42,"")&amp;IF('Excercise - Al '!Q42&lt;&gt;"","   BACKGROUND INFO: "&amp;'Excercise - Al '!Q42,"")</f>
        <v xml:space="preserve">   DESCRIPTION: USPFO  Warehouse to push 20 pallets of MREs and 20 pallets of bottled water to Ft Whiting, Mobile, AL (pre-positioning for soldier support).   BACKGROUND INFO: USPFO Warehouse SOP, SA only</v>
      </c>
      <c r="G42" s="63" t="str">
        <f>IF('Excercise - Al '!P42&lt;&gt;"","IMPLEMENTER: "&amp;'Excercise - Al '!P42,"")</f>
        <v>IMPLEMENTER: USPFO  Warehouse to push 20 pallets of MREs and 20 pallets of bottled water to Ft Whiting, Mobile, AL (pre-positioning for soldier support).</v>
      </c>
      <c r="H42" s="63" t="str">
        <f>IF('Excercise - Al '!N42&lt;&gt;"","EXPECTED ACTIONS: "&amp;'Excercise - Al '!N42,"")</f>
        <v/>
      </c>
      <c r="I42" s="63" t="str">
        <f>'Excercise - Al '!R42</f>
        <v>Keane</v>
      </c>
    </row>
    <row r="43" spans="1:9" s="24" customFormat="1" ht="67.5">
      <c r="A43" s="63">
        <f>'Excercise - Al '!A43</f>
        <v>42</v>
      </c>
      <c r="B43" s="63"/>
      <c r="C43" s="64">
        <f>'Excercise - Al '!E43</f>
        <v>40301.40625</v>
      </c>
      <c r="D43" s="63" t="str">
        <f>IF('Excercise - Al '!F43&lt;&gt;0,'Excercise - Al '!F43,"")</f>
        <v>RFI</v>
      </c>
      <c r="E43" s="63" t="str">
        <f>IF('Excercise - Al '!G43&lt;&gt;"","MODE: "&amp;'Excercise - Al '!G43,"")&amp;IF('Excercise - Al '!H43&lt;&gt;"","   FROM: "&amp;'Excercise - Al '!H43,"")&amp;IF('Excercise - Al '!I43&lt;&gt;"","   INJECTED BY: "&amp;'Excercise - Al '!I43,"")&amp;IF('Excercise - Al '!J43&lt;&gt;"","   SEND TO: "&amp;'Excercise - Al '!J43,"")</f>
        <v>MODE: JIEE or Email   FROM: ARNG CAT   INJECTED BY: KAHL   SEND TO: JOC</v>
      </c>
      <c r="F43" s="63" t="str">
        <f>IF('Excercise - Al '!K43&lt;&gt;"","STORYLINE: "&amp;'Excercise - Al '!K43,"")&amp;IF('Excercise - Al '!M43&lt;&gt;"","   DESCRIPTION: "&amp;'Excercise - Al '!M43,"")&amp;IF('Excercise - Al '!O43&lt;&gt;"","   NOTES/REMARKS: "&amp;'Excercise - Al '!O43,"")&amp;IF('Excercise - Al '!Q43&lt;&gt;"","   BACKGROUND INFO: "&amp;'Excercise - Al '!Q43,"")</f>
        <v>STORYLINE: EMAC   DESCRIPTION: Army National Guard CAT requests Alabama review resources available, specifically UH 60/CH 47 BN and BDE level multipurpose purpose  task forces.</v>
      </c>
      <c r="G43" s="63" t="str">
        <f>IF('Excercise - Al '!P43&lt;&gt;"","IMPLEMENTER: "&amp;'Excercise - Al '!P43,"")</f>
        <v>IMPLEMENTER: Army National Guard CAT requests Alabama review resources available, specifically UH 60/CH 47 BN and BDE level multipurpose purpose  task forces.</v>
      </c>
      <c r="H43" s="63" t="str">
        <f>IF('Excercise - Al '!N43&lt;&gt;"","EXPECTED ACTIONS: "&amp;'Excercise - Al '!N43,"")</f>
        <v/>
      </c>
      <c r="I43" s="63" t="str">
        <f>'Excercise - Al '!R43</f>
        <v>Keane</v>
      </c>
    </row>
    <row r="44" spans="1:9" s="24" customFormat="1" ht="67.5">
      <c r="A44" s="63">
        <f>'Excercise - Al '!A44</f>
        <v>43</v>
      </c>
      <c r="B44" s="63"/>
      <c r="C44" s="64">
        <f>'Excercise - Al '!E44</f>
        <v>40301.416666666664</v>
      </c>
      <c r="D44" s="63" t="str">
        <f>IF('Excercise - Al '!F44&lt;&gt;0,'Excercise - Al '!F44,"")</f>
        <v>INFO</v>
      </c>
      <c r="E44" s="63" t="str">
        <f>IF('Excercise - Al '!G44&lt;&gt;"","MODE: "&amp;'Excercise - Al '!G44,"")&amp;IF('Excercise - Al '!H44&lt;&gt;"","   FROM: "&amp;'Excercise - Al '!H44,"")&amp;IF('Excercise - Al '!I44&lt;&gt;"","   INJECTED BY: "&amp;'Excercise - Al '!I44,"")&amp;IF('Excercise - Al '!J44&lt;&gt;"","   SEND TO: "&amp;'Excercise - Al '!J44,"")</f>
        <v>MODE: Email   FROM: simcell-SEOC   INJECTED BY: SEOC LNO   SEND TO: MSG CTR/TAG</v>
      </c>
      <c r="F44" s="63" t="str">
        <f>IF('Excercise - Al '!K44&lt;&gt;"","STORYLINE: "&amp;'Excercise - Al '!K44,"")&amp;IF('Excercise - Al '!M44&lt;&gt;"","   DESCRIPTION: "&amp;'Excercise - Al '!M44,"")&amp;IF('Excercise - Al '!O44&lt;&gt;"","   NOTES/REMARKS: "&amp;'Excercise - Al '!O44,"")&amp;IF('Excercise - Al '!Q44&lt;&gt;"","   BACKGROUND INFO: "&amp;'Excercise - Al '!Q44,"")</f>
        <v xml:space="preserve">   DESCRIPTION: The Governor of Alabama has issued a declaration of emergency for Mobile, Baldwin and surrounding counties.  </v>
      </c>
      <c r="G44" s="63" t="str">
        <f>IF('Excercise - Al '!P44&lt;&gt;"","IMPLEMENTER: "&amp;'Excercise - Al '!P44,"")</f>
        <v xml:space="preserve">IMPLEMENTER: The Governor of Alabama has issued a declaration of emergency for Mobile, Baldwin and surrounding counties.  </v>
      </c>
      <c r="H44" s="63" t="str">
        <f>IF('Excercise - Al '!N44&lt;&gt;"","EXPECTED ACTIONS: "&amp;'Excercise - Al '!N44,"")</f>
        <v>EXPECTED ACTIONS: MSG CTR informs TAG/Sr. Staff/JOC</v>
      </c>
      <c r="I44" s="63" t="str">
        <f>'Excercise - Al '!R44</f>
        <v>Messer</v>
      </c>
    </row>
    <row r="45" spans="1:9" s="24" customFormat="1" ht="33.75">
      <c r="A45" s="63">
        <f>'Excercise - Al '!A45</f>
        <v>44</v>
      </c>
      <c r="B45" s="63"/>
      <c r="C45" s="64">
        <f>'Excercise - Al '!E45</f>
        <v>40301.416666666664</v>
      </c>
      <c r="D45" s="63" t="str">
        <f>IF('Excercise - Al '!F45&lt;&gt;0,'Excercise - Al '!F45,"")</f>
        <v>31st CHEM BDE - Dispatch LNO to Montgomery</v>
      </c>
      <c r="E45" s="63" t="str">
        <f>IF('Excercise - Al '!G45&lt;&gt;"","MODE: "&amp;'Excercise - Al '!G45,"")&amp;IF('Excercise - Al '!H45&lt;&gt;"","   FROM: "&amp;'Excercise - Al '!H45,"")&amp;IF('Excercise - Al '!I45&lt;&gt;"","   INJECTED BY: "&amp;'Excercise - Al '!I45,"")&amp;IF('Excercise - Al '!J45&lt;&gt;"","   SEND TO: "&amp;'Excercise - Al '!J45,"")</f>
        <v>MODE: Not Injected</v>
      </c>
      <c r="F45" s="63" t="str">
        <f>IF('Excercise - Al '!K45&lt;&gt;"","STORYLINE: "&amp;'Excercise - Al '!K45,"")&amp;IF('Excercise - Al '!M45&lt;&gt;"","   DESCRIPTION: "&amp;'Excercise - Al '!M45,"")&amp;IF('Excercise - Al '!O45&lt;&gt;"","   NOTES/REMARKS: "&amp;'Excercise - Al '!O45,"")&amp;IF('Excercise - Al '!Q45&lt;&gt;"","   BACKGROUND INFO: "&amp;'Excercise - Al '!Q45,"")</f>
        <v/>
      </c>
      <c r="G45" s="63" t="str">
        <f>IF('Excercise - Al '!P45&lt;&gt;"","IMPLEMENTER: "&amp;'Excercise - Al '!P45,"")</f>
        <v/>
      </c>
      <c r="H45" s="63" t="str">
        <f>IF('Excercise - Al '!N45&lt;&gt;"","EXPECTED ACTIONS: "&amp;'Excercise - Al '!N45,"")</f>
        <v/>
      </c>
      <c r="I45" s="63" t="str">
        <f>'Excercise - Al '!R45</f>
        <v>Napier</v>
      </c>
    </row>
    <row r="46" spans="1:9" s="24" customFormat="1" ht="281.25">
      <c r="A46" s="63">
        <f>'Excercise - Al '!A46</f>
        <v>45</v>
      </c>
      <c r="B46" s="63"/>
      <c r="C46" s="64">
        <f>'Excercise - Al '!E46</f>
        <v>40301.417361111111</v>
      </c>
      <c r="D46" s="63" t="str">
        <f>IF('Excercise - Al '!F46&lt;&gt;0,'Excercise - Al '!F46,"")</f>
        <v>INFO</v>
      </c>
      <c r="E46" s="63" t="str">
        <f>IF('Excercise - Al '!G46&lt;&gt;"","MODE: "&amp;'Excercise - Al '!G46,"")&amp;IF('Excercise - Al '!H46&lt;&gt;"","   FROM: "&amp;'Excercise - Al '!H46,"")&amp;IF('Excercise - Al '!I46&lt;&gt;"","   INJECTED BY: "&amp;'Excercise - Al '!I46,"")&amp;IF('Excercise - Al '!J46&lt;&gt;"","   SEND TO: "&amp;'Excercise - Al '!J46,"")</f>
        <v>MODE: Email   FROM: Simcell - National Hurricane Center   INJECTED BY: KEANE   SEND TO: JOC, All</v>
      </c>
      <c r="F46" s="63" t="str">
        <f>IF('Excercise - Al '!K46&lt;&gt;"","STORYLINE: "&amp;'Excercise - Al '!K46,"")&amp;IF('Excercise - Al '!M46&lt;&gt;"","   DESCRIPTION: "&amp;'Excercise - Al '!M46,"")&amp;IF('Excercise - Al '!O46&lt;&gt;"","   NOTES/REMARKS: "&amp;'Excercise - Al '!O46,"")&amp;IF('Excercise - Al '!Q46&lt;&gt;"","   BACKGROUND INFO: "&amp;'Excercise - Al '!Q46,"")</f>
        <v>STORYLINE: Tropical Storm Al Update 10   DESCRIPTION: Tropical Storm Al Update 10</v>
      </c>
      <c r="G46" s="63" t="str">
        <f>IF('Excercise - Al '!P46&lt;&gt;"","IMPLEMENTER: "&amp;'Excercise - Al '!P46,"")</f>
        <v xml:space="preserve">IMPLEMENTER: 
... HURRICANE AL MOVING NORTHWESTWARD...APPROACHING THE YUCATAN PENINSULA
TOMORROW...
SUMMARY OF 1100 AM EDT...1500 UTC...INFORMATION
-----------------------------------------------
LOCATION...18.3N 83.1W
ABOUT 129 MILES...208 KM...SOUTHWEST OF GEORGE TOWN CAYMAN ISLANDS 
ABOUT 290 MILES...466 KM...SOUTHEAST OF COZUMEL MEXICO
ABOUT 339 MILES...545 KM...EAST-NORTHEAST OF BELIZE CITY BELIZE
MAXIMUM SUSTAINED WINDS...120 MPH...193 KM/HR
PRESENT MOVEMENT...WNW OR 303 DEGREES AT 14 MPH...23 KM/HR
MINIMUM CENTRAL PRESSURE...956 MB...28.23 INCHES
</v>
      </c>
      <c r="H46" s="63" t="str">
        <f>IF('Excercise - Al '!N46&lt;&gt;"","EXPECTED ACTIONS: "&amp;'Excercise - Al '!N46,"")</f>
        <v/>
      </c>
      <c r="I46" s="63" t="str">
        <f>'Excercise - Al '!R46</f>
        <v>Keane</v>
      </c>
    </row>
    <row r="47" spans="1:9" s="24" customFormat="1" ht="90">
      <c r="A47" s="63">
        <f>'Excercise - Al '!A47</f>
        <v>46</v>
      </c>
      <c r="B47" s="63"/>
      <c r="C47" s="64">
        <f>'Excercise - Al '!E47</f>
        <v>40301.4375</v>
      </c>
      <c r="D47" s="63" t="str">
        <f>IF('Excercise - Al '!F47&lt;&gt;0,'Excercise - Al '!F47,"")</f>
        <v>RFI</v>
      </c>
      <c r="E47" s="63" t="str">
        <f>IF('Excercise - Al '!G47&lt;&gt;"","MODE: "&amp;'Excercise - Al '!G47,"")&amp;IF('Excercise - Al '!H47&lt;&gt;"","   FROM: "&amp;'Excercise - Al '!H47,"")&amp;IF('Excercise - Al '!I47&lt;&gt;"","   INJECTED BY: "&amp;'Excercise - Al '!I47,"")&amp;IF('Excercise - Al '!J47&lt;&gt;"","   SEND TO: "&amp;'Excercise - Al '!J47,"")</f>
        <v>MODE: Phone   INJECTED BY: SEOC LNO/P MCDONALD   SEND TO: JOC-AVN</v>
      </c>
      <c r="F47" s="63" t="str">
        <f>IF('Excercise - Al '!K47&lt;&gt;"","STORYLINE: "&amp;'Excercise - Al '!K47,"")&amp;IF('Excercise - Al '!M47&lt;&gt;"","   DESCRIPTION: "&amp;'Excercise - Al '!M47,"")&amp;IF('Excercise - Al '!O47&lt;&gt;"","   NOTES/REMARKS: "&amp;'Excercise - Al '!O47,"")&amp;IF('Excercise - Al '!Q47&lt;&gt;"","   BACKGROUND INFO: "&amp;'Excercise - Al '!Q47,"")</f>
        <v>STORYLINE: EMAC   DESCRIPTION: Mississippi Issues EMAC Request for Aviation support, 3x UH60's for SAR    NOTES/REMARKS: At 1107 hours, MAJ Johns, MS-JOC- Battle Capt,  contacted CW5 Fontenot, AVN, he said to send EMAC request ALNG can support 3 UH60 out of Mobile because they are having to relocate due to impeding storm.</v>
      </c>
      <c r="G47" s="63" t="str">
        <f>IF('Excercise - Al '!P47&lt;&gt;"","IMPLEMENTER: "&amp;'Excercise - Al '!P47,"")</f>
        <v xml:space="preserve">IMPLEMENTER: Mississippi Issues EMAC Request for Aviation support, 3x UH60's for SAR </v>
      </c>
      <c r="H47" s="63" t="str">
        <f>IF('Excercise - Al '!N47&lt;&gt;"","EXPECTED ACTIONS: "&amp;'Excercise - Al '!N47,"")</f>
        <v/>
      </c>
      <c r="I47" s="63" t="str">
        <f>'Excercise - Al '!R47</f>
        <v>McDonald</v>
      </c>
    </row>
    <row r="48" spans="1:9" s="24" customFormat="1" ht="33.75">
      <c r="A48" s="63">
        <f>'Excercise - Al '!A48</f>
        <v>47</v>
      </c>
      <c r="B48" s="63"/>
      <c r="C48" s="64">
        <f>'Excercise - Al '!E48</f>
        <v>40301.447916666664</v>
      </c>
      <c r="D48" s="63" t="str">
        <f>IF('Excercise - Al '!F48&lt;&gt;0,'Excercise - Al '!F48,"")</f>
        <v>MISSION</v>
      </c>
      <c r="E48" s="63" t="str">
        <f>IF('Excercise - Al '!G48&lt;&gt;"","MODE: "&amp;'Excercise - Al '!G48,"")&amp;IF('Excercise - Al '!H48&lt;&gt;"","   FROM: "&amp;'Excercise - Al '!H48,"")&amp;IF('Excercise - Al '!I48&lt;&gt;"","   INJECTED BY: "&amp;'Excercise - Al '!I48,"")&amp;IF('Excercise - Al '!J48&lt;&gt;"","   SEND TO: "&amp;'Excercise - Al '!J48,"")</f>
        <v>MODE: Email   INJECTED BY: TOMBERLIN</v>
      </c>
      <c r="F48" s="63" t="str">
        <f>IF('Excercise - Al '!K48&lt;&gt;"","STORYLINE: "&amp;'Excercise - Al '!K48,"")&amp;IF('Excercise - Al '!M48&lt;&gt;"","   DESCRIPTION: "&amp;'Excercise - Al '!M48,"")&amp;IF('Excercise - Al '!O48&lt;&gt;"","   NOTES/REMARKS: "&amp;'Excercise - Al '!O48,"")&amp;IF('Excercise - Al '!Q48&lt;&gt;"","   BACKGROUND INFO: "&amp;'Excercise - Al '!Q48,"")</f>
        <v xml:space="preserve">   DESCRIPTION: Request 900 MREs, 100 cots, and 100 blankets to be prepositioned at Fort Whiting, Mobile AL.</v>
      </c>
      <c r="G48" s="63" t="str">
        <f>IF('Excercise - Al '!P48&lt;&gt;"","IMPLEMENTER: "&amp;'Excercise - Al '!P48,"")</f>
        <v>IMPLEMENTER: Request 900 MREs, 100 cots, and 100 blankets to be preposition at Fort Whiting, Mobile AL.</v>
      </c>
      <c r="H48" s="63" t="str">
        <f>IF('Excercise - Al '!N48&lt;&gt;"","EXPECTED ACTIONS: "&amp;'Excercise - Al '!N48,"")</f>
        <v/>
      </c>
      <c r="I48" s="63" t="str">
        <f>'Excercise - Al '!R48</f>
        <v>Therman</v>
      </c>
    </row>
    <row r="49" spans="1:9" s="24" customFormat="1" ht="33.75">
      <c r="A49" s="63">
        <f>'Excercise - Al '!A49</f>
        <v>48</v>
      </c>
      <c r="B49" s="63"/>
      <c r="C49" s="64">
        <f>'Excercise - Al '!E49</f>
        <v>40301.458333333336</v>
      </c>
      <c r="D49" s="63" t="str">
        <f>IF('Excercise - Al '!F49&lt;&gt;0,'Excercise - Al '!F49,"")</f>
        <v>RFI</v>
      </c>
      <c r="E49" s="63" t="str">
        <f>IF('Excercise - Al '!G49&lt;&gt;"","MODE: "&amp;'Excercise - Al '!G49,"")&amp;IF('Excercise - Al '!H49&lt;&gt;"","   FROM: "&amp;'Excercise - Al '!H49,"")&amp;IF('Excercise - Al '!I49&lt;&gt;"","   INJECTED BY: "&amp;'Excercise - Al '!I49,"")&amp;IF('Excercise - Al '!J49&lt;&gt;"","   SEND TO: "&amp;'Excercise - Al '!J49,"")</f>
        <v xml:space="preserve">   INJECTED BY: SEOC LNO</v>
      </c>
      <c r="F49" s="63" t="str">
        <f>IF('Excercise - Al '!K49&lt;&gt;"","STORYLINE: "&amp;'Excercise - Al '!K49,"")&amp;IF('Excercise - Al '!M49&lt;&gt;"","   DESCRIPTION: "&amp;'Excercise - Al '!M49,"")&amp;IF('Excercise - Al '!O49&lt;&gt;"","   NOTES/REMARKS: "&amp;'Excercise - Al '!O49,"")&amp;IF('Excercise - Al '!Q49&lt;&gt;"","   BACKGROUND INFO: "&amp;'Excercise - Al '!Q49,"")</f>
        <v>STORYLINE: EMAC   DESCRIPTION: Army National Guard CAT requests Alabama review resources available IOT support MSNG 3X UH60.</v>
      </c>
      <c r="G49" s="63" t="str">
        <f>IF('Excercise - Al '!P49&lt;&gt;"","IMPLEMENTER: "&amp;'Excercise - Al '!P49,"")</f>
        <v>IMPLEMENTER: Army National Guard CAT requests Alabama review resources available IOT support MSNG 3X UH60.</v>
      </c>
      <c r="H49" s="63" t="str">
        <f>IF('Excercise - Al '!N49&lt;&gt;"","EXPECTED ACTIONS: "&amp;'Excercise - Al '!N49,"")</f>
        <v/>
      </c>
      <c r="I49" s="63" t="str">
        <f>'Excercise - Al '!R49</f>
        <v>Keane</v>
      </c>
    </row>
    <row r="50" spans="1:9" s="24" customFormat="1" ht="33.75">
      <c r="A50" s="63">
        <f>'Excercise - Al '!A50</f>
        <v>49</v>
      </c>
      <c r="B50" s="63"/>
      <c r="C50" s="64">
        <f>'Excercise - Al '!E50</f>
        <v>40301.479166666664</v>
      </c>
      <c r="D50" s="63" t="str">
        <f>IF('Excercise - Al '!F50&lt;&gt;0,'Excercise - Al '!F50,"")</f>
        <v>MISSION - BPT</v>
      </c>
      <c r="E50" s="63" t="str">
        <f>IF('Excercise - Al '!G50&lt;&gt;"","MODE: "&amp;'Excercise - Al '!G50,"")&amp;IF('Excercise - Al '!H50&lt;&gt;"","   FROM: "&amp;'Excercise - Al '!H50,"")&amp;IF('Excercise - Al '!I50&lt;&gt;"","   INJECTED BY: "&amp;'Excercise - Al '!I50,"")&amp;IF('Excercise - Al '!J50&lt;&gt;"","   SEND TO: "&amp;'Excercise - Al '!J50,"")</f>
        <v xml:space="preserve">   INJECTED BY: SEOC LNO</v>
      </c>
      <c r="F50" s="63" t="str">
        <f>IF('Excercise - Al '!K50&lt;&gt;"","STORYLINE: "&amp;'Excercise - Al '!K50,"")&amp;IF('Excercise - Al '!M50&lt;&gt;"","   DESCRIPTION: "&amp;'Excercise - Al '!M50,"")&amp;IF('Excercise - Al '!O50&lt;&gt;"","   NOTES/REMARKS: "&amp;'Excercise - Al '!O50,"")&amp;IF('Excercise - Al '!Q50&lt;&gt;"","   BACKGROUND INFO: "&amp;'Excercise - Al '!Q50,"")</f>
        <v xml:space="preserve">   DESCRIPTION: BPT establish LSA</v>
      </c>
      <c r="G50" s="63" t="str">
        <f>IF('Excercise - Al '!P50&lt;&gt;"","IMPLEMENTER: "&amp;'Excercise - Al '!P50,"")</f>
        <v>IMPLEMENTER: BPT establish ONE LSA Brookley Field, Mobile, requires 20 PAX, 24hrs operations duration of support TBD.</v>
      </c>
      <c r="H50" s="63" t="str">
        <f>IF('Excercise - Al '!N50&lt;&gt;"","EXPECTED ACTIONS: "&amp;'Excercise - Al '!N50,"")</f>
        <v/>
      </c>
      <c r="I50" s="63" t="str">
        <f>'Excercise - Al '!R50</f>
        <v>Keane</v>
      </c>
    </row>
    <row r="51" spans="1:9" s="24" customFormat="1" ht="22.5">
      <c r="A51" s="63">
        <f>'Excercise - Al '!A51</f>
        <v>50</v>
      </c>
      <c r="B51" s="63"/>
      <c r="C51" s="64">
        <f>'Excercise - Al '!E51</f>
        <v>40301.499305555553</v>
      </c>
      <c r="D51" s="63" t="str">
        <f>IF('Excercise - Al '!F51&lt;&gt;0,'Excercise - Al '!F51,"")</f>
        <v>MISSION - BPT</v>
      </c>
      <c r="E51" s="63" t="str">
        <f>IF('Excercise - Al '!G51&lt;&gt;"","MODE: "&amp;'Excercise - Al '!G51,"")&amp;IF('Excercise - Al '!H51&lt;&gt;"","   FROM: "&amp;'Excercise - Al '!H51,"")&amp;IF('Excercise - Al '!I51&lt;&gt;"","   INJECTED BY: "&amp;'Excercise - Al '!I51,"")&amp;IF('Excercise - Al '!J51&lt;&gt;"","   SEND TO: "&amp;'Excercise - Al '!J51,"")</f>
        <v xml:space="preserve">   INJECTED BY: SEOC LNO</v>
      </c>
      <c r="F51" s="63" t="str">
        <f>IF('Excercise - Al '!K51&lt;&gt;"","STORYLINE: "&amp;'Excercise - Al '!K51,"")&amp;IF('Excercise - Al '!M51&lt;&gt;"","   DESCRIPTION: "&amp;'Excercise - Al '!M51,"")&amp;IF('Excercise - Al '!O51&lt;&gt;"","   NOTES/REMARKS: "&amp;'Excercise - Al '!O51,"")&amp;IF('Excercise - Al '!Q51&lt;&gt;"","   BACKGROUND INFO: "&amp;'Excercise - Al '!Q51,"")</f>
        <v xml:space="preserve">   DESCRIPTION: BPT establish and staff 15 PODs at Mobile and Baldwin counties</v>
      </c>
      <c r="G51" s="63" t="str">
        <f>IF('Excercise - Al '!P51&lt;&gt;"","IMPLEMENTER: "&amp;'Excercise - Al '!P51,"")</f>
        <v>IMPLEMENTER: BPT establish and staff 15 PODs at Mobile and Baldwin counties</v>
      </c>
      <c r="H51" s="63" t="str">
        <f>IF('Excercise - Al '!N51&lt;&gt;"","EXPECTED ACTIONS: "&amp;'Excercise - Al '!N51,"")</f>
        <v/>
      </c>
      <c r="I51" s="63" t="str">
        <f>'Excercise - Al '!R51</f>
        <v>Keane</v>
      </c>
    </row>
    <row r="52" spans="1:9" s="24" customFormat="1" ht="101.25">
      <c r="A52" s="63">
        <f>'Excercise - Al '!A52</f>
        <v>51</v>
      </c>
      <c r="B52" s="63"/>
      <c r="C52" s="64">
        <f>'Excercise - Al '!E52</f>
        <v>40301.5</v>
      </c>
      <c r="D52" s="63" t="str">
        <f>IF('Excercise - Al '!F52&lt;&gt;0,'Excercise - Al '!F52,"")</f>
        <v>RFI</v>
      </c>
      <c r="E52" s="63" t="str">
        <f>IF('Excercise - Al '!G52&lt;&gt;"","MODE: "&amp;'Excercise - Al '!G52,"")&amp;IF('Excercise - Al '!H52&lt;&gt;"","   FROM: "&amp;'Excercise - Al '!H52,"")&amp;IF('Excercise - Al '!I52&lt;&gt;"","   INJECTED BY: "&amp;'Excercise - Al '!I52,"")&amp;IF('Excercise - Al '!J52&lt;&gt;"","   SEND TO: "&amp;'Excercise - Al '!J52,"")</f>
        <v>MODE: Email   FROM: Each Task Force   INJECTED BY: TF S2   SEND TO: JOC, J2</v>
      </c>
      <c r="F52" s="63" t="str">
        <f>IF('Excercise - Al '!K52&lt;&gt;"","STORYLINE: "&amp;'Excercise - Al '!K52,"")&amp;IF('Excercise - Al '!M52&lt;&gt;"","   DESCRIPTION: "&amp;'Excercise - Al '!M52,"")&amp;IF('Excercise - Al '!O52&lt;&gt;"","   NOTES/REMARKS: "&amp;'Excercise - Al '!O52,"")&amp;IF('Excercise - Al '!Q52&lt;&gt;"","   BACKGROUND INFO: "&amp;'Excercise - Al '!Q52,"")</f>
        <v xml:space="preserve">   DESCRIPTION: Weather Update/Storm Track</v>
      </c>
      <c r="G52" s="63" t="str">
        <f>IF('Excercise - Al '!P52&lt;&gt;"","IMPLEMENTER: "&amp;'Excercise - Al '!P52,"")</f>
        <v>IMPLEMENTER: Weather RFI from Task Force to J2</v>
      </c>
      <c r="H52" s="63" t="str">
        <f>IF('Excercise - Al '!N52&lt;&gt;"","EXPECTED ACTIONS: "&amp;'Excercise - Al '!N52,"")</f>
        <v>EXPECTED ACTIONS: J2 Provides latest Weather and Storm Track to the TFs</v>
      </c>
      <c r="I52" s="63" t="str">
        <f>'Excercise - Al '!R52</f>
        <v>Houlton</v>
      </c>
    </row>
    <row r="53" spans="1:9" s="24" customFormat="1" ht="22.5">
      <c r="A53" s="63">
        <f>'Excercise - Al '!A53</f>
        <v>52</v>
      </c>
      <c r="B53" s="63"/>
      <c r="C53" s="64">
        <f>'Excercise - Al '!E53</f>
        <v>40301.520833333336</v>
      </c>
      <c r="D53" s="63" t="str">
        <f>IF('Excercise - Al '!F53&lt;&gt;0,'Excercise - Al '!F53,"")</f>
        <v>MISSION</v>
      </c>
      <c r="E53" s="63" t="str">
        <f>IF('Excercise - Al '!G53&lt;&gt;"","MODE: "&amp;'Excercise - Al '!G53,"")&amp;IF('Excercise - Al '!H53&lt;&gt;"","   FROM: "&amp;'Excercise - Al '!H53,"")&amp;IF('Excercise - Al '!I53&lt;&gt;"","   INJECTED BY: "&amp;'Excercise - Al '!I53,"")&amp;IF('Excercise - Al '!J53&lt;&gt;"","   SEND TO: "&amp;'Excercise - Al '!J53,"")</f>
        <v xml:space="preserve">   INJECTED BY: SEOC LNO</v>
      </c>
      <c r="F53" s="63" t="str">
        <f>IF('Excercise - Al '!K53&lt;&gt;"","STORYLINE: "&amp;'Excercise - Al '!K53,"")&amp;IF('Excercise - Al '!M53&lt;&gt;"","   DESCRIPTION: "&amp;'Excercise - Al '!M53,"")&amp;IF('Excercise - Al '!O53&lt;&gt;"","   NOTES/REMARKS: "&amp;'Excercise - Al '!O53,"")&amp;IF('Excercise - Al '!Q53&lt;&gt;"","   BACKGROUND INFO: "&amp;'Excercise - Al '!Q53,"")</f>
        <v xml:space="preserve">   DESCRIPTION: Provide support to SERT (AL)LOG Chief in SEOC (AL)</v>
      </c>
      <c r="G53" s="63" t="str">
        <f>IF('Excercise - Al '!P53&lt;&gt;"","IMPLEMENTER: "&amp;'Excercise - Al '!P53,"")</f>
        <v>IMPLEMENTER: Provide support to SERT (AL)LOG Chief in SEOC (AL)</v>
      </c>
      <c r="H53" s="63" t="str">
        <f>IF('Excercise - Al '!N53&lt;&gt;"","EXPECTED ACTIONS: "&amp;'Excercise - Al '!N53,"")</f>
        <v/>
      </c>
      <c r="I53" s="63" t="str">
        <f>'Excercise - Al '!R53</f>
        <v>Keane</v>
      </c>
    </row>
    <row r="54" spans="1:9" s="24" customFormat="1" ht="45">
      <c r="A54" s="63">
        <f>'Excercise - Al '!A54</f>
        <v>53</v>
      </c>
      <c r="B54" s="63"/>
      <c r="C54" s="64">
        <f>'Excercise - Al '!E54</f>
        <v>40301.541666666664</v>
      </c>
      <c r="D54" s="63" t="str">
        <f>IF('Excercise - Al '!F54&lt;&gt;0,'Excercise - Al '!F54,"")</f>
        <v>MISSION - BPT</v>
      </c>
      <c r="E54" s="63" t="str">
        <f>IF('Excercise - Al '!G54&lt;&gt;"","MODE: "&amp;'Excercise - Al '!G54,"")&amp;IF('Excercise - Al '!H54&lt;&gt;"","   FROM: "&amp;'Excercise - Al '!H54,"")&amp;IF('Excercise - Al '!I54&lt;&gt;"","   INJECTED BY: "&amp;'Excercise - Al '!I54,"")&amp;IF('Excercise - Al '!J54&lt;&gt;"","   SEND TO: "&amp;'Excercise - Al '!J54,"")</f>
        <v xml:space="preserve">   INJECTED BY: SEOC LNO</v>
      </c>
      <c r="F54" s="63" t="str">
        <f>IF('Excercise - Al '!K54&lt;&gt;"","STORYLINE: "&amp;'Excercise - Al '!K54,"")&amp;IF('Excercise - Al '!M54&lt;&gt;"","   DESCRIPTION: "&amp;'Excercise - Al '!M54,"")&amp;IF('Excercise - Al '!O54&lt;&gt;"","   NOTES/REMARKS: "&amp;'Excercise - Al '!O54,"")&amp;IF('Excercise - Al '!Q54&lt;&gt;"","   BACKGROUND INFO: "&amp;'Excercise - Al '!Q54,"")</f>
        <v xml:space="preserve">   DESCRIPTION: Stage &amp; BPT deploy 2 SAR teams to Mobile and Baldwin County EOC locations. </v>
      </c>
      <c r="G54" s="63" t="str">
        <f>IF('Excercise - Al '!P54&lt;&gt;"","IMPLEMENTER: "&amp;'Excercise - Al '!P54,"")</f>
        <v xml:space="preserve">IMPLEMENTER: Stage &amp; BPT deploy 2 SAR teams consisting of 4ea 5tons 16 PAX to Mobile and Baldwin County EOC locations. POC will be Mr. Evens and Mr Raines  </v>
      </c>
      <c r="H54" s="63" t="str">
        <f>IF('Excercise - Al '!N54&lt;&gt;"","EXPECTED ACTIONS: "&amp;'Excercise - Al '!N54,"")</f>
        <v/>
      </c>
      <c r="I54" s="63" t="str">
        <f>'Excercise - Al '!R54</f>
        <v>Keane</v>
      </c>
    </row>
    <row r="55" spans="1:9" s="24" customFormat="1" ht="90">
      <c r="A55" s="63">
        <f>'Excercise - Al '!A55</f>
        <v>54</v>
      </c>
      <c r="B55" s="63"/>
      <c r="C55" s="64">
        <f>'Excercise - Al '!E55</f>
        <v>40301.542361111111</v>
      </c>
      <c r="D55" s="63" t="str">
        <f>IF('Excercise - Al '!F55&lt;&gt;0,'Excercise - Al '!F55,"")</f>
        <v>RFI</v>
      </c>
      <c r="E55" s="63" t="str">
        <f>IF('Excercise - Al '!G55&lt;&gt;"","MODE: "&amp;'Excercise - Al '!G55,"")&amp;IF('Excercise - Al '!H55&lt;&gt;"","   FROM: "&amp;'Excercise - Al '!H55,"")&amp;IF('Excercise - Al '!I55&lt;&gt;"","   INJECTED BY: "&amp;'Excercise - Al '!I55,"")&amp;IF('Excercise - Al '!J55&lt;&gt;"","   SEND TO: "&amp;'Excercise - Al '!J55,"")</f>
        <v>MODE: Email   INJECTED BY: HICKS</v>
      </c>
      <c r="F55" s="63" t="str">
        <f>IF('Excercise - Al '!K55&lt;&gt;"","STORYLINE: "&amp;'Excercise - Al '!K55,"")&amp;IF('Excercise - Al '!M55&lt;&gt;"","   DESCRIPTION: "&amp;'Excercise - Al '!M55,"")&amp;IF('Excercise - Al '!O55&lt;&gt;"","   NOTES/REMARKS: "&amp;'Excercise - Al '!O55,"")&amp;IF('Excercise - Al '!Q55&lt;&gt;"","   BACKGROUND INFO: "&amp;'Excercise - Al '!Q55,"")</f>
        <v>STORYLINE: CHAPLAIN &amp; UMT ACTIIVITIES</v>
      </c>
      <c r="G55" s="63" t="str">
        <f>IF('Excercise - Al '!P55&lt;&gt;"","IMPLEMENTER: "&amp;'Excercise - Al '!P55,"")</f>
        <v>IMPLEMENTER: A Battalion commander reports his unit chaplain cannot be contacted. As a replacement he wants to bring with the unit his civilian pastor to do the chaplain work</v>
      </c>
      <c r="H55" s="63" t="str">
        <f>IF('Excercise - Al '!N55&lt;&gt;"","EXPECTED ACTIONS: "&amp;'Excercise - Al '!N55,"")</f>
        <v>EXPECTED ACTIONS: Deny request &amp; cover with chaplain from another unit</v>
      </c>
      <c r="I55" s="63" t="str">
        <f>'Excercise - Al '!R55</f>
        <v>Hicks</v>
      </c>
    </row>
    <row r="56" spans="1:9" s="24" customFormat="1" ht="22.5">
      <c r="A56" s="63">
        <f>'Excercise - Al '!A56</f>
        <v>55</v>
      </c>
      <c r="B56" s="63"/>
      <c r="C56" s="64">
        <f>'Excercise - Al '!E56</f>
        <v>40301.583333333336</v>
      </c>
      <c r="D56" s="63" t="str">
        <f>IF('Excercise - Al '!F56&lt;&gt;0,'Excercise - Al '!F56,"")</f>
        <v>MISSION</v>
      </c>
      <c r="E56" s="63" t="str">
        <f>IF('Excercise - Al '!G56&lt;&gt;"","MODE: "&amp;'Excercise - Al '!G56,"")&amp;IF('Excercise - Al '!H56&lt;&gt;"","   FROM: "&amp;'Excercise - Al '!H56,"")&amp;IF('Excercise - Al '!I56&lt;&gt;"","   INJECTED BY: "&amp;'Excercise - Al '!I56,"")&amp;IF('Excercise - Al '!J56&lt;&gt;"","   SEND TO: "&amp;'Excercise - Al '!J56,"")</f>
        <v xml:space="preserve">   INJECTED BY: SEOC LNO</v>
      </c>
      <c r="F56" s="63" t="str">
        <f>IF('Excercise - Al '!K56&lt;&gt;"","STORYLINE: "&amp;'Excercise - Al '!K56,"")&amp;IF('Excercise - Al '!M56&lt;&gt;"","   DESCRIPTION: "&amp;'Excercise - Al '!M56,"")&amp;IF('Excercise - Al '!O56&lt;&gt;"","   NOTES/REMARKS: "&amp;'Excercise - Al '!O56,"")&amp;IF('Excercise - Al '!Q56&lt;&gt;"","   BACKGROUND INFO: "&amp;'Excercise - Al '!Q56,"")</f>
        <v xml:space="preserve">   DESCRIPTION: Provide SAR Planner to SEOC (AL) ESF 9</v>
      </c>
      <c r="G56" s="63" t="str">
        <f>IF('Excercise - Al '!P56&lt;&gt;"","IMPLEMENTER: "&amp;'Excercise - Al '!P56,"")</f>
        <v>IMPLEMENTER: Provide SAR Planner to SEOC (AL) ESF 9</v>
      </c>
      <c r="H56" s="63" t="str">
        <f>IF('Excercise - Al '!N56&lt;&gt;"","EXPECTED ACTIONS: "&amp;'Excercise - Al '!N56,"")</f>
        <v/>
      </c>
      <c r="I56" s="63" t="str">
        <f>'Excercise - Al '!R56</f>
        <v>Keane</v>
      </c>
    </row>
    <row r="57" spans="1:9" s="24" customFormat="1" ht="22.5">
      <c r="A57" s="63">
        <f>'Excercise - Al '!A57</f>
        <v>56</v>
      </c>
      <c r="B57" s="63"/>
      <c r="C57" s="64">
        <f>'Excercise - Al '!E57</f>
        <v>40301.604166666664</v>
      </c>
      <c r="D57" s="63" t="str">
        <f>IF('Excercise - Al '!F57&lt;&gt;0,'Excercise - Al '!F57,"")</f>
        <v>MISSION - BPT</v>
      </c>
      <c r="E57" s="63" t="str">
        <f>IF('Excercise - Al '!G57&lt;&gt;"","MODE: "&amp;'Excercise - Al '!G57,"")&amp;IF('Excercise - Al '!H57&lt;&gt;"","   FROM: "&amp;'Excercise - Al '!H57,"")&amp;IF('Excercise - Al '!I57&lt;&gt;"","   INJECTED BY: "&amp;'Excercise - Al '!I57,"")&amp;IF('Excercise - Al '!J57&lt;&gt;"","   SEND TO: "&amp;'Excercise - Al '!J57,"")</f>
        <v xml:space="preserve">   INJECTED BY: SEOC LNO</v>
      </c>
      <c r="F57" s="63" t="str">
        <f>IF('Excercise - Al '!K57&lt;&gt;"","STORYLINE: "&amp;'Excercise - Al '!K57,"")&amp;IF('Excercise - Al '!M57&lt;&gt;"","   DESCRIPTION: "&amp;'Excercise - Al '!M57,"")&amp;IF('Excercise - Al '!O57&lt;&gt;"","   NOTES/REMARKS: "&amp;'Excercise - Al '!O57,"")&amp;IF('Excercise - Al '!Q57&lt;&gt;"","   BACKGROUND INFO: "&amp;'Excercise - Al '!Q57,"")</f>
        <v xml:space="preserve">   DESCRIPTION: BPT support Aviation assets to assist with SAR</v>
      </c>
      <c r="G57" s="63" t="str">
        <f>IF('Excercise - Al '!P57&lt;&gt;"","IMPLEMENTER: "&amp;'Excercise - Al '!P57,"")</f>
        <v>IMPLEMENTER: BPT support Aviation assets to assist with SAR</v>
      </c>
      <c r="H57" s="63" t="str">
        <f>IF('Excercise - Al '!N57&lt;&gt;"","EXPECTED ACTIONS: "&amp;'Excercise - Al '!N57,"")</f>
        <v/>
      </c>
      <c r="I57" s="63" t="str">
        <f>'Excercise - Al '!R57</f>
        <v>Keane</v>
      </c>
    </row>
    <row r="58" spans="1:9" s="24" customFormat="1" ht="33.75">
      <c r="A58" s="63">
        <f>'Excercise - Al '!A58</f>
        <v>57</v>
      </c>
      <c r="B58" s="63"/>
      <c r="C58" s="64">
        <f>'Excercise - Al '!E58</f>
        <v>40301.625</v>
      </c>
      <c r="D58" s="63" t="str">
        <f>IF('Excercise - Al '!F58&lt;&gt;0,'Excercise - Al '!F58,"")</f>
        <v>MISSION - BPT</v>
      </c>
      <c r="E58" s="63" t="str">
        <f>IF('Excercise - Al '!G58&lt;&gt;"","MODE: "&amp;'Excercise - Al '!G58,"")&amp;IF('Excercise - Al '!H58&lt;&gt;"","   FROM: "&amp;'Excercise - Al '!H58,"")&amp;IF('Excercise - Al '!I58&lt;&gt;"","   INJECTED BY: "&amp;'Excercise - Al '!I58,"")&amp;IF('Excercise - Al '!J58&lt;&gt;"","   SEND TO: "&amp;'Excercise - Al '!J58,"")</f>
        <v xml:space="preserve">   INJECTED BY: SEOC LNO</v>
      </c>
      <c r="F58" s="63" t="str">
        <f>IF('Excercise - Al '!K58&lt;&gt;"","STORYLINE: "&amp;'Excercise - Al '!K58,"")&amp;IF('Excercise - Al '!M58&lt;&gt;"","   DESCRIPTION: "&amp;'Excercise - Al '!M58,"")&amp;IF('Excercise - Al '!O58&lt;&gt;"","   NOTES/REMARKS: "&amp;'Excercise - Al '!O58,"")&amp;IF('Excercise - Al '!Q58&lt;&gt;"","   BACKGROUND INFO: "&amp;'Excercise - Al '!Q58,"")</f>
        <v xml:space="preserve">   DESCRIPTION: BPT to provide airlift of Gov and his key staff for aerial assessment on or about 6 May 10</v>
      </c>
      <c r="G58" s="63" t="str">
        <f>IF('Excercise - Al '!P58&lt;&gt;"","IMPLEMENTER: "&amp;'Excercise - Al '!P58,"")</f>
        <v>IMPLEMENTER: BPT to provide airlift of Gov and his key staff for aerial assessment on or about 6 May 10</v>
      </c>
      <c r="H58" s="63" t="str">
        <f>IF('Excercise - Al '!N58&lt;&gt;"","EXPECTED ACTIONS: "&amp;'Excercise - Al '!N58,"")</f>
        <v/>
      </c>
      <c r="I58" s="63" t="str">
        <f>'Excercise - Al '!R58</f>
        <v>Keane</v>
      </c>
    </row>
    <row r="59" spans="1:9" s="24" customFormat="1" ht="112.5">
      <c r="A59" s="63">
        <f>'Excercise - Al '!A59</f>
        <v>58</v>
      </c>
      <c r="B59" s="63"/>
      <c r="C59" s="64">
        <f>'Excercise - Al '!E59</f>
        <v>40301.625</v>
      </c>
      <c r="D59" s="63" t="str">
        <f>IF('Excercise - Al '!F59&lt;&gt;0,'Excercise - Al '!F59,"")</f>
        <v/>
      </c>
      <c r="E59" s="63" t="str">
        <f>IF('Excercise - Al '!G59&lt;&gt;"","MODE: "&amp;'Excercise - Al '!G59,"")&amp;IF('Excercise - Al '!H59&lt;&gt;"","   FROM: "&amp;'Excercise - Al '!H59,"")&amp;IF('Excercise - Al '!I59&lt;&gt;"","   INJECTED BY: "&amp;'Excercise - Al '!I59,"")&amp;IF('Excercise - Al '!J59&lt;&gt;"","   SEND TO: "&amp;'Excercise - Al '!J59,"")</f>
        <v/>
      </c>
      <c r="F59" s="63" t="str">
        <f>IF('Excercise - Al '!K59&lt;&gt;"","STORYLINE: "&amp;'Excercise - Al '!K59,"")&amp;IF('Excercise - Al '!M59&lt;&gt;"","   DESCRIPTION: "&amp;'Excercise - Al '!M59,"")&amp;IF('Excercise - Al '!O59&lt;&gt;"","   NOTES/REMARKS: "&amp;'Excercise - Al '!O59,"")&amp;IF('Excercise - Al '!Q59&lt;&gt;"","   BACKGROUND INFO: "&amp;'Excercise - Al '!Q59,"")</f>
        <v xml:space="preserve">STORYLINE: Due to the impending threat of Hurricane Al the Governor's of Texas, LA, MS has ordered a state of emergency for all of the respective Coastal areas.  Officials ordered a mandatory evacuation of visitors and special needs clients beginning at 9 a.m. Tuesday, 4 May. 
A phased evacuation of all residents begins Tuesday, May 4, 2010 at 8 a.m. 
</v>
      </c>
      <c r="G59" s="63" t="str">
        <f>IF('Excercise - Al '!P59&lt;&gt;"","IMPLEMENTER: "&amp;'Excercise - Al '!P59,"")</f>
        <v xml:space="preserve">IMPLEMENTER: Due to the impending threat of Hurricane Al the Governor's of Texas, LA, MS has ordered a state of emergency for all of the respective Coastal areas.  Officials ordered a mandatory evacuation of visitors and special needs clients beginning at 9 a.m. Tuesday, 4 May. 
A phased evacuation of all residents begins Tuesday, May 4, 2010 at 8 a.m. 
</v>
      </c>
      <c r="H59" s="63" t="str">
        <f>IF('Excercise - Al '!N59&lt;&gt;"","EXPECTED ACTIONS: "&amp;'Excercise - Al '!N59,"")</f>
        <v/>
      </c>
      <c r="I59" s="63">
        <f>'Excercise - Al '!R59</f>
        <v>0</v>
      </c>
    </row>
    <row r="60" spans="1:9" s="24" customFormat="1" ht="22.5">
      <c r="A60" s="63">
        <f>'Excercise - Al '!A60</f>
        <v>59</v>
      </c>
      <c r="B60" s="63"/>
      <c r="C60" s="64">
        <f>'Excercise - Al '!E60</f>
        <v>40301.645833333336</v>
      </c>
      <c r="D60" s="63" t="str">
        <f>IF('Excercise - Al '!F60&lt;&gt;0,'Excercise - Al '!F60,"")</f>
        <v>MISSION - BPT</v>
      </c>
      <c r="E60" s="63" t="str">
        <f>IF('Excercise - Al '!G60&lt;&gt;"","MODE: "&amp;'Excercise - Al '!G60,"")&amp;IF('Excercise - Al '!H60&lt;&gt;"","   FROM: "&amp;'Excercise - Al '!H60,"")&amp;IF('Excercise - Al '!I60&lt;&gt;"","   INJECTED BY: "&amp;'Excercise - Al '!I60,"")&amp;IF('Excercise - Al '!J60&lt;&gt;"","   SEND TO: "&amp;'Excercise - Al '!J60,"")</f>
        <v xml:space="preserve">   INJECTED BY: SEOC LNO</v>
      </c>
      <c r="F60" s="63" t="str">
        <f>IF('Excercise - Al '!K60&lt;&gt;"","STORYLINE: "&amp;'Excercise - Al '!K60,"")&amp;IF('Excercise - Al '!M60&lt;&gt;"","   DESCRIPTION: "&amp;'Excercise - Al '!M60,"")&amp;IF('Excercise - Al '!O60&lt;&gt;"","   NOTES/REMARKS: "&amp;'Excercise - Al '!O60,"")&amp;IF('Excercise - Al '!Q60&lt;&gt;"","   BACKGROUND INFO: "&amp;'Excercise - Al '!Q60,"")</f>
        <v xml:space="preserve">   DESCRIPTION: BPT provide Comms to affected areas EOCs</v>
      </c>
      <c r="G60" s="63" t="str">
        <f>IF('Excercise - Al '!P60&lt;&gt;"","IMPLEMENTER: "&amp;'Excercise - Al '!P60,"")</f>
        <v>IMPLEMENTER: BPT provide Comms to affected areas EOCs</v>
      </c>
      <c r="H60" s="63" t="str">
        <f>IF('Excercise - Al '!N60&lt;&gt;"","EXPECTED ACTIONS: "&amp;'Excercise - Al '!N60,"")</f>
        <v/>
      </c>
      <c r="I60" s="63" t="str">
        <f>'Excercise - Al '!R60</f>
        <v>Keane</v>
      </c>
    </row>
    <row r="61" spans="1:9" s="24" customFormat="1" ht="45">
      <c r="A61" s="63">
        <f>'Excercise - Al '!A61</f>
        <v>60</v>
      </c>
      <c r="B61" s="63"/>
      <c r="C61" s="64">
        <f>'Excercise - Al '!E61</f>
        <v>40301.65625</v>
      </c>
      <c r="D61" s="63" t="str">
        <f>IF('Excercise - Al '!F61&lt;&gt;0,'Excercise - Al '!F61,"")</f>
        <v>MISSION - BPT</v>
      </c>
      <c r="E61" s="63" t="str">
        <f>IF('Excercise - Al '!G61&lt;&gt;"","MODE: "&amp;'Excercise - Al '!G61,"")&amp;IF('Excercise - Al '!H61&lt;&gt;"","   FROM: "&amp;'Excercise - Al '!H61,"")&amp;IF('Excercise - Al '!I61&lt;&gt;"","   INJECTED BY: "&amp;'Excercise - Al '!I61,"")&amp;IF('Excercise - Al '!J61&lt;&gt;"","   SEND TO: "&amp;'Excercise - Al '!J61,"")</f>
        <v xml:space="preserve">   INJECTED BY: SEOC LNO</v>
      </c>
      <c r="F61" s="63" t="str">
        <f>IF('Excercise - Al '!K61&lt;&gt;"","STORYLINE: "&amp;'Excercise - Al '!K61,"")&amp;IF('Excercise - Al '!M61&lt;&gt;"","   DESCRIPTION: "&amp;'Excercise - Al '!M61,"")&amp;IF('Excercise - Al '!O61&lt;&gt;"","   NOTES/REMARKS: "&amp;'Excercise - Al '!O61,"")&amp;IF('Excercise - Al '!Q61&lt;&gt;"","   BACKGROUND INFO: "&amp;'Excercise - Al '!Q61,"")</f>
        <v xml:space="preserve">   DESCRIPTION: BPT to provide 3000 Soldiers for security operations in South and Central Alabama</v>
      </c>
      <c r="G61" s="63" t="str">
        <f>IF('Excercise - Al '!P61&lt;&gt;"","IMPLEMENTER: "&amp;'Excercise - Al '!P61,"")</f>
        <v>IMPLEMENTER: BPT to provide 3000 Soldiers for security operations in South and Central Alabama; locations TBD.  Request units be self sustaining.</v>
      </c>
      <c r="H61" s="63" t="str">
        <f>IF('Excercise - Al '!N61&lt;&gt;"","EXPECTED ACTIONS: "&amp;'Excercise - Al '!N61,"")</f>
        <v/>
      </c>
      <c r="I61" s="63" t="str">
        <f>'Excercise - Al '!R61</f>
        <v>Keane</v>
      </c>
    </row>
    <row r="62" spans="1:9" s="24" customFormat="1" ht="281.25">
      <c r="A62" s="63">
        <f>'Excercise - Al '!A62</f>
        <v>61</v>
      </c>
      <c r="B62" s="63"/>
      <c r="C62" s="64">
        <f>'Excercise - Al '!E62</f>
        <v>40301.666666666664</v>
      </c>
      <c r="D62" s="63" t="str">
        <f>IF('Excercise - Al '!F62&lt;&gt;0,'Excercise - Al '!F62,"")</f>
        <v>INFO</v>
      </c>
      <c r="E62" s="63" t="str">
        <f>IF('Excercise - Al '!G62&lt;&gt;"","MODE: "&amp;'Excercise - Al '!G62,"")&amp;IF('Excercise - Al '!H62&lt;&gt;"","   FROM: "&amp;'Excercise - Al '!H62,"")&amp;IF('Excercise - Al '!I62&lt;&gt;"","   INJECTED BY: "&amp;'Excercise - Al '!I62,"")&amp;IF('Excercise - Al '!J62&lt;&gt;"","   SEND TO: "&amp;'Excercise - Al '!J62,"")</f>
        <v>MODE: Email   FROM: Simcell - National Hurricane Center   INJECTED BY: KEANE   SEND TO: JOC, All</v>
      </c>
      <c r="F62" s="63" t="str">
        <f>IF('Excercise - Al '!K62&lt;&gt;"","STORYLINE: "&amp;'Excercise - Al '!K62,"")&amp;IF('Excercise - Al '!M62&lt;&gt;"","   DESCRIPTION: "&amp;'Excercise - Al '!M62,"")&amp;IF('Excercise - Al '!O62&lt;&gt;"","   NOTES/REMARKS: "&amp;'Excercise - Al '!O62,"")&amp;IF('Excercise - Al '!Q62&lt;&gt;"","   BACKGROUND INFO: "&amp;'Excercise - Al '!Q62,"")</f>
        <v>STORYLINE: Tropical Storm Al Update 11   DESCRIPTION: Tropical Storm Al Update 11</v>
      </c>
      <c r="G62" s="63" t="str">
        <f>IF('Excercise - Al '!P62&lt;&gt;"","IMPLEMENTER: "&amp;'Excercise - Al '!P62,"")</f>
        <v xml:space="preserve">IMPLEMENTER: 
... HURRICANE AL MOVING NORTHWESTWARD...APPROACHING THE YUCATAN PENINSULA
TOMORROW...
SUMMARY OF 1700 AM EDT...2100 UTC...INFORMATION
-----------------------------------------------
LOCATION...19.0N 84.1W
ABOUT 179 MILES...288 KM...SOUTHWEST OF GEORGE TOWN CAYMAN ISLANDS 
ABOUT 229 MILES...367 KM...SOUTHEAST OF COZUMEL MEXICO
ABOUT 287 MILES...463 KM...EAST-NORTHEAST OF BELIZE CITY BELIZE
MAXIMUM SUSTAINED WINDS...120 MPH...193 KM/HR
PRESENT MOVEMENT...WNW OR 307 DEGREES AT 15 MPH...24 KM/HR
MINIMUM CENTRAL PRESSURE...953 MB...28.14 INCHES
</v>
      </c>
      <c r="H62" s="63" t="str">
        <f>IF('Excercise - Al '!N62&lt;&gt;"","EXPECTED ACTIONS: "&amp;'Excercise - Al '!N62,"")</f>
        <v/>
      </c>
      <c r="I62" s="63" t="str">
        <f>'Excercise - Al '!R62</f>
        <v>Keane</v>
      </c>
    </row>
    <row r="63" spans="1:9" s="24" customFormat="1" ht="45">
      <c r="A63" s="63">
        <f>'Excercise - Al '!A63</f>
        <v>62</v>
      </c>
      <c r="B63" s="63"/>
      <c r="C63" s="64">
        <f>'Excercise - Al '!E63</f>
        <v>40301.6875</v>
      </c>
      <c r="D63" s="63" t="str">
        <f>IF('Excercise - Al '!F63&lt;&gt;0,'Excercise - Al '!F63,"")</f>
        <v/>
      </c>
      <c r="E63" s="63" t="str">
        <f>IF('Excercise - Al '!G63&lt;&gt;"","MODE: "&amp;'Excercise - Al '!G63,"")&amp;IF('Excercise - Al '!H63&lt;&gt;"","   FROM: "&amp;'Excercise - Al '!H63,"")&amp;IF('Excercise - Al '!I63&lt;&gt;"","   INJECTED BY: "&amp;'Excercise - Al '!I63,"")&amp;IF('Excercise - Al '!J63&lt;&gt;"","   SEND TO: "&amp;'Excercise - Al '!J63,"")</f>
        <v xml:space="preserve">   INJECTED BY: DENNIS</v>
      </c>
      <c r="F63" s="63" t="str">
        <f>IF('Excercise - Al '!K63&lt;&gt;"","STORYLINE: "&amp;'Excercise - Al '!K63,"")&amp;IF('Excercise - Al '!M63&lt;&gt;"","   DESCRIPTION: "&amp;'Excercise - Al '!M63,"")&amp;IF('Excercise - Al '!O63&lt;&gt;"","   NOTES/REMARKS: "&amp;'Excercise - Al '!O63,"")&amp;IF('Excercise - Al '!Q63&lt;&gt;"","   BACKGROUND INFO: "&amp;'Excercise - Al '!Q63,"")</f>
        <v xml:space="preserve">   DESCRIPTION: USPFO - ADP requests a 30 KW generator to be positioned at the USPFO building to maintain computer connectivity for AL Nat Guard.</v>
      </c>
      <c r="G63" s="63" t="str">
        <f>IF('Excercise - Al '!P63&lt;&gt;"","IMPLEMENTER: "&amp;'Excercise - Al '!P63,"")</f>
        <v>IMPLEMENTER: USPFO - ADP requests a 30 KW generator to be positioned at the USPFO building to maintain computer connectivity for AL Nat Guard.</v>
      </c>
      <c r="H63" s="63" t="str">
        <f>IF('Excercise - Al '!N63&lt;&gt;"","EXPECTED ACTIONS: "&amp;'Excercise - Al '!N63,"")</f>
        <v/>
      </c>
      <c r="I63" s="63" t="str">
        <f>'Excercise - Al '!R63</f>
        <v>Keane</v>
      </c>
    </row>
    <row r="64" spans="1:9" s="24" customFormat="1" ht="146.25">
      <c r="A64" s="63">
        <f>'Excercise - Al '!A64</f>
        <v>63</v>
      </c>
      <c r="B64" s="63"/>
      <c r="C64" s="64">
        <f>'Excercise - Al '!E64</f>
        <v>40301.697916666664</v>
      </c>
      <c r="D64" s="63" t="str">
        <f>IF('Excercise - Al '!F64&lt;&gt;0,'Excercise - Al '!F64,"")</f>
        <v>INFO - Holman Prison</v>
      </c>
      <c r="E64" s="63" t="str">
        <f>IF('Excercise - Al '!G64&lt;&gt;"","MODE: "&amp;'Excercise - Al '!G64,"")&amp;IF('Excercise - Al '!H64&lt;&gt;"","   FROM: "&amp;'Excercise - Al '!H64,"")&amp;IF('Excercise - Al '!I64&lt;&gt;"","   INJECTED BY: "&amp;'Excercise - Al '!I64,"")&amp;IF('Excercise - Al '!J64&lt;&gt;"","   SEND TO: "&amp;'Excercise - Al '!J64,"")</f>
        <v>MODE: E-Mail   FROM: SEOC Department of Public Safety LNO   INJECTED BY: SEOC LNO   SEND TO: JOC Message Center</v>
      </c>
      <c r="F64" s="63" t="str">
        <f>IF('Excercise - Al '!K64&lt;&gt;"","STORYLINE: "&amp;'Excercise - Al '!K64,"")&amp;IF('Excercise - Al '!M64&lt;&gt;"","   DESCRIPTION: "&amp;'Excercise - Al '!M64,"")&amp;IF('Excercise - Al '!O64&lt;&gt;"","   NOTES/REMARKS: "&amp;'Excercise - Al '!O64,"")&amp;IF('Excercise - Al '!Q64&lt;&gt;"","   BACKGROUND INFO: "&amp;'Excercise - Al '!Q64,"")</f>
        <v>STORYLINE: Holman Prison Blues   DESCRIPTION: Gulf Shores police report confrontation with motorcycle gang</v>
      </c>
      <c r="G64" s="63" t="str">
        <f>IF('Excercise - Al '!P64&lt;&gt;"","IMPLEMENTER: "&amp;'Excercise - Al '!P64,"")</f>
        <v xml:space="preserve">IMPLEMENTER: Gulf Shores Police Department reports confrontation with twelve members of out-of-state outlaw motorcycle club(Road Vermin M/C) who were drunk and disorderly at a local bar.  Gulf Shores Police indicate that incident was handled with no need for arrests.  They also indicate that an unusually large number of outlaw M/C members are present in the Gulf Coast area, particularly prior to a hurricane.  They indicate that the Road Vermin M/C has known alliances with white supremacist organizations. </v>
      </c>
      <c r="H64" s="63" t="str">
        <f>IF('Excercise - Al '!N64&lt;&gt;"","EXPECTED ACTIONS: "&amp;'Excercise - Al '!N64,"")</f>
        <v/>
      </c>
      <c r="I64" s="63" t="str">
        <f>'Excercise - Al '!R64</f>
        <v>Jenne</v>
      </c>
    </row>
    <row r="65" spans="1:9" s="24" customFormat="1" ht="33.75">
      <c r="A65" s="63">
        <f>'Excercise - Al '!A65</f>
        <v>64</v>
      </c>
      <c r="B65" s="63"/>
      <c r="C65" s="64">
        <f>'Excercise - Al '!E65</f>
        <v>40301.708333333336</v>
      </c>
      <c r="D65" s="63" t="str">
        <f>IF('Excercise - Al '!F65&lt;&gt;0,'Excercise - Al '!F65,"")</f>
        <v>MISSION - BPT</v>
      </c>
      <c r="E65" s="63" t="str">
        <f>IF('Excercise - Al '!G65&lt;&gt;"","MODE: "&amp;'Excercise - Al '!G65,"")&amp;IF('Excercise - Al '!H65&lt;&gt;"","   FROM: "&amp;'Excercise - Al '!H65,"")&amp;IF('Excercise - Al '!I65&lt;&gt;"","   INJECTED BY: "&amp;'Excercise - Al '!I65,"")&amp;IF('Excercise - Al '!J65&lt;&gt;"","   SEND TO: "&amp;'Excercise - Al '!J65,"")</f>
        <v xml:space="preserve">   INJECTED BY: SEOC LNO</v>
      </c>
      <c r="F65" s="63" t="str">
        <f>IF('Excercise - Al '!K65&lt;&gt;"","STORYLINE: "&amp;'Excercise - Al '!K65,"")&amp;IF('Excercise - Al '!M65&lt;&gt;"","   DESCRIPTION: "&amp;'Excercise - Al '!M65,"")&amp;IF('Excercise - Al '!O65&lt;&gt;"","   NOTES/REMARKS: "&amp;'Excercise - Al '!O65,"")&amp;IF('Excercise - Al '!Q65&lt;&gt;"","   BACKGROUND INFO: "&amp;'Excercise - Al '!Q65,"")</f>
        <v xml:space="preserve">   DESCRIPTION: BPT provide Engineer assets for re-entry and debris operations  in affected counties.</v>
      </c>
      <c r="G65" s="63" t="str">
        <f>IF('Excercise - Al '!P65&lt;&gt;"","IMPLEMENTER: "&amp;'Excercise - Al '!P65,"")</f>
        <v>IMPLEMENTER: BPT provide Engineer assets for re-entry and debris operations  in affected counties.</v>
      </c>
      <c r="H65" s="63" t="str">
        <f>IF('Excercise - Al '!N65&lt;&gt;"","EXPECTED ACTIONS: "&amp;'Excercise - Al '!N65,"")</f>
        <v/>
      </c>
      <c r="I65" s="63" t="str">
        <f>'Excercise - Al '!R65</f>
        <v>Keane</v>
      </c>
    </row>
    <row r="66" spans="1:9" s="24" customFormat="1" ht="90">
      <c r="A66" s="63">
        <f>'Excercise - Al '!A66</f>
        <v>65</v>
      </c>
      <c r="B66" s="63"/>
      <c r="C66" s="64">
        <f>'Excercise - Al '!E66</f>
        <v>40301.708333333336</v>
      </c>
      <c r="D66" s="63" t="str">
        <f>IF('Excercise - Al '!F66&lt;&gt;0,'Excercise - Al '!F66,"")</f>
        <v>RFI</v>
      </c>
      <c r="E66" s="63" t="str">
        <f>IF('Excercise - Al '!G66&lt;&gt;"","MODE: "&amp;'Excercise - Al '!G66,"")&amp;IF('Excercise - Al '!H66&lt;&gt;"","   FROM: "&amp;'Excercise - Al '!H66,"")&amp;IF('Excercise - Al '!I66&lt;&gt;"","   INJECTED BY: "&amp;'Excercise - Al '!I66,"")&amp;IF('Excercise - Al '!J66&lt;&gt;"","   SEND TO: "&amp;'Excercise - Al '!J66,"")</f>
        <v>MODE: Phone   INJECTED BY: P. MCDONALD</v>
      </c>
      <c r="F66" s="63" t="str">
        <f>IF('Excercise - Al '!K66&lt;&gt;"","STORYLINE: "&amp;'Excercise - Al '!K66,"")&amp;IF('Excercise - Al '!M66&lt;&gt;"","   DESCRIPTION: "&amp;'Excercise - Al '!M66,"")&amp;IF('Excercise - Al '!O66&lt;&gt;"","   NOTES/REMARKS: "&amp;'Excercise - Al '!O66,"")&amp;IF('Excercise - Al '!Q66&lt;&gt;"","   BACKGROUND INFO: "&amp;'Excercise - Al '!Q66,"")</f>
        <v>STORYLINE: The Department of Defense has ordered an evacuation of personnel, aircraft and ships from the Gulf of Mexico.  Some DoD aircraft will be made available to state and federal agencies until 24 hours from estimated landfall.   NOTES/REMARKS: At 1711 hours, CAPT Manson, DCSOPS NAVOPS, advised  MAJ Davis, AL-JOC that DoD assets were available through DCO.</v>
      </c>
      <c r="G66" s="63" t="str">
        <f>IF('Excercise - Al '!P66&lt;&gt;"","IMPLEMENTER: "&amp;'Excercise - Al '!P66,"")</f>
        <v>IMPLEMENTER: The Department of Defense has ordered an evacuation of personnel, aircraft and ships from the Gulf of Mexico.  Some DoD aircraft will be made available to state and federal agencies until 24 hours from estimated landfall.</v>
      </c>
      <c r="H66" s="63" t="str">
        <f>IF('Excercise - Al '!N66&lt;&gt;"","EXPECTED ACTIONS: "&amp;'Excercise - Al '!N66,"")</f>
        <v/>
      </c>
      <c r="I66" s="63" t="str">
        <f>'Excercise - Al '!R66</f>
        <v>McDonald</v>
      </c>
    </row>
    <row r="67" spans="1:9" s="24" customFormat="1" ht="56.25">
      <c r="A67" s="63">
        <f>'Excercise - Al '!A67</f>
        <v>66</v>
      </c>
      <c r="B67" s="63"/>
      <c r="C67" s="64">
        <f>'Excercise - Al '!E67</f>
        <v>40301.727777777778</v>
      </c>
      <c r="D67" s="63" t="str">
        <f>IF('Excercise - Al '!F67&lt;&gt;0,'Excercise - Al '!F67,"")</f>
        <v>RFI</v>
      </c>
      <c r="E67" s="63" t="str">
        <f>IF('Excercise - Al '!G67&lt;&gt;"","MODE: "&amp;'Excercise - Al '!G67,"")&amp;IF('Excercise - Al '!H67&lt;&gt;"","   FROM: "&amp;'Excercise - Al '!H67,"")&amp;IF('Excercise - Al '!I67&lt;&gt;"","   INJECTED BY: "&amp;'Excercise - Al '!I67,"")&amp;IF('Excercise - Al '!J67&lt;&gt;"","   SEND TO: "&amp;'Excercise - Al '!J67,"")</f>
        <v xml:space="preserve">   INJECTED BY: SEOC LNO</v>
      </c>
      <c r="F67" s="63" t="str">
        <f>IF('Excercise - Al '!K67&lt;&gt;"","STORYLINE: "&amp;'Excercise - Al '!K67,"")&amp;IF('Excercise - Al '!M67&lt;&gt;"","   DESCRIPTION: "&amp;'Excercise - Al '!M67,"")&amp;IF('Excercise - Al '!O67&lt;&gt;"","   NOTES/REMARKS: "&amp;'Excercise - Al '!O67,"")&amp;IF('Excercise - Al '!Q67&lt;&gt;"","   BACKGROUND INFO: "&amp;'Excercise - Al '!Q67,"")</f>
        <v>STORYLINE: CONTRA FLOW   DESCRIPTION: DOT through AEMA requests information on availability of 100 soldiers and 50 vehicles for assistance in implementing the I-65 Lane Reversal Contingency Plan.</v>
      </c>
      <c r="G67" s="63" t="str">
        <f>IF('Excercise - Al '!P67&lt;&gt;"","IMPLEMENTER: "&amp;'Excercise - Al '!P67,"")</f>
        <v>IMPLEMENTER: DOT through AEMA requests information on availability of 100 soldiers and 50 vehicles for assistance in implementing the I-65 Lane Reversal Contingency Plan.</v>
      </c>
      <c r="H67" s="63" t="str">
        <f>IF('Excercise - Al '!N67&lt;&gt;"","EXPECTED ACTIONS: "&amp;'Excercise - Al '!N67,"")</f>
        <v/>
      </c>
      <c r="I67" s="63" t="str">
        <f>'Excercise - Al '!R67</f>
        <v>Keane</v>
      </c>
    </row>
    <row r="68" spans="1:9" s="24" customFormat="1" ht="168.75">
      <c r="A68" s="63">
        <f>'Excercise - Al '!A68</f>
        <v>67</v>
      </c>
      <c r="B68" s="63"/>
      <c r="C68" s="64">
        <f>'Excercise - Al '!E68</f>
        <v>40301.770833333336</v>
      </c>
      <c r="D68" s="63" t="str">
        <f>IF('Excercise - Al '!F68&lt;&gt;0,'Excercise - Al '!F68,"")</f>
        <v>INFO - Holman Prison</v>
      </c>
      <c r="E68" s="63" t="str">
        <f>IF('Excercise - Al '!G68&lt;&gt;"","MODE: "&amp;'Excercise - Al '!G68,"")&amp;IF('Excercise - Al '!H68&lt;&gt;"","   FROM: "&amp;'Excercise - Al '!H68,"")&amp;IF('Excercise - Al '!I68&lt;&gt;"","   INJECTED BY: "&amp;'Excercise - Al '!I68,"")&amp;IF('Excercise - Al '!J68&lt;&gt;"","   SEND TO: "&amp;'Excercise - Al '!J68,"")</f>
        <v>MODE: Phone Call   FROM: SEOC LNO   INJECTED BY: SEOC LNO   SEND TO: J-3</v>
      </c>
      <c r="F68" s="63" t="str">
        <f>IF('Excercise - Al '!K68&lt;&gt;"","STORYLINE: "&amp;'Excercise - Al '!K68,"")&amp;IF('Excercise - Al '!M68&lt;&gt;"","   DESCRIPTION: "&amp;'Excercise - Al '!M68,"")&amp;IF('Excercise - Al '!O68&lt;&gt;"","   NOTES/REMARKS: "&amp;'Excercise - Al '!O68,"")&amp;IF('Excercise - Al '!Q68&lt;&gt;"","   BACKGROUND INFO: "&amp;'Excercise - Al '!Q68,"")</f>
        <v>STORYLINE: Holman Prison Blues   DESCRIPTION: SEOC LNO calls in "heads up" notification that DOC may request Guard assistance at Holman Prison</v>
      </c>
      <c r="G68" s="63" t="str">
        <f>IF('Excercise - Al '!P68&lt;&gt;"","IMPLEMENTER: "&amp;'Excercise - Al '!P68,"")</f>
        <v>IMPLEMENTER: SEOC LNO describes developing situation at Holman Prison in which inmates apparently intend to riot and take over the prison during the hurricane, followed by a mass escape assisted by external forces.  LNO states that DOC and State Troopers are confident that they can manage the situation inside the prison, to include the perimeter, but are concerned about the potential of external forces attempting to force their way in to breach fences and other security measures.  Are considering asking for "two to three platoons" of MPs or infantry to establish extra security perimeter.</v>
      </c>
      <c r="H68" s="63" t="str">
        <f>IF('Excercise - Al '!N68&lt;&gt;"","EXPECTED ACTIONS: "&amp;'Excercise - Al '!N68,"")</f>
        <v/>
      </c>
      <c r="I68" s="63" t="str">
        <f>'Excercise - Al '!R68</f>
        <v>Jenne</v>
      </c>
    </row>
    <row r="69" spans="1:9" s="24" customFormat="1" ht="67.5">
      <c r="A69" s="63">
        <f>'Excercise - Al '!A69</f>
        <v>68</v>
      </c>
      <c r="B69" s="63"/>
      <c r="C69" s="64">
        <f>'Excercise - Al '!E69</f>
        <v>40301.875</v>
      </c>
      <c r="D69" s="63" t="str">
        <f>IF('Excercise - Al '!F69&lt;&gt;0,'Excercise - Al '!F69,"")</f>
        <v>INFO</v>
      </c>
      <c r="E69" s="63" t="str">
        <f>IF('Excercise - Al '!G69&lt;&gt;"","MODE: "&amp;'Excercise - Al '!G69,"")&amp;IF('Excercise - Al '!H69&lt;&gt;"","   FROM: "&amp;'Excercise - Al '!H69,"")&amp;IF('Excercise - Al '!I69&lt;&gt;"","   INJECTED BY: "&amp;'Excercise - Al '!I69,"")&amp;IF('Excercise - Al '!J69&lt;&gt;"","   SEND TO: "&amp;'Excercise - Al '!J69,"")</f>
        <v>MODE: email   FROM: simcell-SEOC   INJECTED BY: SEOC LNO   SEND TO: J35</v>
      </c>
      <c r="F69" s="63" t="str">
        <f>IF('Excercise - Al '!K69&lt;&gt;"","STORYLINE: "&amp;'Excercise - Al '!K69,"")&amp;IF('Excercise - Al '!M69&lt;&gt;"","   DESCRIPTION: "&amp;'Excercise - Al '!M69,"")&amp;IF('Excercise - Al '!O69&lt;&gt;"","   NOTES/REMARKS: "&amp;'Excercise - Al '!O69,"")&amp;IF('Excercise - Al '!Q69&lt;&gt;"","   BACKGROUND INFO: "&amp;'Excercise - Al '!Q69,"")</f>
        <v>STORYLINE: CONTRA FLOW   DESCRIPTION: Governor orders Contra-flow of I-65</v>
      </c>
      <c r="G69" s="63" t="str">
        <f>IF('Excercise - Al '!P69&lt;&gt;"","IMPLEMENTER: "&amp;'Excercise - Al '!P69,"")</f>
        <v>IMPLEMENTER: Governor oders I 65  contra flow operations conducted beginning 0800 4 May 2010</v>
      </c>
      <c r="H69" s="63" t="str">
        <f>IF('Excercise - Al '!N69&lt;&gt;"","EXPECTED ACTIONS: "&amp;'Excercise - Al '!N69,"")</f>
        <v>EXPECTED ACTIONS: FRAGO to 62nd Troop Command</v>
      </c>
      <c r="I69" s="63" t="str">
        <f>'Excercise - Al '!R69</f>
        <v>Messer</v>
      </c>
    </row>
    <row r="70" spans="1:9" s="24" customFormat="1" ht="33.75">
      <c r="A70" s="63">
        <f>'Excercise - Al '!A70</f>
        <v>69</v>
      </c>
      <c r="B70" s="63"/>
      <c r="C70" s="64">
        <f>'Excercise - Al '!E70</f>
        <v>40301.913194444445</v>
      </c>
      <c r="D70" s="63" t="str">
        <f>IF('Excercise - Al '!F70&lt;&gt;0,'Excercise - Al '!F70,"")</f>
        <v>INFO - Evacuation</v>
      </c>
      <c r="E70" s="63" t="str">
        <f>IF('Excercise - Al '!G70&lt;&gt;"","MODE: "&amp;'Excercise - Al '!G70,"")&amp;IF('Excercise - Al '!H70&lt;&gt;"","   FROM: "&amp;'Excercise - Al '!H70,"")&amp;IF('Excercise - Al '!I70&lt;&gt;"","   INJECTED BY: "&amp;'Excercise - Al '!I70,"")&amp;IF('Excercise - Al '!J70&lt;&gt;"","   SEND TO: "&amp;'Excercise - Al '!J70,"")</f>
        <v>MODE: Email   INJECTED BY: SEOC LNO</v>
      </c>
      <c r="F70" s="63" t="str">
        <f>IF('Excercise - Al '!K70&lt;&gt;"","STORYLINE: "&amp;'Excercise - Al '!K70,"")&amp;IF('Excercise - Al '!M70&lt;&gt;"","   DESCRIPTION: "&amp;'Excercise - Al '!M70,"")&amp;IF('Excercise - Al '!O70&lt;&gt;"","   NOTES/REMARKS: "&amp;'Excercise - Al '!O70,"")&amp;IF('Excercise - Al '!Q70&lt;&gt;"","   BACKGROUND INFO: "&amp;'Excercise - Al '!Q70,"")</f>
        <v>STORYLINE: EVACUATION   DESCRIPTION: Governor Orders Evacuation of Dauphin Island and Gulf Shores</v>
      </c>
      <c r="G70" s="63" t="str">
        <f>IF('Excercise - Al '!P70&lt;&gt;"","IMPLEMENTER: "&amp;'Excercise - Al '!P70,"")</f>
        <v>IMPLEMENTER: Governor Orders Evacuation of Dauphin Island and Gulf Shores</v>
      </c>
      <c r="H70" s="63" t="str">
        <f>IF('Excercise - Al '!N70&lt;&gt;"","EXPECTED ACTIONS: "&amp;'Excercise - Al '!N70,"")</f>
        <v/>
      </c>
      <c r="I70" s="63" t="str">
        <f>'Excercise - Al '!R70</f>
        <v>Keane</v>
      </c>
    </row>
    <row r="71" spans="1:9" s="24" customFormat="1" ht="258.75">
      <c r="A71" s="63">
        <f>'Excercise - Al '!A71</f>
        <v>70</v>
      </c>
      <c r="B71" s="63"/>
      <c r="C71" s="64">
        <f>'Excercise - Al '!E71</f>
        <v>40301.916666666664</v>
      </c>
      <c r="D71" s="63" t="str">
        <f>IF('Excercise - Al '!F71&lt;&gt;0,'Excercise - Al '!F71,"")</f>
        <v>INFO</v>
      </c>
      <c r="E71" s="63" t="str">
        <f>IF('Excercise - Al '!G71&lt;&gt;"","MODE: "&amp;'Excercise - Al '!G71,"")&amp;IF('Excercise - Al '!H71&lt;&gt;"","   FROM: "&amp;'Excercise - Al '!H71,"")&amp;IF('Excercise - Al '!I71&lt;&gt;"","   INJECTED BY: "&amp;'Excercise - Al '!I71,"")&amp;IF('Excercise - Al '!J71&lt;&gt;"","   SEND TO: "&amp;'Excercise - Al '!J71,"")</f>
        <v>MODE: Email   FROM: Simcell - National Hurricane Center   INJECTED BY: KEANE   SEND TO: JOC, All</v>
      </c>
      <c r="F71" s="63" t="str">
        <f>IF('Excercise - Al '!K71&lt;&gt;"","STORYLINE: "&amp;'Excercise - Al '!K71,"")&amp;IF('Excercise - Al '!M71&lt;&gt;"","   DESCRIPTION: "&amp;'Excercise - Al '!M71,"")&amp;IF('Excercise - Al '!O71&lt;&gt;"","   NOTES/REMARKS: "&amp;'Excercise - Al '!O71,"")&amp;IF('Excercise - Al '!Q71&lt;&gt;"","   BACKGROUND INFO: "&amp;'Excercise - Al '!Q71,"")</f>
        <v>STORYLINE: Tropical Storm Al Update 12   DESCRIPTION: Tropical Storm Al Update 12</v>
      </c>
      <c r="G71" s="63" t="str">
        <f>IF('Excercise - Al '!P71&lt;&gt;"","IMPLEMENTER: "&amp;'Excercise - Al '!P71,"")</f>
        <v xml:space="preserve">IMPLEMENTER: 
... HURRICANE AL THREATENS CANCUN...
SUMMARY OF 2300 AM EDT...0300 UTC...INFORMATION
-----------------------------------------------
LOCATION...19.9N 85.1W
ABOUT 141 MILES...228 KM...SOUTHWEST OF CANCUN MEXICO
ABOUT 245 MILES...395 KM...WEST-SOUTHWEST OF GEORGE TOWN CAYMAN ISLANDS 
ABOUT 261 MILES...421 KM...NORTHEAST OF BELIZE CITY BELIZE
MAXIMUM SUSTAINED WINDS...120 MPH...193 KM/HR
PRESENT MOVEMENT...WNW OR 306 DEGREES AT 20 MPH...32 KM/HR
MINIMUM CENTRAL PRESSURE...952 MB...28.11 INCHES
</v>
      </c>
      <c r="H71" s="63" t="str">
        <f>IF('Excercise - Al '!N71&lt;&gt;"","EXPECTED ACTIONS: "&amp;'Excercise - Al '!N71,"")</f>
        <v/>
      </c>
      <c r="I71" s="63" t="str">
        <f>'Excercise - Al '!R71</f>
        <v>Keane</v>
      </c>
    </row>
    <row r="72" spans="1:9" s="24" customFormat="1" ht="270">
      <c r="A72" s="63">
        <f>'Excercise - Al '!A72</f>
        <v>71</v>
      </c>
      <c r="B72" s="63"/>
      <c r="C72" s="64">
        <f>'Excercise - Al '!E72</f>
        <v>40302.166666666664</v>
      </c>
      <c r="D72" s="63" t="str">
        <f>IF('Excercise - Al '!F72&lt;&gt;0,'Excercise - Al '!F72,"")</f>
        <v>INFO</v>
      </c>
      <c r="E72" s="63" t="str">
        <f>IF('Excercise - Al '!G72&lt;&gt;"","MODE: "&amp;'Excercise - Al '!G72,"")&amp;IF('Excercise - Al '!H72&lt;&gt;"","   FROM: "&amp;'Excercise - Al '!H72,"")&amp;IF('Excercise - Al '!I72&lt;&gt;"","   INJECTED BY: "&amp;'Excercise - Al '!I72,"")&amp;IF('Excercise - Al '!J72&lt;&gt;"","   SEND TO: "&amp;'Excercise - Al '!J72,"")</f>
        <v>MODE: Email   FROM: Simcell - National Hurricane Center   INJECTED BY: KEANE   SEND TO: JOC, All</v>
      </c>
      <c r="F72" s="63" t="str">
        <f>IF('Excercise - Al '!K72&lt;&gt;"","STORYLINE: "&amp;'Excercise - Al '!K72,"")&amp;IF('Excercise - Al '!M72&lt;&gt;"","   DESCRIPTION: "&amp;'Excercise - Al '!M72,"")&amp;IF('Excercise - Al '!O72&lt;&gt;"","   NOTES/REMARKS: "&amp;'Excercise - Al '!O72,"")&amp;IF('Excercise - Al '!Q72&lt;&gt;"","   BACKGROUND INFO: "&amp;'Excercise - Al '!Q72,"")</f>
        <v>STORYLINE: Tropical Storm Al Update 13   DESCRIPTION: Tropical Storm Al Update 13</v>
      </c>
      <c r="G72" s="63" t="str">
        <f>IF('Excercise - Al '!P72&lt;&gt;"","IMPLEMENTER: "&amp;'Excercise - Al '!P72,"")</f>
        <v xml:space="preserve">IMPLEMENTER: 
... HURRICANE AL EYE JUST OFF THE TIP OF THE YUCATAN...
SUMMARY OF 0500 AM EDT...0900 UTC...INFORMATION
-----------------------------------------------
LOCATION...21.2N 86.2W
ABOUT 41 MILES...66 KM...EAST OF CANCUN MEXICO
ABOUT 67 MILES...109 KM...NORTHEAST COZUMEL MEXICO 
ABOUT 94 MILES...152 KM...WEST-SOUTHWEST OF THE WESTERN TIP OF CUBA
MAXIMUM SUSTAINED WINDS...105 MPH...168 KM/HR
PRESENT MOVEMENT...WNW OR 316 DEGREES AT 12 MPH...19 KM/HR
MINIMUM CENTRAL PRESSURE...955 MB...28.20 INCHES
</v>
      </c>
      <c r="H72" s="63" t="str">
        <f>IF('Excercise - Al '!N72&lt;&gt;"","EXPECTED ACTIONS: "&amp;'Excercise - Al '!N72,"")</f>
        <v/>
      </c>
      <c r="I72" s="63" t="str">
        <f>'Excercise - Al '!R72</f>
        <v>Keane</v>
      </c>
    </row>
    <row r="73" spans="1:9" s="24" customFormat="1" ht="45">
      <c r="A73" s="63">
        <f>'Excercise - Al '!A73</f>
        <v>72</v>
      </c>
      <c r="B73" s="63"/>
      <c r="C73" s="64">
        <f>'Excercise - Al '!E73</f>
        <v>40302.166666666664</v>
      </c>
      <c r="D73" s="63" t="str">
        <f>IF('Excercise - Al '!F73&lt;&gt;0,'Excercise - Al '!F73,"")</f>
        <v>31st CHEM BDE - Staff security requirements for Evac Shelters</v>
      </c>
      <c r="E73" s="63" t="str">
        <f>IF('Excercise - Al '!G73&lt;&gt;"","MODE: "&amp;'Excercise - Al '!G73,"")&amp;IF('Excercise - Al '!H73&lt;&gt;"","   FROM: "&amp;'Excercise - Al '!H73,"")&amp;IF('Excercise - Al '!I73&lt;&gt;"","   INJECTED BY: "&amp;'Excercise - Al '!I73,"")&amp;IF('Excercise - Al '!J73&lt;&gt;"","   SEND TO: "&amp;'Excercise - Al '!J73,"")</f>
        <v>MODE: Not Injected</v>
      </c>
      <c r="F73" s="63" t="str">
        <f>IF('Excercise - Al '!K73&lt;&gt;"","STORYLINE: "&amp;'Excercise - Al '!K73,"")&amp;IF('Excercise - Al '!M73&lt;&gt;"","   DESCRIPTION: "&amp;'Excercise - Al '!M73,"")&amp;IF('Excercise - Al '!O73&lt;&gt;"","   NOTES/REMARKS: "&amp;'Excercise - Al '!O73,"")&amp;IF('Excercise - Al '!Q73&lt;&gt;"","   BACKGROUND INFO: "&amp;'Excercise - Al '!Q73,"")</f>
        <v/>
      </c>
      <c r="G73" s="63" t="str">
        <f>IF('Excercise - Al '!P73&lt;&gt;"","IMPLEMENTER: "&amp;'Excercise - Al '!P73,"")</f>
        <v/>
      </c>
      <c r="H73" s="63" t="str">
        <f>IF('Excercise - Al '!N73&lt;&gt;"","EXPECTED ACTIONS: "&amp;'Excercise - Al '!N73,"")</f>
        <v/>
      </c>
      <c r="I73" s="63" t="str">
        <f>'Excercise - Al '!R73</f>
        <v>Napier</v>
      </c>
    </row>
    <row r="74" spans="1:9" s="24" customFormat="1" ht="78.75">
      <c r="A74" s="63">
        <f>'Excercise - Al '!A74</f>
        <v>73</v>
      </c>
      <c r="B74" s="63"/>
      <c r="C74" s="64">
        <f>'Excercise - Al '!E74</f>
        <v>40302.208333333336</v>
      </c>
      <c r="D74" s="63" t="str">
        <f>IF('Excercise - Al '!F74&lt;&gt;0,'Excercise - Al '!F74,"")</f>
        <v>31st CHEM BDE - Coordinate w/ JTF-S and establish direct communications with 1165th and 690th</v>
      </c>
      <c r="E74" s="63" t="str">
        <f>IF('Excercise - Al '!G74&lt;&gt;"","MODE: "&amp;'Excercise - Al '!G74,"")&amp;IF('Excercise - Al '!H74&lt;&gt;"","   FROM: "&amp;'Excercise - Al '!H74,"")&amp;IF('Excercise - Al '!I74&lt;&gt;"","   INJECTED BY: "&amp;'Excercise - Al '!I74,"")&amp;IF('Excercise - Al '!J74&lt;&gt;"","   SEND TO: "&amp;'Excercise - Al '!J74,"")</f>
        <v>MODE: Not Injected</v>
      </c>
      <c r="F74" s="63" t="str">
        <f>IF('Excercise - Al '!K74&lt;&gt;"","STORYLINE: "&amp;'Excercise - Al '!K74,"")&amp;IF('Excercise - Al '!M74&lt;&gt;"","   DESCRIPTION: "&amp;'Excercise - Al '!M74,"")&amp;IF('Excercise - Al '!O74&lt;&gt;"","   NOTES/REMARKS: "&amp;'Excercise - Al '!O74,"")&amp;IF('Excercise - Al '!Q74&lt;&gt;"","   BACKGROUND INFO: "&amp;'Excercise - Al '!Q74,"")</f>
        <v/>
      </c>
      <c r="G74" s="63" t="str">
        <f>IF('Excercise - Al '!P74&lt;&gt;"","IMPLEMENTER: "&amp;'Excercise - Al '!P74,"")</f>
        <v/>
      </c>
      <c r="H74" s="63" t="str">
        <f>IF('Excercise - Al '!N74&lt;&gt;"","EXPECTED ACTIONS: "&amp;'Excercise - Al '!N74,"")</f>
        <v/>
      </c>
      <c r="I74" s="63" t="str">
        <f>'Excercise - Al '!R74</f>
        <v>Napier</v>
      </c>
    </row>
    <row r="75" spans="1:9" s="24" customFormat="1" ht="67.5">
      <c r="A75" s="63">
        <f>'Excercise - Al '!A75</f>
        <v>74</v>
      </c>
      <c r="B75" s="63"/>
      <c r="C75" s="64">
        <f>'Excercise - Al '!E75</f>
        <v>40302.291666666664</v>
      </c>
      <c r="D75" s="63" t="str">
        <f>IF('Excercise - Al '!F75&lt;&gt;0,'Excercise - Al '!F75,"")</f>
        <v/>
      </c>
      <c r="E75" s="63" t="str">
        <f>IF('Excercise - Al '!G75&lt;&gt;"","MODE: "&amp;'Excercise - Al '!G75,"")&amp;IF('Excercise - Al '!H75&lt;&gt;"","   FROM: "&amp;'Excercise - Al '!H75,"")&amp;IF('Excercise - Al '!I75&lt;&gt;"","   INJECTED BY: "&amp;'Excercise - Al '!I75,"")&amp;IF('Excercise - Al '!J75&lt;&gt;"","   SEND TO: "&amp;'Excercise - Al '!J75,"")</f>
        <v>MODE: EMITS   FROM: White Cell - AEMA   INJECTED BY: SEOC LNO   SEND TO: JOC</v>
      </c>
      <c r="F75" s="63" t="str">
        <f>IF('Excercise - Al '!K75&lt;&gt;"","STORYLINE: "&amp;'Excercise - Al '!K75,"")&amp;IF('Excercise - Al '!M75&lt;&gt;"","   DESCRIPTION: "&amp;'Excercise - Al '!M75,"")&amp;IF('Excercise - Al '!O75&lt;&gt;"","   NOTES/REMARKS: "&amp;'Excercise - Al '!O75,"")&amp;IF('Excercise - Al '!Q75&lt;&gt;"","   BACKGROUND INFO: "&amp;'Excercise - Al '!Q75,"")</f>
        <v/>
      </c>
      <c r="G75" s="63" t="str">
        <f>IF('Excercise - Al '!P75&lt;&gt;"","IMPLEMENTER: "&amp;'Excercise - Al '!P75,"")</f>
        <v>IMPLEMENTER: DOT through AEMA requests resources resources (vehicles and manpower) to staff twenty traffic control points to assist in implementing the I-65 Lane Reversal Contingency Plan.</v>
      </c>
      <c r="H75" s="63" t="str">
        <f>IF('Excercise - Al '!N75&lt;&gt;"","EXPECTED ACTIONS: "&amp;'Excercise - Al '!N75,"")</f>
        <v/>
      </c>
      <c r="I75" s="63" t="str">
        <f>'Excercise - Al '!R75</f>
        <v>Keane</v>
      </c>
    </row>
    <row r="76" spans="1:9" s="24" customFormat="1" ht="123.75">
      <c r="A76" s="63">
        <f>'Excercise - Al '!A76</f>
        <v>75</v>
      </c>
      <c r="B76" s="63"/>
      <c r="C76" s="64">
        <f>'Excercise - Al '!E76</f>
        <v>40302.302083333336</v>
      </c>
      <c r="D76" s="63" t="str">
        <f>IF('Excercise - Al '!F76&lt;&gt;0,'Excercise - Al '!F76,"")</f>
        <v>INFO - Holman Prison</v>
      </c>
      <c r="E76" s="63" t="str">
        <f>IF('Excercise - Al '!G76&lt;&gt;"","MODE: "&amp;'Excercise - Al '!G76,"")&amp;IF('Excercise - Al '!H76&lt;&gt;"","   FROM: "&amp;'Excercise - Al '!H76,"")&amp;IF('Excercise - Al '!I76&lt;&gt;"","   INJECTED BY: "&amp;'Excercise - Al '!I76,"")&amp;IF('Excercise - Al '!J76&lt;&gt;"","   SEND TO: "&amp;'Excercise - Al '!J76,"")</f>
        <v>MODE: E-Mail   FROM: SEOC Department of Public Safety LNO   INJECTED BY: SEOC LNO   SEND TO: JOC Message Center</v>
      </c>
      <c r="F76" s="63" t="str">
        <f>IF('Excercise - Al '!K76&lt;&gt;"","STORYLINE: "&amp;'Excercise - Al '!K76,"")&amp;IF('Excercise - Al '!M76&lt;&gt;"","   DESCRIPTION: "&amp;'Excercise - Al '!M76,"")&amp;IF('Excercise - Al '!O76&lt;&gt;"","   NOTES/REMARKS: "&amp;'Excercise - Al '!O76,"")&amp;IF('Excercise - Al '!Q76&lt;&gt;"","   BACKGROUND INFO: "&amp;'Excercise - Al '!Q76,"")</f>
        <v>STORYLINE: Holman Prison Blues   DESCRIPTION: Armored cars stolen in Mobile</v>
      </c>
      <c r="G76" s="63" t="str">
        <f>IF('Excercise - Al '!P76&lt;&gt;"","IMPLEMENTER: "&amp;'Excercise - Al '!P76,"")</f>
        <v>IMPLEMENTER: Mobile Police Department reports incident where three armored cars were stolen from a Brinks Company parking lot in Mobile.  Report states that parking lot guard and vehicle dispatcher were overpowered by five armed men at approximately 0200.  Three armored cars (no money or valuables) were taken.  Vehicles were equipped with tracking devices, but the tracking devices were disabled shortly after the incident.</v>
      </c>
      <c r="H76" s="63" t="str">
        <f>IF('Excercise - Al '!N76&lt;&gt;"","EXPECTED ACTIONS: "&amp;'Excercise - Al '!N76,"")</f>
        <v/>
      </c>
      <c r="I76" s="63" t="str">
        <f>'Excercise - Al '!R76</f>
        <v>Jenne</v>
      </c>
    </row>
    <row r="77" spans="1:9" s="24" customFormat="1" ht="33.75">
      <c r="A77" s="63">
        <f>'Excercise - Al '!A77</f>
        <v>76</v>
      </c>
      <c r="B77" s="63"/>
      <c r="C77" s="64">
        <f>'Excercise - Al '!E77</f>
        <v>40302.315972222219</v>
      </c>
      <c r="D77" s="63" t="str">
        <f>IF('Excercise - Al '!F77&lt;&gt;0,'Excercise - Al '!F77,"")</f>
        <v>INFO - KC-135 Crash</v>
      </c>
      <c r="E77" s="63" t="str">
        <f>IF('Excercise - Al '!G77&lt;&gt;"","MODE: "&amp;'Excercise - Al '!G77,"")&amp;IF('Excercise - Al '!H77&lt;&gt;"","   FROM: "&amp;'Excercise - Al '!H77,"")&amp;IF('Excercise - Al '!I77&lt;&gt;"","   INJECTED BY: "&amp;'Excercise - Al '!I77,"")&amp;IF('Excercise - Al '!J77&lt;&gt;"","   SEND TO: "&amp;'Excercise - Al '!J77,"")</f>
        <v xml:space="preserve">   INJECTED BY: JENNE</v>
      </c>
      <c r="F77" s="63" t="str">
        <f>IF('Excercise - Al '!K77&lt;&gt;"","STORYLINE: "&amp;'Excercise - Al '!K77,"")&amp;IF('Excercise - Al '!M77&lt;&gt;"","   DESCRIPTION: "&amp;'Excercise - Al '!M77,"")&amp;IF('Excercise - Al '!O77&lt;&gt;"","   NOTES/REMARKS: "&amp;'Excercise - Al '!O77,"")&amp;IF('Excercise - Al '!Q77&lt;&gt;"","   BACKGROUND INFO: "&amp;'Excercise - Al '!Q77,"")</f>
        <v xml:space="preserve">   DESCRIPTION: Initial Report of KC-135 Crash in Birmingham (soldier calls in to report that it is on the news)</v>
      </c>
      <c r="G77" s="63" t="str">
        <f>IF('Excercise - Al '!P77&lt;&gt;"","IMPLEMENTER: "&amp;'Excercise - Al '!P77,"")</f>
        <v/>
      </c>
      <c r="H77" s="63" t="str">
        <f>IF('Excercise - Al '!N77&lt;&gt;"","EXPECTED ACTIONS: "&amp;'Excercise - Al '!N77,"")</f>
        <v/>
      </c>
      <c r="I77" s="63">
        <f>'Excercise - Al '!R77</f>
        <v>0</v>
      </c>
    </row>
    <row r="78" spans="1:9" s="24" customFormat="1" ht="22.5">
      <c r="A78" s="63">
        <f>'Excercise - Al '!A78</f>
        <v>77</v>
      </c>
      <c r="B78" s="63"/>
      <c r="C78" s="64">
        <f>'Excercise - Al '!E78</f>
        <v>40302.319444444445</v>
      </c>
      <c r="D78" s="63" t="str">
        <f>IF('Excercise - Al '!F78&lt;&gt;0,'Excercise - Al '!F78,"")</f>
        <v>INFO - KC-135 Crash</v>
      </c>
      <c r="E78" s="63" t="str">
        <f>IF('Excercise - Al '!G78&lt;&gt;"","MODE: "&amp;'Excercise - Al '!G78,"")&amp;IF('Excercise - Al '!H78&lt;&gt;"","   FROM: "&amp;'Excercise - Al '!H78,"")&amp;IF('Excercise - Al '!I78&lt;&gt;"","   INJECTED BY: "&amp;'Excercise - Al '!I78,"")&amp;IF('Excercise - Al '!J78&lt;&gt;"","   SEND TO: "&amp;'Excercise - Al '!J78,"")</f>
        <v xml:space="preserve">   INJECTED BY: 117TH OPS</v>
      </c>
      <c r="F78" s="63" t="str">
        <f>IF('Excercise - Al '!K78&lt;&gt;"","STORYLINE: "&amp;'Excercise - Al '!K78,"")&amp;IF('Excercise - Al '!M78&lt;&gt;"","   DESCRIPTION: "&amp;'Excercise - Al '!M78,"")&amp;IF('Excercise - Al '!O78&lt;&gt;"","   NOTES/REMARKS: "&amp;'Excercise - Al '!O78,"")&amp;IF('Excercise - Al '!Q78&lt;&gt;"","   BACKGROUND INFO: "&amp;'Excercise - Al '!Q78,"")</f>
        <v xml:space="preserve">   DESCRIPTION: Follow-Up Report on KC-135 Crash (from 117th Operations to Air ATAG)</v>
      </c>
      <c r="G78" s="63" t="str">
        <f>IF('Excercise - Al '!P78&lt;&gt;"","IMPLEMENTER: "&amp;'Excercise - Al '!P78,"")</f>
        <v/>
      </c>
      <c r="H78" s="63" t="str">
        <f>IF('Excercise - Al '!N78&lt;&gt;"","EXPECTED ACTIONS: "&amp;'Excercise - Al '!N78,"")</f>
        <v/>
      </c>
      <c r="I78" s="63">
        <f>'Excercise - Al '!R78</f>
        <v>0</v>
      </c>
    </row>
    <row r="79" spans="1:9" s="24" customFormat="1" ht="33.75">
      <c r="A79" s="63">
        <f>'Excercise - Al '!A79</f>
        <v>78</v>
      </c>
      <c r="B79" s="63"/>
      <c r="C79" s="64">
        <f>'Excercise - Al '!E79</f>
        <v>40302.333333333336</v>
      </c>
      <c r="D79" s="63" t="str">
        <f>IF('Excercise - Al '!F79&lt;&gt;0,'Excercise - Al '!F79,"")</f>
        <v>INFO - KC-135 Crash</v>
      </c>
      <c r="E79" s="63" t="str">
        <f>IF('Excercise - Al '!G79&lt;&gt;"","MODE: "&amp;'Excercise - Al '!G79,"")&amp;IF('Excercise - Al '!H79&lt;&gt;"","   FROM: "&amp;'Excercise - Al '!H79,"")&amp;IF('Excercise - Al '!I79&lt;&gt;"","   INJECTED BY: "&amp;'Excercise - Al '!I79,"")&amp;IF('Excercise - Al '!J79&lt;&gt;"","   SEND TO: "&amp;'Excercise - Al '!J79,"")</f>
        <v xml:space="preserve">   INJECTED BY: 117TH OPS</v>
      </c>
      <c r="F79" s="63" t="str">
        <f>IF('Excercise - Al '!K79&lt;&gt;"","STORYLINE: "&amp;'Excercise - Al '!K79,"")&amp;IF('Excercise - Al '!M79&lt;&gt;"","   DESCRIPTION: "&amp;'Excercise - Al '!M79,"")&amp;IF('Excercise - Al '!O79&lt;&gt;"","   NOTES/REMARKS: "&amp;'Excercise - Al '!O79,"")&amp;IF('Excercise - Al '!Q79&lt;&gt;"","   BACKGROUND INFO: "&amp;'Excercise - Al '!Q79,"")</f>
        <v xml:space="preserve">   DESCRIPTION: Follow-Up Report on KC-135 Crash (from 117th Operations to Air ATAG) concerning radioactive materials found on aircraft</v>
      </c>
      <c r="G79" s="63" t="str">
        <f>IF('Excercise - Al '!P79&lt;&gt;"","IMPLEMENTER: "&amp;'Excercise - Al '!P79,"")</f>
        <v/>
      </c>
      <c r="H79" s="63" t="str">
        <f>IF('Excercise - Al '!N79&lt;&gt;"","EXPECTED ACTIONS: "&amp;'Excercise - Al '!N79,"")</f>
        <v/>
      </c>
      <c r="I79" s="63">
        <f>'Excercise - Al '!R79</f>
        <v>0</v>
      </c>
    </row>
    <row r="80" spans="1:9" s="24" customFormat="1" ht="33.75">
      <c r="A80" s="63">
        <f>'Excercise - Al '!A80</f>
        <v>79</v>
      </c>
      <c r="B80" s="63"/>
      <c r="C80" s="64">
        <f>'Excercise - Al '!E80</f>
        <v>40302.333333333336</v>
      </c>
      <c r="D80" s="63" t="str">
        <f>IF('Excercise - Al '!F80&lt;&gt;0,'Excercise - Al '!F80,"")</f>
        <v>31st CHME BDE - Stands up the CMOC</v>
      </c>
      <c r="E80" s="63" t="str">
        <f>IF('Excercise - Al '!G80&lt;&gt;"","MODE: "&amp;'Excercise - Al '!G80,"")&amp;IF('Excercise - Al '!H80&lt;&gt;"","   FROM: "&amp;'Excercise - Al '!H80,"")&amp;IF('Excercise - Al '!I80&lt;&gt;"","   INJECTED BY: "&amp;'Excercise - Al '!I80,"")&amp;IF('Excercise - Al '!J80&lt;&gt;"","   SEND TO: "&amp;'Excercise - Al '!J80,"")</f>
        <v>MODE: Not Injected</v>
      </c>
      <c r="F80" s="63" t="str">
        <f>IF('Excercise - Al '!K80&lt;&gt;"","STORYLINE: "&amp;'Excercise - Al '!K80,"")&amp;IF('Excercise - Al '!M80&lt;&gt;"","   DESCRIPTION: "&amp;'Excercise - Al '!M80,"")&amp;IF('Excercise - Al '!O80&lt;&gt;"","   NOTES/REMARKS: "&amp;'Excercise - Al '!O80,"")&amp;IF('Excercise - Al '!Q80&lt;&gt;"","   BACKGROUND INFO: "&amp;'Excercise - Al '!Q80,"")</f>
        <v/>
      </c>
      <c r="G80" s="63" t="str">
        <f>IF('Excercise - Al '!P80&lt;&gt;"","IMPLEMENTER: "&amp;'Excercise - Al '!P80,"")</f>
        <v/>
      </c>
      <c r="H80" s="63" t="str">
        <f>IF('Excercise - Al '!N80&lt;&gt;"","EXPECTED ACTIONS: "&amp;'Excercise - Al '!N80,"")</f>
        <v/>
      </c>
      <c r="I80" s="63" t="str">
        <f>'Excercise - Al '!R80</f>
        <v>Napier</v>
      </c>
    </row>
    <row r="81" spans="1:9" s="24" customFormat="1" ht="225">
      <c r="A81" s="63">
        <f>'Excercise - Al '!A81</f>
        <v>80</v>
      </c>
      <c r="B81" s="63"/>
      <c r="C81" s="64">
        <f>'Excercise - Al '!E81</f>
        <v>40302.354166666664</v>
      </c>
      <c r="D81" s="63" t="str">
        <f>IF('Excercise - Al '!F81&lt;&gt;0,'Excercise - Al '!F81,"")</f>
        <v>RFI - Holman Prison</v>
      </c>
      <c r="E81" s="63" t="str">
        <f>IF('Excercise - Al '!G81&lt;&gt;"","MODE: "&amp;'Excercise - Al '!G81,"")&amp;IF('Excercise - Al '!H81&lt;&gt;"","   FROM: "&amp;'Excercise - Al '!H81,"")&amp;IF('Excercise - Al '!I81&lt;&gt;"","   INJECTED BY: "&amp;'Excercise - Al '!I81,"")&amp;IF('Excercise - Al '!J81&lt;&gt;"","   SEND TO: "&amp;'Excercise - Al '!J81,"")</f>
        <v>MODE: EMITS   FROM: SEOC   INJECTED BY: SEOC LNO   SEND TO: JOC Message Center</v>
      </c>
      <c r="F81" s="63" t="str">
        <f>IF('Excercise - Al '!K81&lt;&gt;"","STORYLINE: "&amp;'Excercise - Al '!K81,"")&amp;IF('Excercise - Al '!M81&lt;&gt;"","   DESCRIPTION: "&amp;'Excercise - Al '!M81,"")&amp;IF('Excercise - Al '!O81&lt;&gt;"","   NOTES/REMARKS: "&amp;'Excercise - Al '!O81,"")&amp;IF('Excercise - Al '!Q81&lt;&gt;"","   BACKGROUND INFO: "&amp;'Excercise - Al '!Q81,"")</f>
        <v>STORYLINE: Holman Prison Blues   DESCRIPTION: SEOC requests contingency study on providing security assistance at Holman Prison</v>
      </c>
      <c r="G81" s="63" t="str">
        <f>IF('Excercise - Al '!P81&lt;&gt;"","IMPLEMENTER: "&amp;'Excercise - Al '!P81,"")</f>
        <v>IMPLEMENTER: SEOC requests that Guard conduct a contingency study to determine if they can provide security assistance to Holman Prison at same time hurricane response operations are underway.  Potential security assistance requirement is for approximately a company-sized element (preferably MPs or infantry) to establish VCPs, roadblocks and blocking positions on external perimeter to prevent external forces from entering prison compound and providing assistance to prisoners.  All Guard operations are anticipated to be external to prison; DOC and State Troopers will manage in-prison and internal security perimeter. Governor states that because of political sensitivity of situation, he wants a detailed briefback on ground tactical plan (via VTC or other means, if necessary) to Directors of DOC and DPS.</v>
      </c>
      <c r="H81" s="63" t="str">
        <f>IF('Excercise - Al '!N81&lt;&gt;"","EXPECTED ACTIONS: "&amp;'Excercise - Al '!N81,"")</f>
        <v/>
      </c>
      <c r="I81" s="63" t="str">
        <f>'Excercise - Al '!R81</f>
        <v>Jenne</v>
      </c>
    </row>
    <row r="82" spans="1:9" s="24" customFormat="1" ht="67.5">
      <c r="A82" s="63">
        <f>'Excercise - Al '!A82</f>
        <v>81</v>
      </c>
      <c r="B82" s="63"/>
      <c r="C82" s="64">
        <f>'Excercise - Al '!E82</f>
        <v>40302.416666666664</v>
      </c>
      <c r="D82" s="63" t="str">
        <f>IF('Excercise - Al '!F82&lt;&gt;0,'Excercise - Al '!F82,"")</f>
        <v>INFO</v>
      </c>
      <c r="E82" s="63" t="str">
        <f>IF('Excercise - Al '!G82&lt;&gt;"","MODE: "&amp;'Excercise - Al '!G82,"")&amp;IF('Excercise - Al '!H82&lt;&gt;"","   FROM: "&amp;'Excercise - Al '!H82,"")&amp;IF('Excercise - Al '!I82&lt;&gt;"","   INJECTED BY: "&amp;'Excercise - Al '!I82,"")&amp;IF('Excercise - Al '!J82&lt;&gt;"","   SEND TO: "&amp;'Excercise - Al '!J82,"")</f>
        <v>MODE: Phone   FROM: White Cell - JTF South   INJECTED BY: POLLARD   SEND TO: JTF South</v>
      </c>
      <c r="F82" s="63" t="str">
        <f>IF('Excercise - Al '!K82&lt;&gt;"","STORYLINE: "&amp;'Excercise - Al '!K82,"")&amp;IF('Excercise - Al '!M82&lt;&gt;"","   DESCRIPTION: "&amp;'Excercise - Al '!M82,"")&amp;IF('Excercise - Al '!O82&lt;&gt;"","   NOTES/REMARKS: "&amp;'Excercise - Al '!O82,"")&amp;IF('Excercise - Al '!Q82&lt;&gt;"","   BACKGROUND INFO: "&amp;'Excercise - Al '!Q82,"")</f>
        <v xml:space="preserve">   DESCRIPTION: Sgt ……. Vehicle rolled over on interstate in route to armory.  He was wearing a seat belt but rolled into ditch and drowned   BACKGROUND INFO: SIR should be developed/ NGB notified/ TAG/ PAO/  CCIR tracking established</v>
      </c>
      <c r="G82" s="63" t="str">
        <f>IF('Excercise - Al '!P82&lt;&gt;"","IMPLEMENTER: "&amp;'Excercise - Al '!P82,"")</f>
        <v/>
      </c>
      <c r="H82" s="63" t="str">
        <f>IF('Excercise - Al '!N82&lt;&gt;"","EXPECTED ACTIONS: "&amp;'Excercise - Al '!N82,"")</f>
        <v/>
      </c>
      <c r="I82" s="63" t="str">
        <f>'Excercise - Al '!R82</f>
        <v>Kahl</v>
      </c>
    </row>
    <row r="83" spans="1:9" s="24" customFormat="1" ht="22.5">
      <c r="A83" s="63">
        <f>'Excercise - Al '!A83</f>
        <v>82</v>
      </c>
      <c r="B83" s="63"/>
      <c r="C83" s="64">
        <f>'Excercise - Al '!E83</f>
        <v>40302.427083333336</v>
      </c>
      <c r="D83" s="63" t="str">
        <f>IF('Excercise - Al '!F83&lt;&gt;0,'Excercise - Al '!F83,"")</f>
        <v>INFO - KC-135 Crash</v>
      </c>
      <c r="E83" s="63" t="str">
        <f>IF('Excercise - Al '!G83&lt;&gt;"","MODE: "&amp;'Excercise - Al '!G83,"")&amp;IF('Excercise - Al '!H83&lt;&gt;"","   FROM: "&amp;'Excercise - Al '!H83,"")&amp;IF('Excercise - Al '!I83&lt;&gt;"","   INJECTED BY: "&amp;'Excercise - Al '!I83,"")&amp;IF('Excercise - Al '!J83&lt;&gt;"","   SEND TO: "&amp;'Excercise - Al '!J83,"")</f>
        <v xml:space="preserve">   INJECTED BY: HOWARD</v>
      </c>
      <c r="F83" s="63" t="str">
        <f>IF('Excercise - Al '!K83&lt;&gt;"","STORYLINE: "&amp;'Excercise - Al '!K83,"")&amp;IF('Excercise - Al '!M83&lt;&gt;"","   DESCRIPTION: "&amp;'Excercise - Al '!M83,"")&amp;IF('Excercise - Al '!O83&lt;&gt;"","   NOTES/REMARKS: "&amp;'Excercise - Al '!O83,"")&amp;IF('Excercise - Al '!Q83&lt;&gt;"","   BACKGROUND INFO: "&amp;'Excercise - Al '!Q83,"")</f>
        <v xml:space="preserve">   DESCRIPTION: News media calling concerning KC-135 Crash and radioactive materials</v>
      </c>
      <c r="G83" s="63" t="str">
        <f>IF('Excercise - Al '!P83&lt;&gt;"","IMPLEMENTER: "&amp;'Excercise - Al '!P83,"")</f>
        <v/>
      </c>
      <c r="H83" s="63" t="str">
        <f>IF('Excercise - Al '!N83&lt;&gt;"","EXPECTED ACTIONS: "&amp;'Excercise - Al '!N83,"")</f>
        <v/>
      </c>
      <c r="I83" s="63">
        <f>'Excercise - Al '!R83</f>
        <v>0</v>
      </c>
    </row>
    <row r="84" spans="1:9" s="24" customFormat="1" ht="157.5">
      <c r="A84" s="63">
        <f>'Excercise - Al '!A84</f>
        <v>83</v>
      </c>
      <c r="B84" s="63"/>
      <c r="C84" s="64">
        <f>'Excercise - Al '!E84</f>
        <v>40302.4375</v>
      </c>
      <c r="D84" s="63" t="str">
        <f>IF('Excercise - Al '!F84&lt;&gt;0,'Excercise - Al '!F84,"")</f>
        <v>INFO - Train Derailment</v>
      </c>
      <c r="E84" s="63" t="str">
        <f>IF('Excercise - Al '!G84&lt;&gt;"","MODE: "&amp;'Excercise - Al '!G84,"")&amp;IF('Excercise - Al '!H84&lt;&gt;"","   FROM: "&amp;'Excercise - Al '!H84,"")&amp;IF('Excercise - Al '!I84&lt;&gt;"","   INJECTED BY: "&amp;'Excercise - Al '!I84,"")&amp;IF('Excercise - Al '!J84&lt;&gt;"","   SEND TO: "&amp;'Excercise - Al '!J84,"")</f>
        <v>MODE: Telephone   FROM: FTUS NCO manning Grove Hill armory   INJECTED BY: POLLARD   SEND TO: JTF-S</v>
      </c>
      <c r="F84" s="63" t="str">
        <f>IF('Excercise - Al '!K84&lt;&gt;"","STORYLINE: "&amp;'Excercise - Al '!K84,"")&amp;IF('Excercise - Al '!M84&lt;&gt;"","   DESCRIPTION: "&amp;'Excercise - Al '!M84,"")&amp;IF('Excercise - Al '!O84&lt;&gt;"","   NOTES/REMARKS: "&amp;'Excercise - Al '!O84,"")&amp;IF('Excercise - Al '!Q84&lt;&gt;"","   BACKGROUND INFO: "&amp;'Excercise - Al '!Q84,"")</f>
        <v>STORYLINE: Grove Hill Train Derailment   DESCRIPTION: Grove Hill soldier reports significant train derailment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84" s="63" t="str">
        <f>IF('Excercise - Al '!P84&lt;&gt;"","IMPLEMENTER: "&amp;'Excercise - Al '!P84,"")</f>
        <v>IMPLEMENTER: FTUS NCO from Det 1, Co A, 711 BSB is standing by at Grove Hill armory to support hurricane response operations. He reports that a north-bound Norfolk Southern train experienced a serious derailment between Grove Hill and Thomasville (to the north). Clarke County Sheriff's Department and local fire departments are responding. A hazardous materials release is suspected. NCO states that local officials indicate that Grove Hill and surrounding communities will likely be evacuated. He is requesting guidance if evacuation is required.</v>
      </c>
      <c r="H84" s="63" t="str">
        <f>IF('Excercise - Al '!N84&lt;&gt;"","EXPECTED ACTIONS: "&amp;'Excercise - Al '!N84,"")</f>
        <v>EXPECTED ACTIONS: JTF-S should pass this information upline to JFHQ JOC.</v>
      </c>
      <c r="I84" s="63" t="str">
        <f>'Excercise - Al '!R84</f>
        <v>Jenne</v>
      </c>
    </row>
    <row r="85" spans="1:9" s="24" customFormat="1" ht="45">
      <c r="A85" s="63">
        <f>'Excercise - Al '!A85</f>
        <v>84</v>
      </c>
      <c r="B85" s="63"/>
      <c r="C85" s="64">
        <f>'Excercise - Al '!E85</f>
        <v>40302.440972222219</v>
      </c>
      <c r="D85" s="63" t="str">
        <f>IF('Excercise - Al '!F85&lt;&gt;0,'Excercise - Al '!F85,"")</f>
        <v>INFO - KC-135 Crash</v>
      </c>
      <c r="E85" s="63" t="str">
        <f>IF('Excercise - Al '!G85&lt;&gt;"","MODE: "&amp;'Excercise - Al '!G85,"")&amp;IF('Excercise - Al '!H85&lt;&gt;"","   FROM: "&amp;'Excercise - Al '!H85,"")&amp;IF('Excercise - Al '!I85&lt;&gt;"","   INJECTED BY: "&amp;'Excercise - Al '!I85,"")&amp;IF('Excercise - Al '!J85&lt;&gt;"","   SEND TO: "&amp;'Excercise - Al '!J85,"")</f>
        <v xml:space="preserve">   FROM: BFRS   INJECTED BY: JENNE</v>
      </c>
      <c r="F85" s="63" t="str">
        <f>IF('Excercise - Al '!K85&lt;&gt;"","STORYLINE: "&amp;'Excercise - Al '!K85,"")&amp;IF('Excercise - Al '!M85&lt;&gt;"","   DESCRIPTION: "&amp;'Excercise - Al '!M85,"")&amp;IF('Excercise - Al '!O85&lt;&gt;"","   NOTES/REMARKS: "&amp;'Excercise - Al '!O85,"")&amp;IF('Excercise - Al '!Q85&lt;&gt;"","   BACKGROUND INFO: "&amp;'Excercise - Al '!Q85,"")</f>
        <v xml:space="preserve">   DESCRIPTION: Birmingham Fire and Rescue Service isolating KC-135 crash site until radioactive materials can be identified. Requesting Guard assistance.</v>
      </c>
      <c r="G85" s="63" t="str">
        <f>IF('Excercise - Al '!P85&lt;&gt;"","IMPLEMENTER: "&amp;'Excercise - Al '!P85,"")</f>
        <v/>
      </c>
      <c r="H85" s="63" t="str">
        <f>IF('Excercise - Al '!N85&lt;&gt;"","EXPECTED ACTIONS: "&amp;'Excercise - Al '!N85,"")</f>
        <v/>
      </c>
      <c r="I85" s="63">
        <f>'Excercise - Al '!R85</f>
        <v>0</v>
      </c>
    </row>
    <row r="86" spans="1:9" s="24" customFormat="1" ht="135">
      <c r="A86" s="63">
        <f>'Excercise - Al '!A86</f>
        <v>85</v>
      </c>
      <c r="B86" s="63"/>
      <c r="C86" s="64">
        <f>'Excercise - Al '!E86</f>
        <v>40302.447916666664</v>
      </c>
      <c r="D86" s="63" t="str">
        <f>IF('Excercise - Al '!F86&lt;&gt;0,'Excercise - Al '!F86,"")</f>
        <v>INFO - Train Derailment</v>
      </c>
      <c r="E86" s="63" t="str">
        <f>IF('Excercise - Al '!G86&lt;&gt;"","MODE: "&amp;'Excercise - Al '!G86,"")&amp;IF('Excercise - Al '!H86&lt;&gt;"","   FROM: "&amp;'Excercise - Al '!H86,"")&amp;IF('Excercise - Al '!I86&lt;&gt;"","   INJECTED BY: "&amp;'Excercise - Al '!I86,"")&amp;IF('Excercise - Al '!J86&lt;&gt;"","   SEND TO: "&amp;'Excercise - Al '!J86,"")</f>
        <v>MODE: Telephone or e-mail   FROM: SEOC LNO   INJECTED BY: SEOC LNO   SEND TO: JOC Chief</v>
      </c>
      <c r="F86" s="63" t="str">
        <f>IF('Excercise - Al '!K86&lt;&gt;"","STORYLINE: "&amp;'Excercise - Al '!K86,"")&amp;IF('Excercise - Al '!M86&lt;&gt;"","   DESCRIPTION: "&amp;'Excercise - Al '!M86,"")&amp;IF('Excercise - Al '!O86&lt;&gt;"","   NOTES/REMARKS: "&amp;'Excercise - Al '!O86,"")&amp;IF('Excercise - Al '!Q86&lt;&gt;"","   BACKGROUND INFO: "&amp;'Excercise - Al '!Q86,"")</f>
        <v>STORYLINE: Grove Hill Train Derailment   DESCRIPTION: SEOC LNO reports train derailment just north of Grove Hill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86" s="63" t="str">
        <f>IF('Excercise - Al '!P86&lt;&gt;"","IMPLEMENTER: "&amp;'Excercise - Al '!P86,"")</f>
        <v>IMPLEMENTER: SEOC LNO calls JOC Chief with a "heads up" that a Norfolk Southern train has derailed approximately ten miles north of Grove Hill (Clarke County). The train was being "pushed" north to get it out of the hurricane impact area. Derailment involves multiple tank cars of hazardous materials, including chlorine, anhydrous ammonia, and flourine. Local emergency responders are on scene; State Troopers and ADEM are en route. SEOC LNO states that EMA may request technical assistance from the CST.</v>
      </c>
      <c r="H86" s="63" t="str">
        <f>IF('Excercise - Al '!N86&lt;&gt;"","EXPECTED ACTIONS: "&amp;'Excercise - Al '!N86,"")</f>
        <v>EXPECTED ACTIONS: JOC Chief should notify TAG and key leaders, pertinent staff personnel and JTFs.</v>
      </c>
      <c r="I86" s="63" t="str">
        <f>'Excercise - Al '!R86</f>
        <v>Jenne</v>
      </c>
    </row>
    <row r="87" spans="1:9" s="24" customFormat="1" ht="236.25">
      <c r="A87" s="63">
        <f>'Excercise - Al '!A87</f>
        <v>86</v>
      </c>
      <c r="B87" s="63"/>
      <c r="C87" s="64">
        <f>'Excercise - Al '!E87</f>
        <v>40302.416666666664</v>
      </c>
      <c r="D87" s="63" t="str">
        <f>IF('Excercise - Al '!F87&lt;&gt;0,'Excercise - Al '!F87,"")</f>
        <v>INFO</v>
      </c>
      <c r="E87" s="63" t="str">
        <f>IF('Excercise - Al '!G87&lt;&gt;"","MODE: "&amp;'Excercise - Al '!G87,"")&amp;IF('Excercise - Al '!H87&lt;&gt;"","   FROM: "&amp;'Excercise - Al '!H87,"")&amp;IF('Excercise - Al '!I87&lt;&gt;"","   INJECTED BY: "&amp;'Excercise - Al '!I87,"")&amp;IF('Excercise - Al '!J87&lt;&gt;"","   SEND TO: "&amp;'Excercise - Al '!J87,"")</f>
        <v>MODE: Email   FROM: Simcell - National Hurricane Center   INJECTED BY: KEANE   SEND TO: JOC, All</v>
      </c>
      <c r="F87" s="63" t="str">
        <f>IF('Excercise - Al '!K87&lt;&gt;"","STORYLINE: "&amp;'Excercise - Al '!K87,"")&amp;IF('Excercise - Al '!M87&lt;&gt;"","   DESCRIPTION: "&amp;'Excercise - Al '!M87,"")&amp;IF('Excercise - Al '!O87&lt;&gt;"","   NOTES/REMARKS: "&amp;'Excercise - Al '!O87,"")&amp;IF('Excercise - Al '!Q87&lt;&gt;"","   BACKGROUND INFO: "&amp;'Excercise - Al '!Q87,"")</f>
        <v>STORYLINE: Tropical Storm Al Update 14   DESCRIPTION: Tropical Storm Al Update 14</v>
      </c>
      <c r="G87" s="63" t="str">
        <f>IF('Excercise - Al '!P87&lt;&gt;"","IMPLEMENTER: "&amp;'Excercise - Al '!P87,"")</f>
        <v xml:space="preserve">IMPLEMENTER: 
... HURRICANE AL PASSES NORTH OF CANCUN...ENTERS THE GULF OF MEXICO...
SUMMARY OF 1100 AM EDT...1500 UTC...INFORMATION
-----------------------------------------------
LOCATION...22.0N 86.8W
ABOUT 58 MILES...94 KM...NORTH OF CANCUN MEXICO
ABOUT 120 MILES...193 KM...WEST OF THE WESTERN TIP OF CUBA
MAXIMUM SUSTAINED WINDS...105 MPH...169 KM/HR
PRESENT MOVEMENT...WNW OR 314 DEGREES AT 15 MPH...24 KM/HR
MINIMUM CENTRAL PRESSURE...960 MB...28.35 INCHES
</v>
      </c>
      <c r="H87" s="63" t="str">
        <f>IF('Excercise - Al '!N87&lt;&gt;"","EXPECTED ACTIONS: "&amp;'Excercise - Al '!N87,"")</f>
        <v/>
      </c>
      <c r="I87" s="63" t="str">
        <f>'Excercise - Al '!R87</f>
        <v>Keane</v>
      </c>
    </row>
    <row r="88" spans="1:9" s="24" customFormat="1" ht="33.75">
      <c r="A88" s="63">
        <f>'Excercise - Al '!A88</f>
        <v>87</v>
      </c>
      <c r="B88" s="63"/>
      <c r="C88" s="64">
        <f>'Excercise - Al '!E88</f>
        <v>40302.459027777775</v>
      </c>
      <c r="D88" s="63" t="str">
        <f>IF('Excercise - Al '!F88&lt;&gt;0,'Excercise - Al '!F88,"")</f>
        <v/>
      </c>
      <c r="E88" s="63" t="str">
        <f>IF('Excercise - Al '!G88&lt;&gt;"","MODE: "&amp;'Excercise - Al '!G88,"")&amp;IF('Excercise - Al '!H88&lt;&gt;"","   FROM: "&amp;'Excercise - Al '!H88,"")&amp;IF('Excercise - Al '!I88&lt;&gt;"","   INJECTED BY: "&amp;'Excercise - Al '!I88,"")&amp;IF('Excercise - Al '!J88&lt;&gt;"","   SEND TO: "&amp;'Excercise - Al '!J88,"")</f>
        <v>MODE: Email   INJECTED BY: TOMBERLIN</v>
      </c>
      <c r="F88" s="63" t="str">
        <f>IF('Excercise - Al '!K88&lt;&gt;"","STORYLINE: "&amp;'Excercise - Al '!K88,"")&amp;IF('Excercise - Al '!M88&lt;&gt;"","   DESCRIPTION: "&amp;'Excercise - Al '!M88,"")&amp;IF('Excercise - Al '!O88&lt;&gt;"","   NOTES/REMARKS: "&amp;'Excercise - Al '!O88,"")&amp;IF('Excercise - Al '!Q88&lt;&gt;"","   BACKGROUND INFO: "&amp;'Excercise - Al '!Q88,"")</f>
        <v>STORYLINE: All units activated submit travel vouchers for identified soldiers.</v>
      </c>
      <c r="G88" s="63" t="str">
        <f>IF('Excercise - Al '!P88&lt;&gt;"","IMPLEMENTER: "&amp;'Excercise - Al '!P88,"")</f>
        <v>IMPLEMENTER: All units activated submit travel vouchers for identified soldiers.</v>
      </c>
      <c r="H88" s="63" t="str">
        <f>IF('Excercise - Al '!N88&lt;&gt;"","EXPECTED ACTIONS: "&amp;'Excercise - Al '!N88,"")</f>
        <v/>
      </c>
      <c r="I88" s="63" t="str">
        <f>'Excercise - Al '!R88</f>
        <v>Therman</v>
      </c>
    </row>
    <row r="89" spans="1:9" s="24" customFormat="1" ht="33.75">
      <c r="A89" s="63">
        <f>'Excercise - Al '!A89</f>
        <v>88</v>
      </c>
      <c r="B89" s="63"/>
      <c r="C89" s="64">
        <f>'Excercise - Al '!E89</f>
        <v>40302.479166666664</v>
      </c>
      <c r="D89" s="63" t="str">
        <f>IF('Excercise - Al '!F89&lt;&gt;0,'Excercise - Al '!F89,"")</f>
        <v>RFI</v>
      </c>
      <c r="E89" s="63" t="str">
        <f>IF('Excercise - Al '!G89&lt;&gt;"","MODE: "&amp;'Excercise - Al '!G89,"")&amp;IF('Excercise - Al '!H89&lt;&gt;"","   FROM: "&amp;'Excercise - Al '!H89,"")&amp;IF('Excercise - Al '!I89&lt;&gt;"","   INJECTED BY: "&amp;'Excercise - Al '!I89,"")&amp;IF('Excercise - Al '!J89&lt;&gt;"","   SEND TO: "&amp;'Excercise - Al '!J89,"")</f>
        <v>MODE: Email   INJECTED BY: DENNIS</v>
      </c>
      <c r="F89" s="63" t="str">
        <f>IF('Excercise - Al '!K89&lt;&gt;"","STORYLINE: "&amp;'Excercise - Al '!K89,"")&amp;IF('Excercise - Al '!M89&lt;&gt;"","   DESCRIPTION: "&amp;'Excercise - Al '!M89,"")&amp;IF('Excercise - Al '!O89&lt;&gt;"","   NOTES/REMARKS: "&amp;'Excercise - Al '!O89,"")&amp;IF('Excercise - Al '!Q89&lt;&gt;"","   BACKGROUND INFO: "&amp;'Excercise - Al '!Q89,"")</f>
        <v xml:space="preserve">   DESCRIPTION: Task Force South is requesting a Class A Agent.  </v>
      </c>
      <c r="G89" s="63" t="str">
        <f>IF('Excercise - Al '!P89&lt;&gt;"","IMPLEMENTER: "&amp;'Excercise - Al '!P89,"")</f>
        <v xml:space="preserve">IMPLEMENTER: Task Force South is requesting a Class A Agent.  </v>
      </c>
      <c r="H89" s="63" t="str">
        <f>IF('Excercise - Al '!N89&lt;&gt;"","EXPECTED ACTIONS: "&amp;'Excercise - Al '!N89,"")</f>
        <v/>
      </c>
      <c r="I89" s="63" t="str">
        <f>'Excercise - Al '!R89</f>
        <v>Therman</v>
      </c>
    </row>
    <row r="90" spans="1:9" s="24" customFormat="1" ht="33.75">
      <c r="A90" s="63">
        <f>'Excercise - Al '!A90</f>
        <v>89</v>
      </c>
      <c r="B90" s="63"/>
      <c r="C90" s="64">
        <f>'Excercise - Al '!E90</f>
        <v>40302.486111111109</v>
      </c>
      <c r="D90" s="63" t="str">
        <f>IF('Excercise - Al '!F90&lt;&gt;0,'Excercise - Al '!F90,"")</f>
        <v>INFO - KC-135 Crash</v>
      </c>
      <c r="E90" s="63" t="str">
        <f>IF('Excercise - Al '!G90&lt;&gt;"","MODE: "&amp;'Excercise - Al '!G90,"")&amp;IF('Excercise - Al '!H90&lt;&gt;"","   FROM: "&amp;'Excercise - Al '!H90,"")&amp;IF('Excercise - Al '!I90&lt;&gt;"","   INJECTED BY: "&amp;'Excercise - Al '!I90,"")&amp;IF('Excercise - Al '!J90&lt;&gt;"","   SEND TO: "&amp;'Excercise - Al '!J90,"")</f>
        <v xml:space="preserve">   INJECTED BY: JENNE</v>
      </c>
      <c r="F90" s="63" t="str">
        <f>IF('Excercise - Al '!K90&lt;&gt;"","STORYLINE: "&amp;'Excercise - Al '!K90,"")&amp;IF('Excercise - Al '!M90&lt;&gt;"","   DESCRIPTION: "&amp;'Excercise - Al '!M90,"")&amp;IF('Excercise - Al '!O90&lt;&gt;"","   NOTES/REMARKS: "&amp;'Excercise - Al '!O90,"")&amp;IF('Excercise - Al '!Q90&lt;&gt;"","   BACKGROUND INFO: "&amp;'Excercise - Al '!Q90,"")</f>
        <v xml:space="preserve">   DESCRIPTION: Birmingham Police bomb robot being used to inspect interior of aircraft. Located container with marking (NSN number)</v>
      </c>
      <c r="G90" s="63" t="str">
        <f>IF('Excercise - Al '!P90&lt;&gt;"","IMPLEMENTER: "&amp;'Excercise - Al '!P90,"")</f>
        <v/>
      </c>
      <c r="H90" s="63" t="str">
        <f>IF('Excercise - Al '!N90&lt;&gt;"","EXPECTED ACTIONS: "&amp;'Excercise - Al '!N90,"")</f>
        <v/>
      </c>
      <c r="I90" s="63">
        <f>'Excercise - Al '!R90</f>
        <v>0</v>
      </c>
    </row>
    <row r="91" spans="1:9" s="24" customFormat="1" ht="157.5">
      <c r="A91" s="63">
        <f>'Excercise - Al '!A91</f>
        <v>90</v>
      </c>
      <c r="B91" s="63"/>
      <c r="C91" s="64">
        <f>'Excercise - Al '!E91</f>
        <v>40302.489583333336</v>
      </c>
      <c r="D91" s="63" t="str">
        <f>IF('Excercise - Al '!F91&lt;&gt;0,'Excercise - Al '!F91,"")</f>
        <v>RFI - Train Derailment</v>
      </c>
      <c r="E91" s="63" t="str">
        <f>IF('Excercise - Al '!G91&lt;&gt;"","MODE: "&amp;'Excercise - Al '!G91,"")&amp;IF('Excercise - Al '!H91&lt;&gt;"","   FROM: "&amp;'Excercise - Al '!H91,"")&amp;IF('Excercise - Al '!I91&lt;&gt;"","   INJECTED BY: "&amp;'Excercise - Al '!I91,"")&amp;IF('Excercise - Al '!J91&lt;&gt;"","   SEND TO: "&amp;'Excercise - Al '!J91,"")</f>
        <v>MODE: EMITS   FROM: SEOC WC   INJECTED BY: SEOC LNO   SEND TO: JOC Message Center</v>
      </c>
      <c r="F91" s="63" t="str">
        <f>IF('Excercise - Al '!K91&lt;&gt;"","STORYLINE: "&amp;'Excercise - Al '!K91,"")&amp;IF('Excercise - Al '!M91&lt;&gt;"","   DESCRIPTION: "&amp;'Excercise - Al '!M91,"")&amp;IF('Excercise - Al '!O91&lt;&gt;"","   NOTES/REMARKS: "&amp;'Excercise - Al '!O91,"")&amp;IF('Excercise - Al '!Q91&lt;&gt;"","   BACKGROUND INFO: "&amp;'Excercise - Al '!Q91,"")</f>
        <v>STORYLINE: Grove Hill Train Derailment   DESCRIPTION: EMITS Request for Assistance for Train Derailment emergency response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91" s="63" t="str">
        <f>IF('Excercise - Al '!P91&lt;&gt;"","IMPLEMENTER: "&amp;'Excercise - Al '!P91,"")</f>
        <v>IMPLEMENTER: EMITS message requests capability assessment of potential Guard capabilities to assist with train derailment north of Grove Hill. Area, including US 43, is being evacuated. EMA wants to know viability of CST providing hazardous materials assistance. Additionally, EMA wants to determine availability of FLIRS-equipped R/W aircraft to locate "hot spots" in train, to assist in firefighting effort. There is extensive smoke as a result of multiple fires, which is why FLIR is being requested. State Trooper FLIR-equipped aircraft are currently tasked to other activities.</v>
      </c>
      <c r="H91" s="63" t="str">
        <f>IF('Excercise - Al '!N91&lt;&gt;"","EXPECTED ACTIONS: "&amp;'Excercise - Al '!N91,"")</f>
        <v>EXPECTED ACTIONS: JOC Chief should notify TAG and key leaders, pertinent staff personnel and JTFs.</v>
      </c>
      <c r="I91" s="63" t="str">
        <f>'Excercise - Al '!R91</f>
        <v>Jenne</v>
      </c>
    </row>
    <row r="92" spans="1:9" s="24" customFormat="1" ht="67.5">
      <c r="A92" s="63">
        <f>'Excercise - Al '!A92</f>
        <v>91</v>
      </c>
      <c r="B92" s="63"/>
      <c r="C92" s="64">
        <f>'Excercise - Al '!E92</f>
        <v>40302.500694444447</v>
      </c>
      <c r="D92" s="63" t="str">
        <f>IF('Excercise - Al '!F92&lt;&gt;0,'Excercise - Al '!F92,"")</f>
        <v>INFO</v>
      </c>
      <c r="E92" s="63" t="str">
        <f>IF('Excercise - Al '!G92&lt;&gt;"","MODE: "&amp;'Excercise - Al '!G92,"")&amp;IF('Excercise - Al '!H92&lt;&gt;"","   FROM: "&amp;'Excercise - Al '!H92,"")&amp;IF('Excercise - Al '!I92&lt;&gt;"","   INJECTED BY: "&amp;'Excercise - Al '!I92,"")&amp;IF('Excercise - Al '!J92&lt;&gt;"","   SEND TO: "&amp;'Excercise - Al '!J92,"")</f>
        <v>MODE: Phone   FROM: GATE GUARD   INJECTED BY: DONAHUE   SEND TO: MSG CTR</v>
      </c>
      <c r="F92" s="63" t="str">
        <f>IF('Excercise - Al '!K92&lt;&gt;"","STORYLINE: "&amp;'Excercise - Al '!K92,"")&amp;IF('Excercise - Al '!M92&lt;&gt;"","   DESCRIPTION: "&amp;'Excercise - Al '!M92,"")&amp;IF('Excercise - Al '!O92&lt;&gt;"","   NOTES/REMARKS: "&amp;'Excercise - Al '!O92,"")&amp;IF('Excercise - Al '!Q92&lt;&gt;"","   BACKGROUND INFO: "&amp;'Excercise - Al '!Q92,"")</f>
        <v>STORYLINE: AT/FP   DESCRIPTION: Citizen reports accident at front gate</v>
      </c>
      <c r="G92" s="63" t="str">
        <f>IF('Excercise - Al '!P92&lt;&gt;"","IMPLEMENTER: "&amp;'Excercise - Al '!P92,"")</f>
        <v>IMPLEMENTER: I just witnessed an accident at the gate in which a large truck  was hit by a civilian car. What should I do?</v>
      </c>
      <c r="H92" s="63" t="str">
        <f>IF('Excercise - Al '!N92&lt;&gt;"","EXPECTED ACTIONS: "&amp;'Excercise - Al '!N92,"")</f>
        <v>EXPECTED ACTIONS: MSG CTR reports to J3/ who calls 911?</v>
      </c>
      <c r="I92" s="63" t="str">
        <f>'Excercise - Al '!R92</f>
        <v>Messer</v>
      </c>
    </row>
    <row r="93" spans="1:9" s="24" customFormat="1" ht="45">
      <c r="A93" s="63">
        <f>'Excercise - Al '!A93</f>
        <v>92</v>
      </c>
      <c r="B93" s="63"/>
      <c r="C93" s="64">
        <f>'Excercise - Al '!E93</f>
        <v>40302.501388888886</v>
      </c>
      <c r="D93" s="63" t="str">
        <f>IF('Excercise - Al '!F93&lt;&gt;0,'Excercise - Al '!F93,"")</f>
        <v>RFI</v>
      </c>
      <c r="E93" s="63" t="str">
        <f>IF('Excercise - Al '!G93&lt;&gt;"","MODE: "&amp;'Excercise - Al '!G93,"")&amp;IF('Excercise - Al '!H93&lt;&gt;"","   FROM: "&amp;'Excercise - Al '!H93,"")&amp;IF('Excercise - Al '!I93&lt;&gt;"","   INJECTED BY: "&amp;'Excercise - Al '!I93,"")&amp;IF('Excercise - Al '!J93&lt;&gt;"","   SEND TO: "&amp;'Excercise - Al '!J93,"")</f>
        <v>MODE: Email   FROM: USPFO   INJECTED BY: DENNIS</v>
      </c>
      <c r="F93" s="63" t="str">
        <f>IF('Excercise - Al '!K93&lt;&gt;"","STORYLINE: "&amp;'Excercise - Al '!K93,"")&amp;IF('Excercise - Al '!M93&lt;&gt;"","   DESCRIPTION: "&amp;'Excercise - Al '!M93,"")&amp;IF('Excercise - Al '!O93&lt;&gt;"","   NOTES/REMARKS: "&amp;'Excercise - Al '!O93,"")&amp;IF('Excercise - Al '!Q93&lt;&gt;"","   BACKGROUND INFO: "&amp;'Excercise - Al '!Q93,"")</f>
        <v xml:space="preserve">   DESCRIPTION: National Guard Bureau is requesting a spreadsheet which capture and track funding costs associated with the hurricane disaster.</v>
      </c>
      <c r="G93" s="63" t="str">
        <f>IF('Excercise - Al '!P93&lt;&gt;"","IMPLEMENTER: "&amp;'Excercise - Al '!P93,"")</f>
        <v>IMPLEMENTER: National Guard Bureau is requesting a spreadsheet which capture and track funding costs associated with the hurricane disaster.</v>
      </c>
      <c r="H93" s="63" t="str">
        <f>IF('Excercise - Al '!N93&lt;&gt;"","EXPECTED ACTIONS: "&amp;'Excercise - Al '!N93,"")</f>
        <v/>
      </c>
      <c r="I93" s="63" t="str">
        <f>'Excercise - Al '!R93</f>
        <v>Therman</v>
      </c>
    </row>
    <row r="94" spans="1:9" s="24" customFormat="1" ht="56.25">
      <c r="A94" s="63">
        <f>'Excercise - Al '!A94</f>
        <v>93</v>
      </c>
      <c r="B94" s="63"/>
      <c r="C94" s="64">
        <f>'Excercise - Al '!E94</f>
        <v>40302.520833333336</v>
      </c>
      <c r="D94" s="63" t="str">
        <f>IF('Excercise - Al '!F94&lt;&gt;0,'Excercise - Al '!F94,"")</f>
        <v>INFO - KC-135 Crash</v>
      </c>
      <c r="E94" s="63" t="str">
        <f>IF('Excercise - Al '!G94&lt;&gt;"","MODE: "&amp;'Excercise - Al '!G94,"")&amp;IF('Excercise - Al '!H94&lt;&gt;"","   FROM: "&amp;'Excercise - Al '!H94,"")&amp;IF('Excercise - Al '!I94&lt;&gt;"","   INJECTED BY: "&amp;'Excercise - Al '!I94,"")&amp;IF('Excercise - Al '!J94&lt;&gt;"","   SEND TO: "&amp;'Excercise - Al '!J94,"")</f>
        <v xml:space="preserve">   FROM: GOVERNOR'S OFFICE    INJECTED BY: REAGAN</v>
      </c>
      <c r="F94" s="63" t="str">
        <f>IF('Excercise - Al '!K94&lt;&gt;"","STORYLINE: "&amp;'Excercise - Al '!K94,"")&amp;IF('Excercise - Al '!M94&lt;&gt;"","   DESCRIPTION: "&amp;'Excercise - Al '!M94,"")&amp;IF('Excercise - Al '!O94&lt;&gt;"","   NOTES/REMARKS: "&amp;'Excercise - Al '!O94,"")&amp;IF('Excercise - Al '!Q94&lt;&gt;"","   BACKGROUND INFO: "&amp;'Excercise - Al '!Q94,"")</f>
        <v xml:space="preserve">   DESCRIPTION: Governor asks TAG to conduct press conference concerning KC-135 crash</v>
      </c>
      <c r="G94" s="63" t="str">
        <f>IF('Excercise - Al '!P94&lt;&gt;"","IMPLEMENTER: "&amp;'Excercise - Al '!P94,"")</f>
        <v/>
      </c>
      <c r="H94" s="63" t="str">
        <f>IF('Excercise - Al '!N94&lt;&gt;"","EXPECTED ACTIONS: "&amp;'Excercise - Al '!N94,"")</f>
        <v/>
      </c>
      <c r="I94" s="63">
        <f>'Excercise - Al '!R94</f>
        <v>0</v>
      </c>
    </row>
    <row r="95" spans="1:9" s="24" customFormat="1" ht="101.25">
      <c r="A95" s="63">
        <f>'Excercise - Al '!A95</f>
        <v>94</v>
      </c>
      <c r="B95" s="63"/>
      <c r="C95" s="64">
        <f>'Excercise - Al '!E95</f>
        <v>40302.041666666664</v>
      </c>
      <c r="D95" s="63" t="str">
        <f>IF('Excercise - Al '!F95&lt;&gt;0,'Excercise - Al '!F95,"")</f>
        <v>RFI</v>
      </c>
      <c r="E95" s="63" t="str">
        <f>IF('Excercise - Al '!G95&lt;&gt;"","MODE: "&amp;'Excercise - Al '!G95,"")&amp;IF('Excercise - Al '!H95&lt;&gt;"","   FROM: "&amp;'Excercise - Al '!H95,"")&amp;IF('Excercise - Al '!I95&lt;&gt;"","   INJECTED BY: "&amp;'Excercise - Al '!I95,"")&amp;IF('Excercise - Al '!J95&lt;&gt;"","   SEND TO: "&amp;'Excercise - Al '!J95,"")</f>
        <v>MODE: Email   INJECTED BY: TF S2   SEND TO: JOC, J2</v>
      </c>
      <c r="F95" s="63" t="str">
        <f>IF('Excercise - Al '!K95&lt;&gt;"","STORYLINE: "&amp;'Excercise - Al '!K95,"")&amp;IF('Excercise - Al '!M95&lt;&gt;"","   DESCRIPTION: "&amp;'Excercise - Al '!M95,"")&amp;IF('Excercise - Al '!O95&lt;&gt;"","   NOTES/REMARKS: "&amp;'Excercise - Al '!O95,"")&amp;IF('Excercise - Al '!Q95&lt;&gt;"","   BACKGROUND INFO: "&amp;'Excercise - Al '!Q95,"")</f>
        <v xml:space="preserve">   DESCRIPTION: Weather Update/Storm Track</v>
      </c>
      <c r="G95" s="63" t="str">
        <f>IF('Excercise - Al '!P95&lt;&gt;"","IMPLEMENTER: "&amp;'Excercise - Al '!P95,"")</f>
        <v>IMPLEMENTER: Weather RFI from Task Force to J2</v>
      </c>
      <c r="H95" s="63" t="str">
        <f>IF('Excercise - Al '!N95&lt;&gt;"","EXPECTED ACTIONS: "&amp;'Excercise - Al '!N95,"")</f>
        <v>EXPECTED ACTIONS: J2 Provides latest Weather and Storm Track to the TFs</v>
      </c>
      <c r="I95" s="63" t="str">
        <f>'Excercise - Al '!R95</f>
        <v>Houlton</v>
      </c>
    </row>
    <row r="96" spans="1:9" s="24" customFormat="1" ht="45">
      <c r="A96" s="63">
        <f>'Excercise - Al '!A96</f>
        <v>95</v>
      </c>
      <c r="B96" s="63"/>
      <c r="C96" s="64">
        <f>'Excercise - Al '!E96</f>
        <v>40302.583333333336</v>
      </c>
      <c r="D96" s="63" t="str">
        <f>IF('Excercise - Al '!F96&lt;&gt;0,'Excercise - Al '!F96,"")</f>
        <v>RFI</v>
      </c>
      <c r="E96" s="63" t="str">
        <f>IF('Excercise - Al '!G96&lt;&gt;"","MODE: "&amp;'Excercise - Al '!G96,"")&amp;IF('Excercise - Al '!H96&lt;&gt;"","   FROM: "&amp;'Excercise - Al '!H96,"")&amp;IF('Excercise - Al '!I96&lt;&gt;"","   INJECTED BY: "&amp;'Excercise - Al '!I96,"")&amp;IF('Excercise - Al '!J96&lt;&gt;"","   SEND TO: "&amp;'Excercise - Al '!J96,"")</f>
        <v>MODE: Email   INJECTED BY: MCLEOD   SEND TO: CFMO</v>
      </c>
      <c r="F96" s="63" t="str">
        <f>IF('Excercise - Al '!K96&lt;&gt;"","STORYLINE: "&amp;'Excercise - Al '!K96,"")&amp;IF('Excercise - Al '!M96&lt;&gt;"","   DESCRIPTION: "&amp;'Excercise - Al '!M96,"")&amp;IF('Excercise - Al '!O96&lt;&gt;"","   NOTES/REMARKS: "&amp;'Excercise - Al '!O96,"")&amp;IF('Excercise - Al '!Q96&lt;&gt;"","   BACKGROUND INFO: "&amp;'Excercise - Al '!Q96,"")</f>
        <v>STORYLINE: Provide information as to what armories are under construction.  Specifically in areas of the projected landfall, or planned staging areas.   DESCRIPTION: SA</v>
      </c>
      <c r="G96" s="63" t="str">
        <f>IF('Excercise - Al '!P96&lt;&gt;"","IMPLEMENTER: "&amp;'Excercise - Al '!P96,"")</f>
        <v>IMPLEMENTER: Provide information as to what armories are under construction.  Specifically in areas of the projected landfall, or planned staging areas.</v>
      </c>
      <c r="H96" s="63" t="str">
        <f>IF('Excercise - Al '!N96&lt;&gt;"","EXPECTED ACTIONS: "&amp;'Excercise - Al '!N96,"")</f>
        <v/>
      </c>
      <c r="I96" s="63" t="str">
        <f>'Excercise - Al '!R96</f>
        <v>McLeod</v>
      </c>
    </row>
    <row r="97" spans="1:9" s="24" customFormat="1" ht="292.5">
      <c r="A97" s="63">
        <f>'Excercise - Al '!A97</f>
        <v>96</v>
      </c>
      <c r="B97" s="63"/>
      <c r="C97" s="64">
        <f>'Excercise - Al '!E97</f>
        <v>40302.584027777775</v>
      </c>
      <c r="D97" s="63" t="str">
        <f>IF('Excercise - Al '!F97&lt;&gt;0,'Excercise - Al '!F97,"")</f>
        <v>INFO - Train Derailment</v>
      </c>
      <c r="E97" s="63" t="str">
        <f>IF('Excercise - Al '!G97&lt;&gt;"","MODE: "&amp;'Excercise - Al '!G97,"")&amp;IF('Excercise - Al '!H97&lt;&gt;"","   FROM: "&amp;'Excercise - Al '!H97,"")&amp;IF('Excercise - Al '!I97&lt;&gt;"","   INJECTED BY: "&amp;'Excercise - Al '!I97,"")&amp;IF('Excercise - Al '!J97&lt;&gt;"","   SEND TO: "&amp;'Excercise - Al '!J97,"")</f>
        <v>MODE: Telephone   FROM: SEOC WC   INJECTED BY: SEOC LNO   SEND TO: JOC Message Center</v>
      </c>
      <c r="F97" s="63" t="str">
        <f>IF('Excercise - Al '!K97&lt;&gt;"","STORYLINE: "&amp;'Excercise - Al '!K97,"")&amp;IF('Excercise - Al '!M97&lt;&gt;"","   DESCRIPTION: "&amp;'Excercise - Al '!M97,"")&amp;IF('Excercise - Al '!O97&lt;&gt;"","   NOTES/REMARKS: "&amp;'Excercise - Al '!O97,"")&amp;IF('Excercise - Al '!Q97&lt;&gt;"","   BACKGROUND INFO: "&amp;'Excercise - Al '!Q97,"")</f>
        <v>STORYLINE: Grove Hill Train Derailment   DESCRIPTION: SEOC LNO forwards report from DPS concerning train derailment north of Grove Hill   NOTES/REMARKS: The entire purpose of ths thread is to determine if the information (which will be received from multiple sources at different levels) is passed up-line to JFHQ JOC, and then subsequently assessed by various J-Staff elements. The location of the train derailment is directly adjacent to US 43, which should be an MSR for moving troops and equipment downrange, so will J-2 and J-4 receive info and advise TAG and units accordingly?</v>
      </c>
      <c r="G97" s="63" t="str">
        <f>IF('Excercise - Al '!P97&lt;&gt;"","IMPLEMENTER: "&amp;'Excercise - Al '!P97,"")</f>
        <v>IMPLEMENTER: SEOC LNO calls to report that DPS has just given a briefing on Grove Hill train derailment. DPS stated that the derailment involved a train consisting of four diesel-electric locomotives and roughly two hundred railcars of varying types. They stated that at least a third of the rolling stock had physically left the railroad tracks as a result of the derailment. The accident involved numerous tank cars containing hazardous materials, but there is no clear indication whether any of these cars are breached or in danger of breaching. The derailment involves multiple fires, most apparently involving rail cars carrying building materials (plywood) and bulk carpet scraps. Because of the fires, thesre is considerable amount of low-hanging smoke in the area, which is slowing the efforts of emergency responders to assess damages. Until hazards can be completely assessed, a mandatory evacuation is currently underway for the towns of Grove Hill, Fulton, Dickenson, and Thomasville. US 43 is closed, and all motorists are advised to avoid Clarke County because of all the evacuation-related traffic in the vicinity of the accident.</v>
      </c>
      <c r="H97" s="63" t="str">
        <f>IF('Excercise - Al '!N97&lt;&gt;"","EXPECTED ACTIONS: "&amp;'Excercise - Al '!N97,"")</f>
        <v>EXPECTED ACTIONS: JOC Chief should notify TAG and key leaders, pertinent staff personnel and JTFs.</v>
      </c>
      <c r="I97" s="63" t="str">
        <f>'Excercise - Al '!R97</f>
        <v>Jenne</v>
      </c>
    </row>
    <row r="98" spans="1:9" s="24" customFormat="1" ht="67.5">
      <c r="A98" s="63">
        <f>'Excercise - Al '!A98</f>
        <v>97</v>
      </c>
      <c r="B98" s="63"/>
      <c r="C98" s="64">
        <f>'Excercise - Al '!E98</f>
        <v>40302.584722222222</v>
      </c>
      <c r="D98" s="63" t="str">
        <f>IF('Excercise - Al '!F98&lt;&gt;0,'Excercise - Al '!F98,"")</f>
        <v>INFO</v>
      </c>
      <c r="E98" s="63" t="str">
        <f>IF('Excercise - Al '!G98&lt;&gt;"","MODE: "&amp;'Excercise - Al '!G98,"")&amp;IF('Excercise - Al '!H98&lt;&gt;"","   FROM: "&amp;'Excercise - Al '!H98,"")&amp;IF('Excercise - Al '!I98&lt;&gt;"","   INJECTED BY: "&amp;'Excercise - Al '!I98,"")&amp;IF('Excercise - Al '!J98&lt;&gt;"","   SEND TO: "&amp;'Excercise - Al '!J98,"")</f>
        <v>MODE: Email   FROM: USPFO   INJECTED BY: DENNIS</v>
      </c>
      <c r="F98" s="63" t="str">
        <f>IF('Excercise - Al '!K98&lt;&gt;"","STORYLINE: "&amp;'Excercise - Al '!K98,"")&amp;IF('Excercise - Al '!M98&lt;&gt;"","   DESCRIPTION: "&amp;'Excercise - Al '!M98,"")&amp;IF('Excercise - Al '!O98&lt;&gt;"","   NOTES/REMARKS: "&amp;'Excercise - Al '!O98,"")&amp;IF('Excercise - Al '!Q98&lt;&gt;"","   BACKGROUND INFO: "&amp;'Excercise - Al '!Q98,"")</f>
        <v xml:space="preserve">   DESCRIPTION: There are no military transportation assets available, provide commercial haul to deliver 50 tents (GP Medium) to Fort Whiting.</v>
      </c>
      <c r="G98" s="63" t="str">
        <f>IF('Excercise - Al '!P98&lt;&gt;"","IMPLEMENTER: "&amp;'Excercise - Al '!P98,"")</f>
        <v>IMPLEMENTER: There are no military transportation assets available, provide commercial haul to deliver 50 tents (GP Medium) to Fort Whiting.</v>
      </c>
      <c r="H98" s="63" t="str">
        <f>IF('Excercise - Al '!N98&lt;&gt;"","EXPECTED ACTIONS: "&amp;'Excercise - Al '!N98,"")</f>
        <v>EXPECTED ACTIONS: Identify assets to be used for haul</v>
      </c>
      <c r="I98" s="63" t="str">
        <f>'Excercise - Al '!R98</f>
        <v>Therman</v>
      </c>
    </row>
    <row r="99" spans="1:9" s="24" customFormat="1" ht="56.25">
      <c r="A99" s="63">
        <f>'Excercise - Al '!A99</f>
        <v>98</v>
      </c>
      <c r="B99" s="63"/>
      <c r="C99" s="64">
        <f>'Excercise - Al '!E99</f>
        <v>40302.604166666664</v>
      </c>
      <c r="D99" s="63" t="str">
        <f>IF('Excercise - Al '!F99&lt;&gt;0,'Excercise - Al '!F99,"")</f>
        <v>INFO</v>
      </c>
      <c r="E99" s="63" t="str">
        <f>IF('Excercise - Al '!G99&lt;&gt;"","MODE: "&amp;'Excercise - Al '!G99,"")&amp;IF('Excercise - Al '!H99&lt;&gt;"","   FROM: "&amp;'Excercise - Al '!H99,"")&amp;IF('Excercise - Al '!I99&lt;&gt;"","   INJECTED BY: "&amp;'Excercise - Al '!I99,"")&amp;IF('Excercise - Al '!J99&lt;&gt;"","   SEND TO: "&amp;'Excercise - Al '!J99,"")</f>
        <v>MODE: Email   INJECTED BY: MCLEOD   SEND TO: CFMO</v>
      </c>
      <c r="F99" s="63" t="str">
        <f>IF('Excercise - Al '!K99&lt;&gt;"","STORYLINE: "&amp;'Excercise - Al '!K99,"")&amp;IF('Excercise - Al '!M99&lt;&gt;"","   DESCRIPTION: "&amp;'Excercise - Al '!M99,"")&amp;IF('Excercise - Al '!O99&lt;&gt;"","   NOTES/REMARKS: "&amp;'Excercise - Al '!O99,"")&amp;IF('Excercise - Al '!Q99&lt;&gt;"","   BACKGROUND INFO: "&amp;'Excercise - Al '!Q99,"")</f>
        <v xml:space="preserve">   DESCRIPTION: "X" armory is being renovated, and is not suitable for occupation before, during, or after land fall.  BPT coordinate with local/regional contractors for services at alternate locations.</v>
      </c>
      <c r="G99" s="63" t="str">
        <f>IF('Excercise - Al '!P99&lt;&gt;"","IMPLEMENTER: "&amp;'Excercise - Al '!P99,"")</f>
        <v>IMPLEMENTER: "X" armory is being renovated, and is not suitable for occupation before, during, or after land fall.  BPT coordinate with local/regional contractors for services at alternate locations.</v>
      </c>
      <c r="H99" s="63" t="str">
        <f>IF('Excercise - Al '!N99&lt;&gt;"","EXPECTED ACTIONS: "&amp;'Excercise - Al '!N99,"")</f>
        <v/>
      </c>
      <c r="I99" s="63" t="str">
        <f>'Excercise - Al '!R99</f>
        <v>McLeod</v>
      </c>
    </row>
    <row r="100" spans="1:9" s="24" customFormat="1" ht="123.75">
      <c r="A100" s="63">
        <f>'Excercise - Al '!A100</f>
        <v>99</v>
      </c>
      <c r="B100" s="63"/>
      <c r="C100" s="64">
        <f>'Excercise - Al '!E100</f>
        <v>40302.625</v>
      </c>
      <c r="D100" s="63" t="str">
        <f>IF('Excercise - Al '!F100&lt;&gt;0,'Excercise - Al '!F100,"")</f>
        <v>RFI - Train Derailment</v>
      </c>
      <c r="E100" s="63" t="str">
        <f>IF('Excercise - Al '!G100&lt;&gt;"","MODE: "&amp;'Excercise - Al '!G100,"")&amp;IF('Excercise - Al '!H100&lt;&gt;"","   FROM: "&amp;'Excercise - Al '!H100,"")&amp;IF('Excercise - Al '!I100&lt;&gt;"","   INJECTED BY: "&amp;'Excercise - Al '!I100,"")&amp;IF('Excercise - Al '!J100&lt;&gt;"","   SEND TO: "&amp;'Excercise - Al '!J100,"")</f>
        <v>MODE: EMITS   FROM: SEOC WC   INJECTED BY: SEOC LNO   SEND TO: JOC Message Center</v>
      </c>
      <c r="F100" s="63" t="str">
        <f>IF('Excercise - Al '!K100&lt;&gt;"","STORYLINE: "&amp;'Excercise - Al '!K100,"")&amp;IF('Excercise - Al '!M100&lt;&gt;"","   DESCRIPTION: "&amp;'Excercise - Al '!M100,"")&amp;IF('Excercise - Al '!O100&lt;&gt;"","   NOTES/REMARKS: "&amp;'Excercise - Al '!O100,"")&amp;IF('Excercise - Al '!Q100&lt;&gt;"","   BACKGROUND INFO: "&amp;'Excercise - Al '!Q100,"")</f>
        <v>STORYLINE: Grove Hill Train Derailment   DESCRIPTION: EMITS Request for Assistance for Train Derailment emergency response   NOTES/REMARKS: JOC planners may determine that a more appropriate targeting/attack method would be linear slurry drops with fixed wing aircraft (like C-130s) rather than spot attacks with helicopters. JOC may determine if slurry-equipped aircraft are available for EMACS request.</v>
      </c>
      <c r="G100" s="63" t="str">
        <f>IF('Excercise - Al '!P100&lt;&gt;"","IMPLEMENTER: "&amp;'Excercise - Al '!P100,"")</f>
        <v>IMPLEMENTER: EMITS message requests capability assessment of potential Guard capabilities to assist with train derailment north of Grove Hill. Request is to determine availability of CH-47 or UH-60 "Bambi Bucket" capability to help extinguish fires on railcars because of difficulty reaching fires with conventional fire apparatus.</v>
      </c>
      <c r="H100" s="63" t="str">
        <f>IF('Excercise - Al '!N100&lt;&gt;"","EXPECTED ACTIONS: "&amp;'Excercise - Al '!N100,"")</f>
        <v>EXPECTED ACTIONS: JOC Chief should notify TAG and key leaders, pertinent staff personnel and JTFs.</v>
      </c>
      <c r="I100" s="63" t="str">
        <f>'Excercise - Al '!R100</f>
        <v>Jenne</v>
      </c>
    </row>
    <row r="101" spans="1:9" s="24" customFormat="1" ht="45">
      <c r="A101" s="63">
        <f>'Excercise - Al '!A101</f>
        <v>100</v>
      </c>
      <c r="B101" s="63"/>
      <c r="C101" s="64">
        <f>'Excercise - Al '!E101</f>
        <v>40302.625694444447</v>
      </c>
      <c r="D101" s="63" t="str">
        <f>IF('Excercise - Al '!F101&lt;&gt;0,'Excercise - Al '!F101,"")</f>
        <v>RFI</v>
      </c>
      <c r="E101" s="63" t="str">
        <f>IF('Excercise - Al '!G101&lt;&gt;"","MODE: "&amp;'Excercise - Al '!G101,"")&amp;IF('Excercise - Al '!H101&lt;&gt;"","   FROM: "&amp;'Excercise - Al '!H101,"")&amp;IF('Excercise - Al '!I101&lt;&gt;"","   INJECTED BY: "&amp;'Excercise - Al '!I101,"")&amp;IF('Excercise - Al '!J101&lt;&gt;"","   SEND TO: "&amp;'Excercise - Al '!J101,"")</f>
        <v>MODE: Email   INJECTED BY: MCLEOD   SEND TO: CFMO</v>
      </c>
      <c r="F101" s="63" t="str">
        <f>IF('Excercise - Al '!K101&lt;&gt;"","STORYLINE: "&amp;'Excercise - Al '!K101,"")&amp;IF('Excercise - Al '!M101&lt;&gt;"","   DESCRIPTION: "&amp;'Excercise - Al '!M101,"")&amp;IF('Excercise - Al '!O101&lt;&gt;"","   NOTES/REMARKS: "&amp;'Excercise - Al '!O101,"")&amp;IF('Excercise - Al '!Q101&lt;&gt;"","   BACKGROUND INFO: "&amp;'Excercise - Al '!Q101,"")</f>
        <v>STORYLINE: Determine survivability and sustainability of select armories.  As directed by state/federal authorities.     DESCRIPTION: SA</v>
      </c>
      <c r="G101" s="63" t="str">
        <f>IF('Excercise - Al '!P101&lt;&gt;"","IMPLEMENTER: "&amp;'Excercise - Al '!P101,"")</f>
        <v xml:space="preserve">IMPLEMENTER: Determine survivability and sustainability of select armories.  As directed by state/federal authorities.  </v>
      </c>
      <c r="H101" s="63" t="str">
        <f>IF('Excercise - Al '!N101&lt;&gt;"","EXPECTED ACTIONS: "&amp;'Excercise - Al '!N101,"")</f>
        <v/>
      </c>
      <c r="I101" s="63" t="str">
        <f>'Excercise - Al '!R101</f>
        <v>McLeod</v>
      </c>
    </row>
    <row r="102" spans="1:9" s="24" customFormat="1" ht="135">
      <c r="A102" s="63">
        <f>'Excercise - Al '!A102</f>
        <v>101</v>
      </c>
      <c r="B102" s="63"/>
      <c r="C102" s="64">
        <f>'Excercise - Al '!E102</f>
        <v>40302.666666666664</v>
      </c>
      <c r="D102" s="63" t="str">
        <f>IF('Excercise - Al '!F102&lt;&gt;0,'Excercise - Al '!F102,"")</f>
        <v>RFI</v>
      </c>
      <c r="E102" s="63" t="str">
        <f>IF('Excercise - Al '!G102&lt;&gt;"","MODE: "&amp;'Excercise - Al '!G102,"")&amp;IF('Excercise - Al '!H102&lt;&gt;"","   FROM: "&amp;'Excercise - Al '!H102,"")&amp;IF('Excercise - Al '!I102&lt;&gt;"","   INJECTED BY: "&amp;'Excercise - Al '!I102,"")&amp;IF('Excercise - Al '!J102&lt;&gt;"","   SEND TO: "&amp;'Excercise - Al '!J102,"")</f>
        <v>MODE: E-mail   INJECTED BY: MCDONALD   SEND TO: JOC J-4</v>
      </c>
      <c r="F102" s="63" t="str">
        <f>IF('Excercise - Al '!K102&lt;&gt;"","STORYLINE: "&amp;'Excercise - Al '!K102,"")&amp;IF('Excercise - Al '!M102&lt;&gt;"","   DESCRIPTION: "&amp;'Excercise - Al '!M102,"")&amp;IF('Excercise - Al '!O102&lt;&gt;"","   NOTES/REMARKS: "&amp;'Excercise - Al '!O102,"")&amp;IF('Excercise - Al '!Q102&lt;&gt;"","   BACKGROUND INFO: "&amp;'Excercise - Al '!Q102,"")</f>
        <v>STORYLINE: MTS   DESCRIPTION: The JOC is tracking a two vehicle convoy on MTS until they reach the first rest stop in Greenville.</v>
      </c>
      <c r="G102" s="63" t="str">
        <f>IF('Excercise - Al '!P102&lt;&gt;"","IMPLEMENTER: "&amp;'Excercise - Al '!P102,"")</f>
        <v>IMPLEMENTER: Two vehicles convoy of generator mechanics traveling from Brundidge to Mobile to repair a 100kw generator. The convoy movement is being tracked by MTS. After reaching Greenville, AL from that point on, the convoy isn't visible on MTS and the JOC receives no response on MTS messenger. - No SAT phone available. - Unaware of personnel cellular phone.</v>
      </c>
      <c r="H102" s="63" t="str">
        <f>IF('Excercise - Al '!N102&lt;&gt;"","EXPECTED ACTIONS: "&amp;'Excercise - Al '!N102,"")</f>
        <v>EXPECTED ACTIONS: Ability to use alternative means for tracking convoy, such as; (Call in check-points)</v>
      </c>
      <c r="I102" s="63" t="str">
        <f>'Excercise - Al '!R102</f>
        <v>McDonald</v>
      </c>
    </row>
    <row r="103" spans="1:9" s="24" customFormat="1" ht="45">
      <c r="A103" s="63">
        <f>'Excercise - Al '!A103</f>
        <v>102</v>
      </c>
      <c r="B103" s="63"/>
      <c r="C103" s="64">
        <f>'Excercise - Al '!E103</f>
        <v>40302.667361111111</v>
      </c>
      <c r="D103" s="63" t="str">
        <f>IF('Excercise - Al '!F103&lt;&gt;0,'Excercise - Al '!F103,"")</f>
        <v>MISSION - BPT</v>
      </c>
      <c r="E103" s="63" t="str">
        <f>IF('Excercise - Al '!G103&lt;&gt;"","MODE: "&amp;'Excercise - Al '!G103,"")&amp;IF('Excercise - Al '!H103&lt;&gt;"","   FROM: "&amp;'Excercise - Al '!H103,"")&amp;IF('Excercise - Al '!I103&lt;&gt;"","   INJECTED BY: "&amp;'Excercise - Al '!I103,"")&amp;IF('Excercise - Al '!J103&lt;&gt;"","   SEND TO: "&amp;'Excercise - Al '!J103,"")</f>
        <v>MODE: Email   INJECTED BY: MCLEOD   SEND TO: CFMO</v>
      </c>
      <c r="F103" s="63" t="str">
        <f>IF('Excercise - Al '!K103&lt;&gt;"","STORYLINE: "&amp;'Excercise - Al '!K103,"")&amp;IF('Excercise - Al '!M103&lt;&gt;"","   DESCRIPTION: "&amp;'Excercise - Al '!M103,"")&amp;IF('Excercise - Al '!O103&lt;&gt;"","   NOTES/REMARKS: "&amp;'Excercise - Al '!O103,"")&amp;IF('Excercise - Al '!Q103&lt;&gt;"","   BACKGROUND INFO: "&amp;'Excercise - Al '!Q103,"")</f>
        <v xml:space="preserve">   DESCRIPTION: BPT send engineer assessment teams out to support JTF and or local authorities.</v>
      </c>
      <c r="G103" s="63" t="str">
        <f>IF('Excercise - Al '!P103&lt;&gt;"","IMPLEMENTER: "&amp;'Excercise - Al '!P103,"")</f>
        <v>IMPLEMENTER: BPT send engineer assessment teams out to support JTF and or local authorities.</v>
      </c>
      <c r="H103" s="63" t="str">
        <f>IF('Excercise - Al '!N103&lt;&gt;"","EXPECTED ACTIONS: "&amp;'Excercise - Al '!N103,"")</f>
        <v/>
      </c>
      <c r="I103" s="63" t="str">
        <f>'Excercise - Al '!R103</f>
        <v>McLeod</v>
      </c>
    </row>
    <row r="104" spans="1:9" s="24" customFormat="1" ht="101.25">
      <c r="A104" s="63">
        <f>'Excercise - Al '!A104</f>
        <v>103</v>
      </c>
      <c r="B104" s="63"/>
      <c r="C104" s="64">
        <f>'Excercise - Al '!E104</f>
        <v>40302.677083333336</v>
      </c>
      <c r="D104" s="63" t="str">
        <f>IF('Excercise - Al '!F104&lt;&gt;0,'Excercise - Al '!F104,"")</f>
        <v>INFO</v>
      </c>
      <c r="E104" s="63" t="str">
        <f>IF('Excercise - Al '!G104&lt;&gt;"","MODE: "&amp;'Excercise - Al '!G104,"")&amp;IF('Excercise - Al '!H104&lt;&gt;"","   FROM: "&amp;'Excercise - Al '!H104,"")&amp;IF('Excercise - Al '!I104&lt;&gt;"","   INJECTED BY: "&amp;'Excercise - Al '!I104,"")&amp;IF('Excercise - Al '!J104&lt;&gt;"","   SEND TO: "&amp;'Excercise - Al '!J104,"")</f>
        <v>MODE: Phone   FROM: White Cell   INJECTED BY: WHEELER   SEND TO: JOC</v>
      </c>
      <c r="F104" s="63" t="str">
        <f>IF('Excercise - Al '!K104&lt;&gt;"","STORYLINE: "&amp;'Excercise - Al '!K104,"")&amp;IF('Excercise - Al '!M104&lt;&gt;"","   DESCRIPTION: "&amp;'Excercise - Al '!M104,"")&amp;IF('Excercise - Al '!O104&lt;&gt;"","   NOTES/REMARKS: "&amp;'Excercise - Al '!O104,"")&amp;IF('Excercise - Al '!Q104&lt;&gt;"","   BACKGROUND INFO: "&amp;'Excercise - Al '!Q104,"")</f>
        <v xml:space="preserve">   DESCRIPTION: 2LT Jackson contacts 226 MEB on Armory opening inquiry. Monroeville Mayor makes a premature statement of an Armory opening on public radio.   BACKGROUND INFO: Should give PAO notification and let them make inquires with Mayors Office / Refer to State EMA</v>
      </c>
      <c r="G104" s="63" t="str">
        <f>IF('Excercise - Al '!P104&lt;&gt;"","IMPLEMENTER: "&amp;'Excercise - Al '!P104,"")</f>
        <v>IMPLEMENTER: 2LT------------, I just heard the Monroeville Mayor make a public statement on FM 89.6 that our (Det 1, 778th Mn Co) Armory will be open for the duration of the storm. He also stated that this will be the primary distribution point for water and food. Just wanted to pass this along as I am a PL with the unit and this is the first I've heard of this.</v>
      </c>
      <c r="H104" s="63" t="str">
        <f>IF('Excercise - Al '!N104&lt;&gt;"","EXPECTED ACTIONS: "&amp;'Excercise - Al '!N104,"")</f>
        <v/>
      </c>
      <c r="I104" s="63" t="str">
        <f>'Excercise - Al '!R104</f>
        <v>Wheeler</v>
      </c>
    </row>
    <row r="105" spans="1:9" s="24" customFormat="1" ht="45">
      <c r="A105" s="63">
        <f>'Excercise - Al '!A105</f>
        <v>104</v>
      </c>
      <c r="B105" s="63"/>
      <c r="C105" s="64">
        <f>'Excercise - Al '!E105</f>
        <v>40302.6875</v>
      </c>
      <c r="D105" s="63" t="str">
        <f>IF('Excercise - Al '!F105&lt;&gt;0,'Excercise - Al '!F105,"")</f>
        <v>RFI</v>
      </c>
      <c r="E105" s="63" t="str">
        <f>IF('Excercise - Al '!G105&lt;&gt;"","MODE: "&amp;'Excercise - Al '!G105,"")&amp;IF('Excercise - Al '!H105&lt;&gt;"","   FROM: "&amp;'Excercise - Al '!H105,"")&amp;IF('Excercise - Al '!I105&lt;&gt;"","   INJECTED BY: "&amp;'Excercise - Al '!I105,"")&amp;IF('Excercise - Al '!J105&lt;&gt;"","   SEND TO: "&amp;'Excercise - Al '!J105,"")</f>
        <v>MODE: Email   INJECTED BY: MCLEOD   SEND TO: CFMO</v>
      </c>
      <c r="F105" s="63" t="str">
        <f>IF('Excercise - Al '!K105&lt;&gt;"","STORYLINE: "&amp;'Excercise - Al '!K105,"")&amp;IF('Excercise - Al '!M105&lt;&gt;"","   DESCRIPTION: "&amp;'Excercise - Al '!M105,"")&amp;IF('Excercise - Al '!O105&lt;&gt;"","   NOTES/REMARKS: "&amp;'Excercise - Al '!O105,"")&amp;IF('Excercise - Al '!Q105&lt;&gt;"","   BACKGROUND INFO: "&amp;'Excercise - Al '!Q105,"")</f>
        <v xml:space="preserve">   DESCRIPTION: Provide storm surge models for anticipated areas of landfall.  </v>
      </c>
      <c r="G105" s="63" t="str">
        <f>IF('Excercise - Al '!P105&lt;&gt;"","IMPLEMENTER: "&amp;'Excercise - Al '!P105,"")</f>
        <v xml:space="preserve">IMPLEMENTER: Provide storm surge models for anticipated areas of landfall.  </v>
      </c>
      <c r="H105" s="63" t="str">
        <f>IF('Excercise - Al '!N105&lt;&gt;"","EXPECTED ACTIONS: "&amp;'Excercise - Al '!N105,"")</f>
        <v/>
      </c>
      <c r="I105" s="63" t="str">
        <f>'Excercise - Al '!R105</f>
        <v>McLeod</v>
      </c>
    </row>
    <row r="106" spans="1:9" s="24" customFormat="1" ht="180">
      <c r="A106" s="63">
        <f>'Excercise - Al '!A106</f>
        <v>105</v>
      </c>
      <c r="B106" s="63"/>
      <c r="C106" s="64">
        <f>'Excercise - Al '!E106</f>
        <v>40302.708333333336</v>
      </c>
      <c r="D106" s="63" t="str">
        <f>IF('Excercise - Al '!F106&lt;&gt;0,'Excercise - Al '!F106,"")</f>
        <v>MISSION - BPT</v>
      </c>
      <c r="E106" s="63" t="str">
        <f>IF('Excercise - Al '!G106&lt;&gt;"","MODE: "&amp;'Excercise - Al '!G106,"")&amp;IF('Excercise - Al '!H106&lt;&gt;"","   FROM: "&amp;'Excercise - Al '!H106,"")&amp;IF('Excercise - Al '!I106&lt;&gt;"","   INJECTED BY: "&amp;'Excercise - Al '!I106,"")&amp;IF('Excercise - Al '!J106&lt;&gt;"","   SEND TO: "&amp;'Excercise - Al '!J106,"")</f>
        <v>MODE: EMITS   FROM: AEMA ESF ___   INJECTED BY: SEOC LNO   SEND TO: AEMA</v>
      </c>
      <c r="F106" s="63" t="str">
        <f>IF('Excercise - Al '!K106&lt;&gt;"","STORYLINE: "&amp;'Excercise - Al '!K106,"")&amp;IF('Excercise - Al '!M106&lt;&gt;"","   DESCRIPTION: "&amp;'Excercise - Al '!M106,"")&amp;IF('Excercise - Al '!O106&lt;&gt;"","   NOTES/REMARKS: "&amp;'Excercise - Al '!O106,"")&amp;IF('Excercise - Al '!Q106&lt;&gt;"","   BACKGROUND INFO: "&amp;'Excercise - Al '!Q106,"")</f>
        <v xml:space="preserve">   DESCRIPTION: AEMA Preparations for JTF Standup</v>
      </c>
      <c r="G106" s="63" t="str">
        <f>IF('Excercise - Al '!P106&lt;&gt;"","IMPLEMENTER: "&amp;'Excercise - Al '!P106,"")</f>
        <v>IMPLEMENTER: At the request of Governor Riley, the Alabama Adjutant General has directed the Joint Force Headquarters make preparations to fully activate and deploy a Joint Task Force in support of emergency response in the region of the Hurricane AL impact area. The JTF will be tasked with Defense Support to Civilian Authorities and other specific missions as identified by the Alabama Emergency Management Division. The JFHQ will prepare an Operations Order that outlines primary mission assignments, responsibilities and parameters.  JTF personnel should report to their assigned armory / staging area for immediate RSOI and deployment to the JOA.</v>
      </c>
      <c r="H106" s="63" t="str">
        <f>IF('Excercise - Al '!N106&lt;&gt;"","EXPECTED ACTIONS: "&amp;'Excercise - Al '!N106,"")</f>
        <v/>
      </c>
      <c r="I106" s="63" t="str">
        <f>'Excercise - Al '!R106</f>
        <v>Keane</v>
      </c>
    </row>
    <row r="107" spans="1:9" s="24" customFormat="1" ht="56.25">
      <c r="A107" s="63">
        <f>'Excercise - Al '!A107</f>
        <v>106</v>
      </c>
      <c r="B107" s="63"/>
      <c r="C107" s="64">
        <f>'Excercise - Al '!E107</f>
        <v>40302.709027777775</v>
      </c>
      <c r="D107" s="63" t="str">
        <f>IF('Excercise - Al '!F107&lt;&gt;0,'Excercise - Al '!F107,"")</f>
        <v>INFO</v>
      </c>
      <c r="E107" s="63" t="str">
        <f>IF('Excercise - Al '!G107&lt;&gt;"","MODE: "&amp;'Excercise - Al '!G107,"")&amp;IF('Excercise - Al '!H107&lt;&gt;"","   FROM: "&amp;'Excercise - Al '!H107,"")&amp;IF('Excercise - Al '!I107&lt;&gt;"","   INJECTED BY: "&amp;'Excercise - Al '!I107,"")&amp;IF('Excercise - Al '!J107&lt;&gt;"","   SEND TO: "&amp;'Excercise - Al '!J107,"")</f>
        <v>MODE: EMITS   FROM: SEOC   INJECTED BY: SEOC LNO   SEND TO: JOC</v>
      </c>
      <c r="F107" s="63" t="str">
        <f>IF('Excercise - Al '!K107&lt;&gt;"","STORYLINE: "&amp;'Excercise - Al '!K107,"")&amp;IF('Excercise - Al '!M107&lt;&gt;"","   DESCRIPTION: "&amp;'Excercise - Al '!M107,"")&amp;IF('Excercise - Al '!O107&lt;&gt;"","   NOTES/REMARKS: "&amp;'Excercise - Al '!O107,"")&amp;IF('Excercise - Al '!Q107&lt;&gt;"","   BACKGROUND INFO: "&amp;'Excercise - Al '!Q107,"")</f>
        <v xml:space="preserve">   DESCRIPTION: AL Governor issues declares State of Emergency </v>
      </c>
      <c r="G107" s="63" t="str">
        <f>IF('Excercise - Al '!P107&lt;&gt;"","IMPLEMENTER: "&amp;'Excercise - Al '!P107,"")</f>
        <v xml:space="preserve">IMPLEMENTER: AL Governor issues declares State of Emergency </v>
      </c>
      <c r="H107" s="63" t="str">
        <f>IF('Excercise - Al '!N107&lt;&gt;"","EXPECTED ACTIONS: "&amp;'Excercise - Al '!N107,"")</f>
        <v/>
      </c>
      <c r="I107" s="63" t="str">
        <f>'Excercise - Al '!R107</f>
        <v>Keane</v>
      </c>
    </row>
    <row r="108" spans="1:9" s="24" customFormat="1" ht="56.25">
      <c r="A108" s="63">
        <f>'Excercise - Al '!A108</f>
        <v>107</v>
      </c>
      <c r="B108" s="63"/>
      <c r="C108" s="64">
        <f>'Excercise - Al '!E108</f>
        <v>40302.711805555555</v>
      </c>
      <c r="D108" s="63" t="str">
        <f>IF('Excercise - Al '!F108&lt;&gt;0,'Excercise - Al '!F108,"")</f>
        <v>MISSION</v>
      </c>
      <c r="E108" s="63" t="str">
        <f>IF('Excercise - Al '!G108&lt;&gt;"","MODE: "&amp;'Excercise - Al '!G108,"")&amp;IF('Excercise - Al '!H108&lt;&gt;"","   FROM: "&amp;'Excercise - Al '!H108,"")&amp;IF('Excercise - Al '!I108&lt;&gt;"","   INJECTED BY: "&amp;'Excercise - Al '!I108,"")&amp;IF('Excercise - Al '!J108&lt;&gt;"","   SEND TO: "&amp;'Excercise - Al '!J108,"")</f>
        <v>MODE: EMITS   FROM: AEMA   INJECTED BY: SEOC LNO   SEND TO: JOC</v>
      </c>
      <c r="F108" s="63" t="str">
        <f>IF('Excercise - Al '!K108&lt;&gt;"","STORYLINE: "&amp;'Excercise - Al '!K108,"")&amp;IF('Excercise - Al '!M108&lt;&gt;"","   DESCRIPTION: "&amp;'Excercise - Al '!M108,"")&amp;IF('Excercise - Al '!O108&lt;&gt;"","   NOTES/REMARKS: "&amp;'Excercise - Al '!O108,"")&amp;IF('Excercise - Al '!Q108&lt;&gt;"","   BACKGROUND INFO: "&amp;'Excercise - Al '!Q108,"")</f>
        <v xml:space="preserve">   DESCRIPTION: AEMA requests dispatch of NG LNOs to County EOCs  by 1200 5 May 2010.</v>
      </c>
      <c r="G108" s="63" t="str">
        <f>IF('Excercise - Al '!P108&lt;&gt;"","IMPLEMENTER: "&amp;'Excercise - Al '!P108,"")</f>
        <v>IMPLEMENTER: AEMA requests dispatch of NG LNOs to County EOCs  by 1200 19 May 2009.</v>
      </c>
      <c r="H108" s="63" t="str">
        <f>IF('Excercise - Al '!N108&lt;&gt;"","EXPECTED ACTIONS: "&amp;'Excercise - Al '!N108,"")</f>
        <v/>
      </c>
      <c r="I108" s="63" t="str">
        <f>'Excercise - Al '!R108</f>
        <v>Keane</v>
      </c>
    </row>
    <row r="109" spans="1:9" s="24" customFormat="1" ht="78.75">
      <c r="A109" s="63">
        <f>'Excercise - Al '!A109</f>
        <v>108</v>
      </c>
      <c r="B109" s="63"/>
      <c r="C109" s="64">
        <f>'Excercise - Al '!E109</f>
        <v>40302.713888888888</v>
      </c>
      <c r="D109" s="63" t="str">
        <f>IF('Excercise - Al '!F109&lt;&gt;0,'Excercise - Al '!F109,"")</f>
        <v>INFO</v>
      </c>
      <c r="E109" s="63" t="str">
        <f>IF('Excercise - Al '!G109&lt;&gt;"","MODE: "&amp;'Excercise - Al '!G109,"")&amp;IF('Excercise - Al '!H109&lt;&gt;"","   FROM: "&amp;'Excercise - Al '!H109,"")&amp;IF('Excercise - Al '!I109&lt;&gt;"","   INJECTED BY: "&amp;'Excercise - Al '!I109,"")&amp;IF('Excercise - Al '!J109&lt;&gt;"","   SEND TO: "&amp;'Excercise - Al '!J109,"")</f>
        <v>MODE: Email   FROM: Simcell - National Hurricane Center   INJECTED BY: KEANE   SEND TO: JOC, All</v>
      </c>
      <c r="F109" s="63" t="str">
        <f>IF('Excercise - Al '!K109&lt;&gt;"","STORYLINE: "&amp;'Excercise - Al '!K109,"")&amp;IF('Excercise - Al '!M109&lt;&gt;"","   DESCRIPTION: "&amp;'Excercise - Al '!M109,"")&amp;IF('Excercise - Al '!O109&lt;&gt;"","   NOTES/REMARKS: "&amp;'Excercise - Al '!O109,"")&amp;IF('Excercise - Al '!Q109&lt;&gt;"","   BACKGROUND INFO: "&amp;'Excercise - Al '!Q109,"")</f>
        <v>STORYLINE: Tropical Storm Al Update 15   DESCRIPTION: Tropical Storm Al Update 15</v>
      </c>
      <c r="G109" s="63" t="str">
        <f>IF('Excercise - Al '!P109&lt;&gt;"","IMPLEMENTER: "&amp;'Excercise - Al '!P109,"")</f>
        <v/>
      </c>
      <c r="H109" s="63" t="str">
        <f>IF('Excercise - Al '!N109&lt;&gt;"","EXPECTED ACTIONS: "&amp;'Excercise - Al '!N109,"")</f>
        <v/>
      </c>
      <c r="I109" s="63" t="str">
        <f>'Excercise - Al '!R109</f>
        <v>Keane</v>
      </c>
    </row>
    <row r="110" spans="1:9" s="24" customFormat="1" ht="56.25">
      <c r="A110" s="63">
        <f>'Excercise - Al '!A110</f>
        <v>109</v>
      </c>
      <c r="B110" s="63"/>
      <c r="C110" s="64">
        <f>'Excercise - Al '!E110</f>
        <v>40302.714583333334</v>
      </c>
      <c r="D110" s="63" t="str">
        <f>IF('Excercise - Al '!F110&lt;&gt;0,'Excercise - Al '!F110,"")</f>
        <v/>
      </c>
      <c r="E110" s="63" t="str">
        <f>IF('Excercise - Al '!G110&lt;&gt;"","MODE: "&amp;'Excercise - Al '!G110,"")&amp;IF('Excercise - Al '!H110&lt;&gt;"","   FROM: "&amp;'Excercise - Al '!H110,"")&amp;IF('Excercise - Al '!I110&lt;&gt;"","   INJECTED BY: "&amp;'Excercise - Al '!I110,"")&amp;IF('Excercise - Al '!J110&lt;&gt;"","   SEND TO: "&amp;'Excercise - Al '!J110,"")</f>
        <v>MODE: Email   FROM: JTF-S   INJECTED BY: KEANE   SEND TO: JOC, All</v>
      </c>
      <c r="F110" s="63" t="str">
        <f>IF('Excercise - Al '!K110&lt;&gt;"","STORYLINE: "&amp;'Excercise - Al '!K110,"")&amp;IF('Excercise - Al '!M110&lt;&gt;"","   DESCRIPTION: "&amp;'Excercise - Al '!M110,"")&amp;IF('Excercise - Al '!O110&lt;&gt;"","   NOTES/REMARKS: "&amp;'Excercise - Al '!O110,"")&amp;IF('Excercise - Al '!Q110&lt;&gt;"","   BACKGROUND INFO: "&amp;'Excercise - Al '!Q110,"")</f>
        <v/>
      </c>
      <c r="G110" s="63" t="str">
        <f>IF('Excercise - Al '!P110&lt;&gt;"","IMPLEMENTER: "&amp;'Excercise - Al '!P110,"")</f>
        <v/>
      </c>
      <c r="H110" s="63" t="str">
        <f>IF('Excercise - Al '!N110&lt;&gt;"","EXPECTED ACTIONS: "&amp;'Excercise - Al '!N110,"")</f>
        <v/>
      </c>
      <c r="I110" s="63" t="str">
        <f>'Excercise - Al '!R110</f>
        <v>Keane</v>
      </c>
    </row>
    <row r="111" spans="1:9" s="24" customFormat="1" ht="247.5">
      <c r="A111" s="63">
        <f>'Excercise - Al '!A111</f>
        <v>110</v>
      </c>
      <c r="B111" s="63"/>
      <c r="C111" s="64">
        <f>'Excercise - Al '!E111</f>
        <v>40302.758333333331</v>
      </c>
      <c r="D111" s="63" t="str">
        <f>IF('Excercise - Al '!F111&lt;&gt;0,'Excercise - Al '!F111,"")</f>
        <v>INFO</v>
      </c>
      <c r="E111" s="63" t="str">
        <f>IF('Excercise - Al '!G111&lt;&gt;"","MODE: "&amp;'Excercise - Al '!G111,"")&amp;IF('Excercise - Al '!H111&lt;&gt;"","   FROM: "&amp;'Excercise - Al '!H111,"")&amp;IF('Excercise - Al '!I111&lt;&gt;"","   INJECTED BY: "&amp;'Excercise - Al '!I111,"")&amp;IF('Excercise - Al '!J111&lt;&gt;"","   SEND TO: "&amp;'Excercise - Al '!J111,"")</f>
        <v>MODE: Phone   FROM: Simcell - JTF South   INJECTED BY: WHEELER   SEND TO: JTF South</v>
      </c>
      <c r="F111" s="63" t="str">
        <f>IF('Excercise - Al '!K111&lt;&gt;"","STORYLINE: "&amp;'Excercise - Al '!K111,"")&amp;IF('Excercise - Al '!M111&lt;&gt;"","   DESCRIPTION: "&amp;'Excercise - Al '!M111,"")&amp;IF('Excercise - Al '!O111&lt;&gt;"","   NOTES/REMARKS: "&amp;'Excercise - Al '!O111,"")&amp;IF('Excercise - Al '!Q111&lt;&gt;"","   BACKGROUND INFO: "&amp;'Excercise - Al '!Q111,"")</f>
        <v xml:space="preserve">STORYLINE: Soldier - Citizen Confrontation   DESCRIPTION: 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NOTES/REMARKS: Sergeant L. Green reports to higher (1-117 FA BN) that while conducting his contra flow mission on I-65 at Evergreen a vehicle refused to stop and almost struck him. He stated at which time he kicked the front end of their vehicle to get their attention . He further advised that the citizen then became irate and jumped out their vehicle and a fight ensued. </v>
      </c>
      <c r="G111" s="63" t="str">
        <f>IF('Excercise - Al '!P111&lt;&gt;"","IMPLEMENTER: "&amp;'Excercise - Al '!P111,"")</f>
        <v>IMPLEMENTER: MAJ Berry (XO 1/117) to JTF-South - I just had one of my Soldiers contact me and he stated that he was at his assigned post conducting Contra flow Operations and vehicle refused to stop almost hitting him. He told me he kicked the front of the car to get the distracted drivers attention. He further stated that the driver became irate and jumped out the car, approaching him fast. He stated that he had reasonable apprehension that the citizen was going to strike him so he struck the driver in the face first. He stated that the driver then punched him in the ear and SPC Turncoat had to pull the driver off of him. He said the driver then walked back to his vehicle and stated he would sue him and the US Army for every penny they have and left the scene. I told him to stand fast and I would have his Platoon Leader in route to his location. I will provide more information when 1LT Johnson arrives at the scene.</v>
      </c>
      <c r="H111" s="63" t="str">
        <f>IF('Excercise - Al '!N111&lt;&gt;"","EXPECTED ACTIONS: "&amp;'Excercise - Al '!N111,"")</f>
        <v/>
      </c>
      <c r="I111" s="63" t="str">
        <f>'Excercise - Al '!R111</f>
        <v>Wheeler</v>
      </c>
    </row>
    <row r="112" spans="1:9" s="24" customFormat="1" ht="56.25">
      <c r="A112" s="63">
        <f>'Excercise - Al '!A112</f>
        <v>111</v>
      </c>
      <c r="B112" s="63"/>
      <c r="C112" s="64">
        <f>'Excercise - Al '!E112</f>
        <v>40302.760416666664</v>
      </c>
      <c r="D112" s="63" t="str">
        <f>IF('Excercise - Al '!F112&lt;&gt;0,'Excercise - Al '!F112,"")</f>
        <v>INFO</v>
      </c>
      <c r="E112" s="63" t="str">
        <f>IF('Excercise - Al '!G112&lt;&gt;"","MODE: "&amp;'Excercise - Al '!G112,"")&amp;IF('Excercise - Al '!H112&lt;&gt;"","   FROM: "&amp;'Excercise - Al '!H112,"")&amp;IF('Excercise - Al '!I112&lt;&gt;"","   INJECTED BY: "&amp;'Excercise - Al '!I112,"")&amp;IF('Excercise - Al '!J112&lt;&gt;"","   SEND TO: "&amp;'Excercise - Al '!J112,"")</f>
        <v>MODE: Email   FROM: JTF N   INJECTED BY: BENTON   SEND TO: J3</v>
      </c>
      <c r="F112" s="63" t="str">
        <f>IF('Excercise - Al '!K112&lt;&gt;"","STORYLINE: "&amp;'Excercise - Al '!K112,"")&amp;IF('Excercise - Al '!M112&lt;&gt;"","   DESCRIPTION: "&amp;'Excercise - Al '!M112,"")&amp;IF('Excercise - Al '!O112&lt;&gt;"","   NOTES/REMARKS: "&amp;'Excercise - Al '!O112,"")&amp;IF('Excercise - Al '!Q112&lt;&gt;"","   BACKGROUND INFO: "&amp;'Excercise - Al '!Q112,"")</f>
        <v xml:space="preserve">   DESCRIPTION: MVA on I-65/I-85 interchange involving 3 vehicles (2 military LMTVs and 1 civilian tractor trailer).  4 military SM injured and transported to Jackson Hospital.</v>
      </c>
      <c r="G112" s="63" t="str">
        <f>IF('Excercise - Al '!P112&lt;&gt;"","IMPLEMENTER: "&amp;'Excercise - Al '!P112,"")</f>
        <v>IMPLEMENTER: MVA on I-65/I-85 interchange involving 3 vehicles (2 military LMTVs and 1 civilian tractor trailer).  4 military personnel injured and transported to Jackson Hospital.</v>
      </c>
      <c r="H112" s="63" t="str">
        <f>IF('Excercise - Al '!N112&lt;&gt;"","EXPECTED ACTIONS: "&amp;'Excercise - Al '!N112,"")</f>
        <v/>
      </c>
      <c r="I112" s="63" t="str">
        <f>'Excercise - Al '!R112</f>
        <v>Benton</v>
      </c>
    </row>
    <row r="113" spans="1:9" s="24" customFormat="1" ht="292.5">
      <c r="A113" s="63">
        <f>'Excercise - Al '!A113</f>
        <v>112</v>
      </c>
      <c r="B113" s="63"/>
      <c r="C113" s="64">
        <f>'Excercise - Al '!E113</f>
        <v>40302.78125</v>
      </c>
      <c r="D113" s="63" t="str">
        <f>IF('Excercise - Al '!F113&lt;&gt;0,'Excercise - Al '!F113,"")</f>
        <v>INFO</v>
      </c>
      <c r="E113" s="63" t="str">
        <f>IF('Excercise - Al '!G113&lt;&gt;"","MODE: "&amp;'Excercise - Al '!G113,"")&amp;IF('Excercise - Al '!H113&lt;&gt;"","   FROM: "&amp;'Excercise - Al '!H113,"")&amp;IF('Excercise - Al '!I113&lt;&gt;"","   INJECTED BY: "&amp;'Excercise - Al '!I113,"")&amp;IF('Excercise - Al '!J113&lt;&gt;"","   SEND TO: "&amp;'Excercise - Al '!J113,"")</f>
        <v>MODE: Phone   FROM: Simcell (LEA)   INJECTED BY: WHEELER   SEND TO: JOC Message Center</v>
      </c>
      <c r="F113" s="63" t="str">
        <f>IF('Excercise - Al '!K113&lt;&gt;"","STORYLINE: "&amp;'Excercise - Al '!K113,"")&amp;IF('Excercise - Al '!M113&lt;&gt;"","   DESCRIPTION: "&amp;'Excercise - Al '!M113,"")&amp;IF('Excercise - Al '!O113&lt;&gt;"","   NOTES/REMARKS: "&amp;'Excercise - Al '!O113,"")&amp;IF('Excercise - Al '!Q113&lt;&gt;"","   BACKGROUND INFO: "&amp;'Excercise - Al '!Q113,"")</f>
        <v xml:space="preserve">STORYLINE: Soldier - Citizen Confrontation    DESCRIPTION: 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NOTES/REMARKS: Assistant Police Chief Fitzgerald reports that Soldier questioned at scene has no signs of physical injury and has given a conflicting report. Fitzgerald states that SPC Judas Turncoat who was with SGT Green confirms the citizens statement. Fitzgerald states Soldier is in custody for Assault 3rd pending the citizen signing a warrant.  </v>
      </c>
      <c r="G113" s="63" t="str">
        <f>IF('Excercise - Al '!P113&lt;&gt;"","IMPLEMENTER: "&amp;'Excercise - Al '!P113,"")</f>
        <v>IMPLEMENTER: Hi this MAJ Fitzgerald again with the Evergreen PD and I just wanted to advise you that I had to get 10-15 (arrest) with your Soldier. I have a unit in route to headquarters with your Soldier. When I arrived at the scene I took his statement and a statement from SPC Judas Turncoat. They both contradicted each other and SPC Turncoat advised that SGT Fitzgerald initiated the whole the incident. I had the convenient store owner at the corner state that she also saw the whole incident and only witnessed SGT Green striking the citizen. When I advised your Soldier he was being placed in custody, he said, "This is bullshit you can't arrest me I'm on Federal Orders working for the Army" and "You have absolutely no jurisdiction over me". I then attempted to affect an arrest and he pushed me. It then took an additional unit, SPC Turncoat, and myself to handcuff him. During the course of affecting an arrest on him he was maced, and struck several times with a collapsible baton to get him subdued. The media is now at Police Headquarters wanting a statement on what occurred.</v>
      </c>
      <c r="H113" s="63" t="str">
        <f>IF('Excercise - Al '!N113&lt;&gt;"","EXPECTED ACTIONS: "&amp;'Excercise - Al '!N113,"")</f>
        <v/>
      </c>
      <c r="I113" s="63" t="str">
        <f>'Excercise - Al '!R113</f>
        <v>Wheeler</v>
      </c>
    </row>
    <row r="114" spans="1:9" s="24" customFormat="1" ht="213.75">
      <c r="A114" s="63">
        <f>'Excercise - Al '!A114</f>
        <v>113</v>
      </c>
      <c r="B114" s="63"/>
      <c r="C114" s="64">
        <f>'Excercise - Al '!E114</f>
        <v>40302.791666666664</v>
      </c>
      <c r="D114" s="63" t="str">
        <f>IF('Excercise - Al '!F114&lt;&gt;0,'Excercise - Al '!F114,"")</f>
        <v>MISSION - Train Derailment</v>
      </c>
      <c r="E114" s="63" t="str">
        <f>IF('Excercise - Al '!G114&lt;&gt;"","MODE: "&amp;'Excercise - Al '!G114,"")&amp;IF('Excercise - Al '!H114&lt;&gt;"","   FROM: "&amp;'Excercise - Al '!H114,"")&amp;IF('Excercise - Al '!I114&lt;&gt;"","   INJECTED BY: "&amp;'Excercise - Al '!I114,"")&amp;IF('Excercise - Al '!J114&lt;&gt;"","   SEND TO: "&amp;'Excercise - Al '!J114,"")</f>
        <v>MODE: EMITS   FROM: SEOC WC   INJECTED BY: SEOC LNO   SEND TO: JOC Message Center</v>
      </c>
      <c r="F114" s="63" t="str">
        <f>IF('Excercise - Al '!K114&lt;&gt;"","STORYLINE: "&amp;'Excercise - Al '!K114,"")&amp;IF('Excercise - Al '!M114&lt;&gt;"","   DESCRIPTION: "&amp;'Excercise - Al '!M114,"")&amp;IF('Excercise - Al '!O114&lt;&gt;"","   NOTES/REMARKS: "&amp;'Excercise - Al '!O114,"")&amp;IF('Excercise - Al '!Q114&lt;&gt;"","   BACKGROUND INFO: "&amp;'Excercise - Al '!Q114,"")</f>
        <v>STORYLINE: Grove Hill Train Derailment   DESCRIPTION: EMITS Request for Assistance for Train Derailment emergency response   NOTES/REMARKS: The duty status of this mission should come into question, and the JAG probably brought into the discussion. This mission is received as an SAD mission, and will likely remain as such. While the train derailment occurred in the same timeframe (roughly) as the hurricane, it is not a direct result of the hurricane, thus SAD rather than T32.   BACKGROUND INFO: Because of impending hurricane landfall and associated emergency response activities, the Governor has decided that populations evacuated from Grove Hill and surrounding communities will be managed with hurricane evacuees, and will not be allowed to return until train derailment can be completely assessed and mitigated, which will likely not happen until after the hurricane has passed.</v>
      </c>
      <c r="G114" s="63" t="str">
        <f>IF('Excercise - Al '!P114&lt;&gt;"","IMPLEMENTER: "&amp;'Excercise - Al '!P114,"")</f>
        <v>IMPLEMENTER: EMITS message requests thirty personnel to establish VCPs to prevent civilians from entering evacuated areas in the vicinity of Grove Hill. Mission is SAD, anticipated duration is four days. Element is required to be self-sustaining for duration of mission.</v>
      </c>
      <c r="H114" s="63" t="str">
        <f>IF('Excercise - Al '!N114&lt;&gt;"","EXPECTED ACTIONS: "&amp;'Excercise - Al '!N114,"")</f>
        <v/>
      </c>
      <c r="I114" s="63" t="str">
        <f>'Excercise - Al '!R114</f>
        <v>Jenne</v>
      </c>
    </row>
    <row r="115" spans="1:9" s="24" customFormat="1" ht="67.5">
      <c r="A115" s="63">
        <f>'Excercise - Al '!A115</f>
        <v>114</v>
      </c>
      <c r="B115" s="63"/>
      <c r="C115" s="64">
        <f>'Excercise - Al '!E115</f>
        <v>40302.822916666664</v>
      </c>
      <c r="D115" s="63" t="str">
        <f>IF('Excercise - Al '!F115&lt;&gt;0,'Excercise - Al '!F115,"")</f>
        <v>RFI</v>
      </c>
      <c r="E115" s="63" t="str">
        <f>IF('Excercise - Al '!G115&lt;&gt;"","MODE: "&amp;'Excercise - Al '!G115,"")&amp;IF('Excercise - Al '!H115&lt;&gt;"","   FROM: "&amp;'Excercise - Al '!H115,"")&amp;IF('Excercise - Al '!I115&lt;&gt;"","   INJECTED BY: "&amp;'Excercise - Al '!I115,"")&amp;IF('Excercise - Al '!J115&lt;&gt;"","   SEND TO: "&amp;'Excercise - Al '!J115,"")</f>
        <v>MODE: RFA   FROM: White Cell - JTF South   INJECTED BY: WHEELER   SEND TO: JOC</v>
      </c>
      <c r="F115" s="63" t="str">
        <f>IF('Excercise - Al '!K115&lt;&gt;"","STORYLINE: "&amp;'Excercise - Al '!K115,"")&amp;IF('Excercise - Al '!M115&lt;&gt;"","   DESCRIPTION: "&amp;'Excercise - Al '!M115,"")&amp;IF('Excercise - Al '!O115&lt;&gt;"","   NOTES/REMARKS: "&amp;'Excercise - Al '!O115,"")&amp;IF('Excercise - Al '!Q115&lt;&gt;"","   BACKGROUND INFO: "&amp;'Excercise - Al '!Q115,"")</f>
        <v xml:space="preserve">   DESCRIPTION: Need SINCGARS batteries for manpack radios.</v>
      </c>
      <c r="G115" s="63" t="str">
        <f>IF('Excercise - Al '!P115&lt;&gt;"","IMPLEMENTER: "&amp;'Excercise - Al '!P115,"")</f>
        <v>IMPLEMENTER: Request 600 batteries for Manpack Radios (AN/PRC-150 or D Model SINCGARS) delivered to Fort Whiting in anticipation of manning security check points</v>
      </c>
      <c r="H115" s="63" t="str">
        <f>IF('Excercise - Al '!N115&lt;&gt;"","EXPECTED ACTIONS: "&amp;'Excercise - Al '!N115,"")</f>
        <v/>
      </c>
      <c r="I115" s="63" t="str">
        <f>'Excercise - Al '!R115</f>
        <v>Wheeler</v>
      </c>
    </row>
    <row r="116" spans="1:9" s="24" customFormat="1" ht="67.5">
      <c r="A116" s="63">
        <f>'Excercise - Al '!A116</f>
        <v>115</v>
      </c>
      <c r="B116" s="63"/>
      <c r="C116" s="64">
        <f>'Excercise - Al '!E116</f>
        <v>40302.823611111111</v>
      </c>
      <c r="D116" s="63" t="str">
        <f>IF('Excercise - Al '!F116&lt;&gt;0,'Excercise - Al '!F116,"")</f>
        <v>RFI</v>
      </c>
      <c r="E116" s="63" t="str">
        <f>IF('Excercise - Al '!G116&lt;&gt;"","MODE: "&amp;'Excercise - Al '!G116,"")&amp;IF('Excercise - Al '!H116&lt;&gt;"","   FROM: "&amp;'Excercise - Al '!H116,"")&amp;IF('Excercise - Al '!I116&lt;&gt;"","   INJECTED BY: "&amp;'Excercise - Al '!I116,"")&amp;IF('Excercise - Al '!J116&lt;&gt;"","   SEND TO: "&amp;'Excercise - Al '!J116,"")</f>
        <v>MODE: Email   FROM: JTF S   INJECTED BY: TOMBERLIN   SEND TO: Chaplain</v>
      </c>
      <c r="F116" s="63" t="str">
        <f>IF('Excercise - Al '!K116&lt;&gt;"","STORYLINE: "&amp;'Excercise - Al '!K116,"")&amp;IF('Excercise - Al '!M116&lt;&gt;"","   DESCRIPTION: "&amp;'Excercise - Al '!M116,"")&amp;IF('Excercise - Al '!O116&lt;&gt;"","   NOTES/REMARKS: "&amp;'Excercise - Al '!O116,"")&amp;IF('Excercise - Al '!Q116&lt;&gt;"","   BACKGROUND INFO: "&amp;'Excercise - Al '!Q116,"")</f>
        <v xml:space="preserve">   DESCRIPTION: Soldier's father calls the American Red Cross Shelters trying to contact his son who is deployed to Mobile area.  </v>
      </c>
      <c r="G116" s="63" t="str">
        <f>IF('Excercise - Al '!P116&lt;&gt;"","IMPLEMENTER: "&amp;'Excercise - Al '!P116,"")</f>
        <v>IMPLEMENTER: Soldier's father calls the American Red Cross Shelters trying to contact his son who is deployed to Mobile area.  He wants to send a Red Cross message that his Mother has died suddenly.</v>
      </c>
      <c r="H116" s="63" t="str">
        <f>IF('Excercise - Al '!N116&lt;&gt;"","EXPECTED ACTIONS: "&amp;'Excercise - Al '!N116,"")</f>
        <v/>
      </c>
      <c r="I116" s="63" t="str">
        <f>'Excercise - Al '!R116</f>
        <v>Benton</v>
      </c>
    </row>
    <row r="117" spans="1:9" s="24" customFormat="1" ht="146.25">
      <c r="A117" s="63">
        <f>'Excercise - Al '!A117</f>
        <v>116</v>
      </c>
      <c r="B117" s="63"/>
      <c r="C117" s="64">
        <f>'Excercise - Al '!E117</f>
        <v>40302.826388888891</v>
      </c>
      <c r="D117" s="63" t="str">
        <f>IF('Excercise - Al '!F117&lt;&gt;0,'Excercise - Al '!F117,"")</f>
        <v>INFO</v>
      </c>
      <c r="E117" s="63" t="str">
        <f>IF('Excercise - Al '!G117&lt;&gt;"","MODE: "&amp;'Excercise - Al '!G117,"")&amp;IF('Excercise - Al '!H117&lt;&gt;"","   FROM: "&amp;'Excercise - Al '!H117,"")&amp;IF('Excercise - Al '!I117&lt;&gt;"","   INJECTED BY: "&amp;'Excercise - Al '!I117,"")&amp;IF('Excercise - Al '!J117&lt;&gt;"","   SEND TO: "&amp;'Excercise - Al '!J117,"")</f>
        <v>MODE: Phone   FROM: Simcell (LEA)   INJECTED BY: TOMBERLIN   SEND TO: JOC Message Center</v>
      </c>
      <c r="F117" s="63" t="str">
        <f>IF('Excercise - Al '!K117&lt;&gt;"","STORYLINE: "&amp;'Excercise - Al '!K117,"")&amp;IF('Excercise - Al '!M117&lt;&gt;"","   DESCRIPTION: "&amp;'Excercise - Al '!M117,"")&amp;IF('Excercise - Al '!O117&lt;&gt;"","   NOTES/REMARKS: "&amp;'Excercise - Al '!O117,"")&amp;IF('Excercise - Al '!Q117&lt;&gt;"","   BACKGROUND INFO: "&amp;'Excercise - Al '!Q117,"")</f>
        <v>STORYLINE: Soldier - Citizen Confrontation    DESCRIPTION: Reporter from the Montgomery Advertiser wants  to speak with Army Public Affairs in reference to Soldiers arrest in Evergreen.</v>
      </c>
      <c r="G117" s="63" t="str">
        <f>IF('Excercise - Al '!P117&lt;&gt;"","IMPLEMENTER: "&amp;'Excercise - Al '!P117,"")</f>
        <v>IMPLEMENTER: Reporter from the Montgomery Advertiser who also states he is a freelance writer for the associated press wants  to speak with Army Public Affairs in reference to Soldiers arrest in Evergreen. He stated he has already spoken with the Evergreen Police Department, the alleged assaulted citizen, and two witnesses (Soldier and Convenient Store Owner). He stated that he wants the Army National Guard official position and statement before he goes to press with the story.</v>
      </c>
      <c r="H117" s="63" t="str">
        <f>IF('Excercise - Al '!N117&lt;&gt;"","EXPECTED ACTIONS: "&amp;'Excercise - Al '!N117,"")</f>
        <v/>
      </c>
      <c r="I117" s="63" t="str">
        <f>'Excercise - Al '!R117</f>
        <v>Wheeler</v>
      </c>
    </row>
    <row r="118" spans="1:9" s="24" customFormat="1" ht="258.75">
      <c r="A118" s="63">
        <f>'Excercise - Al '!A118</f>
        <v>117</v>
      </c>
      <c r="B118" s="63"/>
      <c r="C118" s="64">
        <f>'Excercise - Al '!E118</f>
        <v>40302.916666666664</v>
      </c>
      <c r="D118" s="63" t="str">
        <f>IF('Excercise - Al '!F118&lt;&gt;0,'Excercise - Al '!F118,"")</f>
        <v>INFO</v>
      </c>
      <c r="E118" s="63" t="str">
        <f>IF('Excercise - Al '!G118&lt;&gt;"","MODE: "&amp;'Excercise - Al '!G118,"")&amp;IF('Excercise - Al '!H118&lt;&gt;"","   FROM: "&amp;'Excercise - Al '!H118,"")&amp;IF('Excercise - Al '!I118&lt;&gt;"","   INJECTED BY: "&amp;'Excercise - Al '!I118,"")&amp;IF('Excercise - Al '!J118&lt;&gt;"","   SEND TO: "&amp;'Excercise - Al '!J118,"")</f>
        <v>MODE: Email   FROM: Simcell - National Hurricane Center   INJECTED BY: KEANE   SEND TO: JOC, All</v>
      </c>
      <c r="F118" s="63" t="str">
        <f>IF('Excercise - Al '!K118&lt;&gt;"","STORYLINE: "&amp;'Excercise - Al '!K118,"")&amp;IF('Excercise - Al '!M118&lt;&gt;"","   DESCRIPTION: "&amp;'Excercise - Al '!M118,"")&amp;IF('Excercise - Al '!O118&lt;&gt;"","   NOTES/REMARKS: "&amp;'Excercise - Al '!O118,"")&amp;IF('Excercise - Al '!Q118&lt;&gt;"","   BACKGROUND INFO: "&amp;'Excercise - Al '!Q118,"")</f>
        <v>STORYLINE: Tropical Storm Al Update 16   DESCRIPTION: Tropical Storm Al Update 16</v>
      </c>
      <c r="G118" s="63" t="str">
        <f>IF('Excercise - Al '!P118&lt;&gt;"","IMPLEMENTER: "&amp;'Excercise - Al '!P118,"")</f>
        <v xml:space="preserve">IMPLEMENTER: 
... HURRICANE AL ...NOW A CATEGORY THREE...SHIFTS NORTHWARD...
SUMMARY OF 2300 PM EDT...0300 UTC...INFORMATION
-----------------------------------------------
LOCATION...24.7N 88.3W
ABOUT 261 MILES...421 KM...NORTH-NORTHWEST OF CANCUN MEXICO
ABOUT 392 MILES...631 KM...WEST-NORTHWEST OF HAVANA CUBA
ABOUT 412 MILES...664 KM...SOUTH OF MOBILE ALABAMA
MAXIMUM SUSTAINED WINDS...120 MPH...193 KM/HR
PRESENT MOVEMENT...NNW OR 334 DEGREES AT 14 MPH...23 KM/HR
MINIMUM CENTRAL PRESSURE...960 MB...28.35 INCHES
</v>
      </c>
      <c r="H118" s="63" t="str">
        <f>IF('Excercise - Al '!N118&lt;&gt;"","EXPECTED ACTIONS: "&amp;'Excercise - Al '!N118,"")</f>
        <v/>
      </c>
      <c r="I118" s="63" t="str">
        <f>'Excercise - Al '!R118</f>
        <v>Keane</v>
      </c>
    </row>
    <row r="119" spans="1:9" s="24" customFormat="1" ht="258.75">
      <c r="A119" s="63">
        <f>'Excercise - Al '!A119</f>
        <v>118</v>
      </c>
      <c r="B119" s="63"/>
      <c r="C119" s="64">
        <f>'Excercise - Al '!E119</f>
        <v>40303.166666666664</v>
      </c>
      <c r="D119" s="63" t="str">
        <f>IF('Excercise - Al '!F119&lt;&gt;0,'Excercise - Al '!F119,"")</f>
        <v>INFO</v>
      </c>
      <c r="E119" s="63" t="str">
        <f>IF('Excercise - Al '!G119&lt;&gt;"","MODE: "&amp;'Excercise - Al '!G119,"")&amp;IF('Excercise - Al '!H119&lt;&gt;"","   FROM: "&amp;'Excercise - Al '!H119,"")&amp;IF('Excercise - Al '!I119&lt;&gt;"","   INJECTED BY: "&amp;'Excercise - Al '!I119,"")&amp;IF('Excercise - Al '!J119&lt;&gt;"","   SEND TO: "&amp;'Excercise - Al '!J119,"")</f>
        <v>MODE: Email   FROM: Simcell - National Hurricane Center   INJECTED BY: KEANE   SEND TO: JOC, All</v>
      </c>
      <c r="F119" s="63" t="str">
        <f>IF('Excercise - Al '!K119&lt;&gt;"","STORYLINE: "&amp;'Excercise - Al '!K119,"")&amp;IF('Excercise - Al '!M119&lt;&gt;"","   DESCRIPTION: "&amp;'Excercise - Al '!M119,"")&amp;IF('Excercise - Al '!O119&lt;&gt;"","   NOTES/REMARKS: "&amp;'Excercise - Al '!O119,"")&amp;IF('Excercise - Al '!Q119&lt;&gt;"","   BACKGROUND INFO: "&amp;'Excercise - Al '!Q119,"")</f>
        <v>STORYLINE: Tropical Storm Al Update 17   DESCRIPTION: Tropical Storm Al Update 17</v>
      </c>
      <c r="G119" s="63" t="str">
        <f>IF('Excercise - Al '!P119&lt;&gt;"","IMPLEMENTER: "&amp;'Excercise - Al '!P119,"")</f>
        <v xml:space="preserve">IMPLEMENTER: 
...HURRICANE AL MOVING TOWARD THE NEW ORLEANS...
SUMMARY OF 500 AM EDT...0900 UTC...INFORMATION
-----------------------------------------------
LOCATION...25.8N 88.8W
ABOUT 338 MILES...544 KM...SOUTH OF MOBILE ALABAMA
ABOUT 445 MILES...717 KM...WEST-NORTHWEST OF HAVANA CUBA
ABOUT 546 MILES...879 KM...EAST-SOUTHEAST OF CORPUS CHRISTI TEXAS
MAXIMUM SUSTAINED WINDS...120 MPH...193 KM/HR
PRESENT MOVEMENT...NORTHERLY OR 351 DEGREES AT 16 MPH...26 KM/HR
MINIMUM CENTRAL PRESSURE...959 MB...28.32 INCHES
</v>
      </c>
      <c r="H119" s="63" t="str">
        <f>IF('Excercise - Al '!N119&lt;&gt;"","EXPECTED ACTIONS: "&amp;'Excercise - Al '!N119,"")</f>
        <v/>
      </c>
      <c r="I119" s="63" t="str">
        <f>'Excercise - Al '!R119</f>
        <v>Keane</v>
      </c>
    </row>
    <row r="120" spans="1:9" s="24" customFormat="1" ht="33.75">
      <c r="A120" s="63">
        <f>'Excercise - Al '!A120</f>
        <v>119</v>
      </c>
      <c r="B120" s="63"/>
      <c r="C120" s="64">
        <f>'Excercise - Al '!E120</f>
        <v>40303.208333333336</v>
      </c>
      <c r="D120" s="63" t="str">
        <f>IF('Excercise - Al '!F120&lt;&gt;0,'Excercise - Al '!F120,"")</f>
        <v>31st CHEM BDE - Activates the 1165th and 690th</v>
      </c>
      <c r="E120" s="63" t="str">
        <f>IF('Excercise - Al '!G120&lt;&gt;"","MODE: "&amp;'Excercise - Al '!G120,"")&amp;IF('Excercise - Al '!H120&lt;&gt;"","   FROM: "&amp;'Excercise - Al '!H120,"")&amp;IF('Excercise - Al '!I120&lt;&gt;"","   INJECTED BY: "&amp;'Excercise - Al '!I120,"")&amp;IF('Excercise - Al '!J120&lt;&gt;"","   SEND TO: "&amp;'Excercise - Al '!J120,"")</f>
        <v>MODE: Not Injected</v>
      </c>
      <c r="F120" s="63" t="str">
        <f>IF('Excercise - Al '!K120&lt;&gt;"","STORYLINE: "&amp;'Excercise - Al '!K120,"")&amp;IF('Excercise - Al '!M120&lt;&gt;"","   DESCRIPTION: "&amp;'Excercise - Al '!M120,"")&amp;IF('Excercise - Al '!O120&lt;&gt;"","   NOTES/REMARKS: "&amp;'Excercise - Al '!O120,"")&amp;IF('Excercise - Al '!Q120&lt;&gt;"","   BACKGROUND INFO: "&amp;'Excercise - Al '!Q120,"")</f>
        <v/>
      </c>
      <c r="G120" s="63" t="str">
        <f>IF('Excercise - Al '!P120&lt;&gt;"","IMPLEMENTER: "&amp;'Excercise - Al '!P120,"")</f>
        <v/>
      </c>
      <c r="H120" s="63" t="str">
        <f>IF('Excercise - Al '!N120&lt;&gt;"","EXPECTED ACTIONS: "&amp;'Excercise - Al '!N120,"")</f>
        <v/>
      </c>
      <c r="I120" s="63" t="str">
        <f>'Excercise - Al '!R120</f>
        <v>Napier</v>
      </c>
    </row>
    <row r="121" spans="1:9" s="24" customFormat="1" ht="56.25">
      <c r="A121" s="63">
        <f>'Excercise - Al '!A121</f>
        <v>120</v>
      </c>
      <c r="B121" s="63"/>
      <c r="C121" s="64">
        <f>'Excercise - Al '!E121</f>
        <v>40303.208333333336</v>
      </c>
      <c r="D121" s="63" t="str">
        <f>IF('Excercise - Al '!F121&lt;&gt;0,'Excercise - Al '!F121,"")</f>
        <v>31st CHEM BDE - Monitors Convoy for 1165th from Fairhope to Fort Whiting</v>
      </c>
      <c r="E121" s="63" t="str">
        <f>IF('Excercise - Al '!G121&lt;&gt;"","MODE: "&amp;'Excercise - Al '!G121,"")&amp;IF('Excercise - Al '!H121&lt;&gt;"","   FROM: "&amp;'Excercise - Al '!H121,"")&amp;IF('Excercise - Al '!I121&lt;&gt;"","   INJECTED BY: "&amp;'Excercise - Al '!I121,"")&amp;IF('Excercise - Al '!J121&lt;&gt;"","   SEND TO: "&amp;'Excercise - Al '!J121,"")</f>
        <v>MODE: Not Injected</v>
      </c>
      <c r="F121" s="63" t="str">
        <f>IF('Excercise - Al '!K121&lt;&gt;"","STORYLINE: "&amp;'Excercise - Al '!K121,"")&amp;IF('Excercise - Al '!M121&lt;&gt;"","   DESCRIPTION: "&amp;'Excercise - Al '!M121,"")&amp;IF('Excercise - Al '!O121&lt;&gt;"","   NOTES/REMARKS: "&amp;'Excercise - Al '!O121,"")&amp;IF('Excercise - Al '!Q121&lt;&gt;"","   BACKGROUND INFO: "&amp;'Excercise - Al '!Q121,"")</f>
        <v/>
      </c>
      <c r="G121" s="63" t="str">
        <f>IF('Excercise - Al '!P121&lt;&gt;"","IMPLEMENTER: "&amp;'Excercise - Al '!P121,"")</f>
        <v/>
      </c>
      <c r="H121" s="63" t="str">
        <f>IF('Excercise - Al '!N121&lt;&gt;"","EXPECTED ACTIONS: "&amp;'Excercise - Al '!N121,"")</f>
        <v/>
      </c>
      <c r="I121" s="63" t="str">
        <f>'Excercise - Al '!R121</f>
        <v>Napier</v>
      </c>
    </row>
    <row r="122" spans="1:9" s="24" customFormat="1" ht="56.25">
      <c r="A122" s="63">
        <f>'Excercise - Al '!A122</f>
        <v>121</v>
      </c>
      <c r="B122" s="63"/>
      <c r="C122" s="64">
        <f>'Excercise - Al '!E122</f>
        <v>40303.291666666664</v>
      </c>
      <c r="D122" s="63" t="str">
        <f>IF('Excercise - Al '!F122&lt;&gt;0,'Excercise - Al '!F122,"")</f>
        <v>MISSION</v>
      </c>
      <c r="E122" s="63" t="str">
        <f>IF('Excercise - Al '!G122&lt;&gt;"","MODE: "&amp;'Excercise - Al '!G122,"")&amp;IF('Excercise - Al '!H122&lt;&gt;"","   FROM: "&amp;'Excercise - Al '!H122,"")&amp;IF('Excercise - Al '!I122&lt;&gt;"","   INJECTED BY: "&amp;'Excercise - Al '!I122,"")&amp;IF('Excercise - Al '!J122&lt;&gt;"","   SEND TO: "&amp;'Excercise - Al '!J122,"")</f>
        <v>MODE: EMITS   FROM: AEMA   INJECTED BY: SEOC LNO   SEND TO: JOC</v>
      </c>
      <c r="F122" s="63" t="str">
        <f>IF('Excercise - Al '!K122&lt;&gt;"","STORYLINE: "&amp;'Excercise - Al '!K122,"")&amp;IF('Excercise - Al '!M122&lt;&gt;"","   DESCRIPTION: "&amp;'Excercise - Al '!M122,"")&amp;IF('Excercise - Al '!O122&lt;&gt;"","   NOTES/REMARKS: "&amp;'Excercise - Al '!O122,"")&amp;IF('Excercise - Al '!Q122&lt;&gt;"","   BACKGROUND INFO: "&amp;'Excercise - Al '!Q122,"")</f>
        <v xml:space="preserve">   DESCRIPTION: AEMA issues sandbagging mission</v>
      </c>
      <c r="G122" s="63" t="str">
        <f>IF('Excercise - Al '!P122&lt;&gt;"","IMPLEMENTER: "&amp;'Excercise - Al '!P122,"")</f>
        <v>IMPLEMENTER: AEMA issues mission for 200 personnel to assist with sandbagging in Mobile; anticipate mission duration of 24 hours.</v>
      </c>
      <c r="H122" s="63" t="str">
        <f>IF('Excercise - Al '!N122&lt;&gt;"","EXPECTED ACTIONS: "&amp;'Excercise - Al '!N122,"")</f>
        <v/>
      </c>
      <c r="I122" s="63" t="str">
        <f>'Excercise - Al '!R122</f>
        <v>Keane</v>
      </c>
    </row>
    <row r="123" spans="1:9" s="24" customFormat="1" ht="135">
      <c r="A123" s="63">
        <f>'Excercise - Al '!A123</f>
        <v>122</v>
      </c>
      <c r="B123" s="63"/>
      <c r="C123" s="64">
        <f>'Excercise - Al '!E123</f>
        <v>40303.3125</v>
      </c>
      <c r="D123" s="63" t="str">
        <f>IF('Excercise - Al '!F123&lt;&gt;0,'Excercise - Al '!F123,"")</f>
        <v>MISSION - Holman Prison</v>
      </c>
      <c r="E123" s="63" t="str">
        <f>IF('Excercise - Al '!G123&lt;&gt;"","MODE: "&amp;'Excercise - Al '!G123,"")&amp;IF('Excercise - Al '!H123&lt;&gt;"","   FROM: "&amp;'Excercise - Al '!H123,"")&amp;IF('Excercise - Al '!I123&lt;&gt;"","   INJECTED BY: "&amp;'Excercise - Al '!I123,"")&amp;IF('Excercise - Al '!J123&lt;&gt;"","   SEND TO: "&amp;'Excercise - Al '!J123,"")</f>
        <v>MODE: EMITS   FROM: SEOC   INJECTED BY: SEOC LNO   SEND TO: JOC Message Center</v>
      </c>
      <c r="F123" s="63" t="str">
        <f>IF('Excercise - Al '!K123&lt;&gt;"","STORYLINE: "&amp;'Excercise - Al '!K123,"")&amp;IF('Excercise - Al '!M123&lt;&gt;"","   DESCRIPTION: "&amp;'Excercise - Al '!M123,"")&amp;IF('Excercise - Al '!O123&lt;&gt;"","   NOTES/REMARKS: "&amp;'Excercise - Al '!O123,"")&amp;IF('Excercise - Al '!Q123&lt;&gt;"","   BACKGROUND INFO: "&amp;'Excercise - Al '!Q123,"")</f>
        <v>STORYLINE: Holman Prison Blues   DESCRIPTION: EMITS request to provide security assistance to Holman Prison</v>
      </c>
      <c r="G123" s="63" t="str">
        <f>IF('Excercise - Al '!P123&lt;&gt;"","IMPLEMENTER: "&amp;'Excercise - Al '!P123,"")</f>
        <v>IMPLEMENTER: Request is for company-sized element (100 -150 personnel) to establish VCPs, roadblocks and blocking positions on external perimeter to prevent external forces from entering prison compound and providing assistance to prisoners.  Force must be configured to physically stop vehicles (including armored cars).  Request indicates potential for follow-on mission within prison to assist guards in physically segregating prisoners.  Status is SAD; anticipated duration is 72 hours.</v>
      </c>
      <c r="H123" s="63" t="str">
        <f>IF('Excercise - Al '!N123&lt;&gt;"","EXPECTED ACTIONS: "&amp;'Excercise - Al '!N123,"")</f>
        <v/>
      </c>
      <c r="I123" s="63" t="str">
        <f>'Excercise - Al '!R123</f>
        <v>Jenne</v>
      </c>
    </row>
    <row r="124" spans="1:9" s="24" customFormat="1" ht="90">
      <c r="A124" s="63">
        <f>'Excercise - Al '!A124</f>
        <v>123</v>
      </c>
      <c r="B124" s="63"/>
      <c r="C124" s="64">
        <f>'Excercise - Al '!E124</f>
        <v>40303.333333333336</v>
      </c>
      <c r="D124" s="63" t="str">
        <f>IF('Excercise - Al '!F124&lt;&gt;0,'Excercise - Al '!F124,"")</f>
        <v xml:space="preserve">31st CHEM BDE - During 1165th convoy to Fort Whiting rear axle on a HMMWV busted and broke down on the Bay Bridge </v>
      </c>
      <c r="E124" s="63" t="str">
        <f>IF('Excercise - Al '!G124&lt;&gt;"","MODE: "&amp;'Excercise - Al '!G124,"")&amp;IF('Excercise - Al '!H124&lt;&gt;"","   FROM: "&amp;'Excercise - Al '!H124,"")&amp;IF('Excercise - Al '!I124&lt;&gt;"","   INJECTED BY: "&amp;'Excercise - Al '!I124,"")&amp;IF('Excercise - Al '!J124&lt;&gt;"","   SEND TO: "&amp;'Excercise - Al '!J124,"")</f>
        <v>MODE: Inject</v>
      </c>
      <c r="F124" s="63" t="str">
        <f>IF('Excercise - Al '!K124&lt;&gt;"","STORYLINE: "&amp;'Excercise - Al '!K124,"")&amp;IF('Excercise - Al '!M124&lt;&gt;"","   DESCRIPTION: "&amp;'Excercise - Al '!M124,"")&amp;IF('Excercise - Al '!O124&lt;&gt;"","   NOTES/REMARKS: "&amp;'Excercise - Al '!O124,"")&amp;IF('Excercise - Al '!Q124&lt;&gt;"","   BACKGROUND INFO: "&amp;'Excercise - Al '!Q124,"")</f>
        <v/>
      </c>
      <c r="G124" s="63" t="str">
        <f>IF('Excercise - Al '!P124&lt;&gt;"","IMPLEMENTER: "&amp;'Excercise - Al '!P124,"")</f>
        <v/>
      </c>
      <c r="H124" s="63" t="str">
        <f>IF('Excercise - Al '!N124&lt;&gt;"","EXPECTED ACTIONS: "&amp;'Excercise - Al '!N124,"")</f>
        <v/>
      </c>
      <c r="I124" s="63" t="str">
        <f>'Excercise - Al '!R124</f>
        <v>Napier</v>
      </c>
    </row>
    <row r="125" spans="1:9" s="24" customFormat="1" ht="67.5">
      <c r="A125" s="63">
        <f>'Excercise - Al '!A125</f>
        <v>124</v>
      </c>
      <c r="B125" s="63"/>
      <c r="C125" s="64">
        <f>'Excercise - Al '!E125</f>
        <v>40303.333333333336</v>
      </c>
      <c r="D125" s="63" t="str">
        <f>IF('Excercise - Al '!F125&lt;&gt;0,'Excercise - Al '!F125,"")</f>
        <v>31st CHEM BDE - Required security support for EVAC sites (# of sites &amp; # of pax @ each site)</v>
      </c>
      <c r="E125" s="63" t="str">
        <f>IF('Excercise - Al '!G125&lt;&gt;"","MODE: "&amp;'Excercise - Al '!G125,"")&amp;IF('Excercise - Al '!H125&lt;&gt;"","   FROM: "&amp;'Excercise - Al '!H125,"")&amp;IF('Excercise - Al '!I125&lt;&gt;"","   INJECTED BY: "&amp;'Excercise - Al '!I125,"")&amp;IF('Excercise - Al '!J125&lt;&gt;"","   SEND TO: "&amp;'Excercise - Al '!J125,"")</f>
        <v>MODE: Not Injected</v>
      </c>
      <c r="F125" s="63" t="str">
        <f>IF('Excercise - Al '!K125&lt;&gt;"","STORYLINE: "&amp;'Excercise - Al '!K125,"")&amp;IF('Excercise - Al '!M125&lt;&gt;"","   DESCRIPTION: "&amp;'Excercise - Al '!M125,"")&amp;IF('Excercise - Al '!O125&lt;&gt;"","   NOTES/REMARKS: "&amp;'Excercise - Al '!O125,"")&amp;IF('Excercise - Al '!Q125&lt;&gt;"","   BACKGROUND INFO: "&amp;'Excercise - Al '!Q125,"")</f>
        <v/>
      </c>
      <c r="G125" s="63" t="str">
        <f>IF('Excercise - Al '!P125&lt;&gt;"","IMPLEMENTER: "&amp;'Excercise - Al '!P125,"")</f>
        <v/>
      </c>
      <c r="H125" s="63" t="str">
        <f>IF('Excercise - Al '!N125&lt;&gt;"","EXPECTED ACTIONS: "&amp;'Excercise - Al '!N125,"")</f>
        <v/>
      </c>
      <c r="I125" s="63" t="str">
        <f>'Excercise - Al '!R125</f>
        <v>Napier</v>
      </c>
    </row>
    <row r="126" spans="1:9" s="24" customFormat="1" ht="56.25">
      <c r="A126" s="63">
        <f>'Excercise - Al '!A126</f>
        <v>125</v>
      </c>
      <c r="B126" s="63"/>
      <c r="C126" s="64">
        <f>'Excercise - Al '!E126</f>
        <v>40303.333333333336</v>
      </c>
      <c r="D126" s="63" t="str">
        <f>IF('Excercise - Al '!F126&lt;&gt;0,'Excercise - Al '!F126,"")</f>
        <v>31st CHEM BDE - Notify JTF-S for Assistance for broke down HMMWV</v>
      </c>
      <c r="E126" s="63" t="str">
        <f>IF('Excercise - Al '!G126&lt;&gt;"","MODE: "&amp;'Excercise - Al '!G126,"")&amp;IF('Excercise - Al '!H126&lt;&gt;"","   FROM: "&amp;'Excercise - Al '!H126,"")&amp;IF('Excercise - Al '!I126&lt;&gt;"","   INJECTED BY: "&amp;'Excercise - Al '!I126,"")&amp;IF('Excercise - Al '!J126&lt;&gt;"","   SEND TO: "&amp;'Excercise - Al '!J126,"")</f>
        <v>MODE: Not Injected</v>
      </c>
      <c r="F126" s="63" t="str">
        <f>IF('Excercise - Al '!K126&lt;&gt;"","STORYLINE: "&amp;'Excercise - Al '!K126,"")&amp;IF('Excercise - Al '!M126&lt;&gt;"","   DESCRIPTION: "&amp;'Excercise - Al '!M126,"")&amp;IF('Excercise - Al '!O126&lt;&gt;"","   NOTES/REMARKS: "&amp;'Excercise - Al '!O126,"")&amp;IF('Excercise - Al '!Q126&lt;&gt;"","   BACKGROUND INFO: "&amp;'Excercise - Al '!Q126,"")</f>
        <v/>
      </c>
      <c r="G126" s="63" t="str">
        <f>IF('Excercise - Al '!P126&lt;&gt;"","IMPLEMENTER: "&amp;'Excercise - Al '!P126,"")</f>
        <v/>
      </c>
      <c r="H126" s="63" t="str">
        <f>IF('Excercise - Al '!N126&lt;&gt;"","EXPECTED ACTIONS: "&amp;'Excercise - Al '!N126,"")</f>
        <v/>
      </c>
      <c r="I126" s="63" t="str">
        <f>'Excercise - Al '!R126</f>
        <v>Napier</v>
      </c>
    </row>
    <row r="127" spans="1:9" s="24" customFormat="1" ht="67.5">
      <c r="A127" s="63">
        <f>'Excercise - Al '!A127</f>
        <v>126</v>
      </c>
      <c r="B127" s="63"/>
      <c r="C127" s="64">
        <f>'Excercise - Al '!E127</f>
        <v>40303.375</v>
      </c>
      <c r="D127" s="63" t="str">
        <f>IF('Excercise - Al '!F127&lt;&gt;0,'Excercise - Al '!F127,"")</f>
        <v>RFI</v>
      </c>
      <c r="E127" s="63" t="str">
        <f>IF('Excercise - Al '!G127&lt;&gt;"","MODE: "&amp;'Excercise - Al '!G127,"")&amp;IF('Excercise - Al '!H127&lt;&gt;"","   FROM: "&amp;'Excercise - Al '!H127,"")&amp;IF('Excercise - Al '!I127&lt;&gt;"","   INJECTED BY: "&amp;'Excercise - Al '!I127,"")&amp;IF('Excercise - Al '!J127&lt;&gt;"","   SEND TO: "&amp;'Excercise - Al '!J127,"")</f>
        <v>MODE: RFA   FROM: White Cell - JTF South   INJECTED BY: POLLARD   SEND TO: JTF South</v>
      </c>
      <c r="F127" s="63" t="str">
        <f>IF('Excercise - Al '!K127&lt;&gt;"","STORYLINE: "&amp;'Excercise - Al '!K127,"")&amp;IF('Excercise - Al '!M127&lt;&gt;"","   DESCRIPTION: "&amp;'Excercise - Al '!M127,"")&amp;IF('Excercise - Al '!O127&lt;&gt;"","   NOTES/REMARKS: "&amp;'Excercise - Al '!O127,"")&amp;IF('Excercise - Al '!Q127&lt;&gt;"","   BACKGROUND INFO: "&amp;'Excercise - Al '!Q127,"")</f>
        <v xml:space="preserve">   DESCRIPTION: Question concerning Cell Phone   BACKGROUND INFO: J6 should be involved for solution. Personal Cell phonoe use for missions should not be used if possible.</v>
      </c>
      <c r="G127" s="63" t="str">
        <f>IF('Excercise - Al '!P127&lt;&gt;"","IMPLEMENTER: "&amp;'Excercise - Al '!P127,"")</f>
        <v xml:space="preserve">IMPLEMENTER: LNO Deployed and has been using personal Cell phone. Requests Cell phone activation/ purchase/ issuance </v>
      </c>
      <c r="H127" s="63" t="str">
        <f>IF('Excercise - Al '!N127&lt;&gt;"","EXPECTED ACTIONS: "&amp;'Excercise - Al '!N127,"")</f>
        <v/>
      </c>
      <c r="I127" s="63" t="str">
        <f>'Excercise - Al '!R127</f>
        <v>Kahl</v>
      </c>
    </row>
    <row r="128" spans="1:9" s="24" customFormat="1" ht="78.75">
      <c r="A128" s="63">
        <f>'Excercise - Al '!A128</f>
        <v>127</v>
      </c>
      <c r="B128" s="63"/>
      <c r="C128" s="64">
        <f>'Excercise - Al '!E128</f>
        <v>40303.375694444447</v>
      </c>
      <c r="D128" s="63" t="str">
        <f>IF('Excercise - Al '!F128&lt;&gt;0,'Excercise - Al '!F128,"")</f>
        <v>RFI</v>
      </c>
      <c r="E128" s="63" t="str">
        <f>IF('Excercise - Al '!G128&lt;&gt;"","MODE: "&amp;'Excercise - Al '!G128,"")&amp;IF('Excercise - Al '!H128&lt;&gt;"","   FROM: "&amp;'Excercise - Al '!H128,"")&amp;IF('Excercise - Al '!I128&lt;&gt;"","   INJECTED BY: "&amp;'Excercise - Al '!I128,"")&amp;IF('Excercise - Al '!J128&lt;&gt;"","   SEND TO: "&amp;'Excercise - Al '!J128,"")</f>
        <v>MODE: Email   INJECTED BY: HICKS</v>
      </c>
      <c r="F128" s="63" t="str">
        <f>IF('Excercise - Al '!K128&lt;&gt;"","STORYLINE: "&amp;'Excercise - Al '!K128,"")&amp;IF('Excercise - Al '!M128&lt;&gt;"","   DESCRIPTION: "&amp;'Excercise - Al '!M128,"")&amp;IF('Excercise - Al '!O128&lt;&gt;"","   NOTES/REMARKS: "&amp;'Excercise - Al '!O128,"")&amp;IF('Excercise - Al '!Q128&lt;&gt;"","   BACKGROUND INFO: "&amp;'Excercise - Al '!Q128,"")</f>
        <v>STORYLINE: CHAPLAIN &amp; UMT ACTIIVITIES   DESCRIPTION: Question concerning Chaplain chain of command</v>
      </c>
      <c r="G128" s="63" t="str">
        <f>IF('Excercise - Al '!P128&lt;&gt;"","IMPLEMENTER: "&amp;'Excercise - Al '!P128,"")</f>
        <v>IMPLEMENTER: Joint Force Chaplain cannot get to HQ due to reverse traffic issues on I-65. In his absence, who is second in command at HQ.  Second highest grade? Officer or Enlisted, ANG or ARNG?</v>
      </c>
      <c r="H128" s="63" t="str">
        <f>IF('Excercise - Al '!N128&lt;&gt;"","EXPECTED ACTIONS: "&amp;'Excercise - Al '!N128,"")</f>
        <v>EXPECTED ACTIONS: Second highest grade should be contacted</v>
      </c>
      <c r="I128" s="63" t="str">
        <f>'Excercise - Al '!R128</f>
        <v>Hicks</v>
      </c>
    </row>
    <row r="129" spans="1:9" s="24" customFormat="1" ht="67.5">
      <c r="A129" s="63">
        <f>'Excercise - Al '!A129</f>
        <v>128</v>
      </c>
      <c r="B129" s="63"/>
      <c r="C129" s="64">
        <f>'Excercise - Al '!E129</f>
        <v>40303.376388888886</v>
      </c>
      <c r="D129" s="63" t="str">
        <f>IF('Excercise - Al '!F129&lt;&gt;0,'Excercise - Al '!F129,"")</f>
        <v>MISSION</v>
      </c>
      <c r="E129" s="63" t="str">
        <f>IF('Excercise - Al '!G129&lt;&gt;"","MODE: "&amp;'Excercise - Al '!G129,"")&amp;IF('Excercise - Al '!H129&lt;&gt;"","   FROM: "&amp;'Excercise - Al '!H129,"")&amp;IF('Excercise - Al '!I129&lt;&gt;"","   INJECTED BY: "&amp;'Excercise - Al '!I129,"")&amp;IF('Excercise - Al '!J129&lt;&gt;"","   SEND TO: "&amp;'Excercise - Al '!J129,"")</f>
        <v>MODE: EMITS   FROM: White Cell - Mobile EOC/JTF-S   INJECTED BY: SEOC LNO   SEND TO: AEMA</v>
      </c>
      <c r="F129" s="63" t="str">
        <f>IF('Excercise - Al '!K129&lt;&gt;"","STORYLINE: "&amp;'Excercise - Al '!K129,"")&amp;IF('Excercise - Al '!M129&lt;&gt;"","   DESCRIPTION: "&amp;'Excercise - Al '!M129,"")&amp;IF('Excercise - Al '!O129&lt;&gt;"","   NOTES/REMARKS: "&amp;'Excercise - Al '!O129,"")&amp;IF('Excercise - Al '!Q129&lt;&gt;"","   BACKGROUND INFO: "&amp;'Excercise - Al '!Q129,"")</f>
        <v xml:space="preserve">   DESCRIPTION: Mobile County transportation request</v>
      </c>
      <c r="G129" s="63" t="str">
        <f>IF('Excercise - Al '!P129&lt;&gt;"","IMPLEMENTER: "&amp;'Excercise - Al '!P129,"")</f>
        <v>IMPLEMENTER: Mobile County EOC reports the Mobile Convention and Visitor Center has 2500 people waiting to be evacuated and water/food supplies are low.  Request is for immediate transportation</v>
      </c>
      <c r="H129" s="63" t="str">
        <f>IF('Excercise - Al '!N129&lt;&gt;"","EXPECTED ACTIONS: "&amp;'Excercise - Al '!N129,"")</f>
        <v/>
      </c>
      <c r="I129" s="63" t="str">
        <f>'Excercise - Al '!R129</f>
        <v>Keane</v>
      </c>
    </row>
    <row r="130" spans="1:9" s="24" customFormat="1" ht="78.75">
      <c r="A130" s="63">
        <f>'Excercise - Al '!A130</f>
        <v>129</v>
      </c>
      <c r="B130" s="63"/>
      <c r="C130" s="64">
        <f>'Excercise - Al '!E130</f>
        <v>40303.376388888886</v>
      </c>
      <c r="D130" s="63" t="str">
        <f>IF('Excercise - Al '!F130&lt;&gt;0,'Excercise - Al '!F130,"")</f>
        <v>INFO</v>
      </c>
      <c r="E130" s="63" t="str">
        <f>IF('Excercise - Al '!G130&lt;&gt;"","MODE: "&amp;'Excercise - Al '!G130,"")&amp;IF('Excercise - Al '!H130&lt;&gt;"","   FROM: "&amp;'Excercise - Al '!H130,"")&amp;IF('Excercise - Al '!I130&lt;&gt;"","   INJECTED BY: "&amp;'Excercise - Al '!I130,"")&amp;IF('Excercise - Al '!J130&lt;&gt;"","   SEND TO: "&amp;'Excercise - Al '!J130,"")</f>
        <v>MODE: Phone   FROM: Simcell - Gate Guard   INJECTED BY: HOWARD   SEND TO: MSG CTR</v>
      </c>
      <c r="F130" s="63" t="str">
        <f>IF('Excercise - Al '!K130&lt;&gt;"","STORYLINE: "&amp;'Excercise - Al '!K130,"")&amp;IF('Excercise - Al '!M130&lt;&gt;"","   DESCRIPTION: "&amp;'Excercise - Al '!M130,"")&amp;IF('Excercise - Al '!O130&lt;&gt;"","   NOTES/REMARKS: "&amp;'Excercise - Al '!O130,"")&amp;IF('Excercise - Al '!Q130&lt;&gt;"","   BACKGROUND INFO: "&amp;'Excercise - Al '!Q130,"")</f>
        <v>STORYLINE: AT/FP   DESCRIPTION: Unannounced media at front gate</v>
      </c>
      <c r="G130" s="63" t="str">
        <f>IF('Excercise - Al '!P130&lt;&gt;"","IMPLEMENTER: "&amp;'Excercise - Al '!P130,"")</f>
        <v>IMPLEMENTER: Some media has just arrived wanting to talk with TAG about upcoming hurricane and what the Guard is going to do.</v>
      </c>
      <c r="H130" s="63" t="str">
        <f>IF('Excercise - Al '!N130&lt;&gt;"","EXPECTED ACTIONS: "&amp;'Excercise - Al '!N130,"")</f>
        <v>EXPECTED ACTIONS: MSG CTR informs AFP officer &amp; PAO</v>
      </c>
      <c r="I130" s="63" t="str">
        <f>'Excercise - Al '!R130</f>
        <v>Bachus</v>
      </c>
    </row>
    <row r="131" spans="1:9" s="24" customFormat="1" ht="56.25">
      <c r="A131" s="63">
        <f>'Excercise - Al '!A131</f>
        <v>130</v>
      </c>
      <c r="B131" s="63"/>
      <c r="C131" s="64">
        <f>'Excercise - Al '!E131</f>
        <v>40303.377083333333</v>
      </c>
      <c r="D131" s="63" t="str">
        <f>IF('Excercise - Al '!F131&lt;&gt;0,'Excercise - Al '!F131,"")</f>
        <v>MISSION</v>
      </c>
      <c r="E131" s="63" t="str">
        <f>IF('Excercise - Al '!G131&lt;&gt;"","MODE: "&amp;'Excercise - Al '!G131,"")&amp;IF('Excercise - Al '!H131&lt;&gt;"","   FROM: "&amp;'Excercise - Al '!H131,"")&amp;IF('Excercise - Al '!I131&lt;&gt;"","   INJECTED BY: "&amp;'Excercise - Al '!I131,"")&amp;IF('Excercise - Al '!J131&lt;&gt;"","   SEND TO: "&amp;'Excercise - Al '!J131,"")</f>
        <v>MODE: EMITS   FROM: AEMA   INJECTED BY: SEOC LNO   SEND TO: JOC</v>
      </c>
      <c r="F131" s="63" t="str">
        <f>IF('Excercise - Al '!K131&lt;&gt;"","STORYLINE: "&amp;'Excercise - Al '!K131,"")&amp;IF('Excercise - Al '!M131&lt;&gt;"","   DESCRIPTION: "&amp;'Excercise - Al '!M131,"")&amp;IF('Excercise - Al '!O131&lt;&gt;"","   NOTES/REMARKS: "&amp;'Excercise - Al '!O131,"")&amp;IF('Excercise - Al '!Q131&lt;&gt;"","   BACKGROUND INFO: "&amp;'Excercise - Al '!Q131,"")</f>
        <v xml:space="preserve">   DESCRIPTION: Marshall Co EOC requests opening of Arab and Albertville armories</v>
      </c>
      <c r="G131" s="63" t="str">
        <f>IF('Excercise - Al '!P131&lt;&gt;"","IMPLEMENTER: "&amp;'Excercise - Al '!P131,"")</f>
        <v>IMPLEMENTER: Marshall Co EOC requests Arab and Albertville armories opened to DP expected to begin arriving 2100hrs 5 May 2009.</v>
      </c>
      <c r="H131" s="63" t="str">
        <f>IF('Excercise - Al '!N131&lt;&gt;"","EXPECTED ACTIONS: "&amp;'Excercise - Al '!N131,"")</f>
        <v/>
      </c>
      <c r="I131" s="63" t="str">
        <f>'Excercise - Al '!R131</f>
        <v>Keane</v>
      </c>
    </row>
    <row r="132" spans="1:9" s="24" customFormat="1" ht="67.5">
      <c r="A132" s="63">
        <f>'Excercise - Al '!A132</f>
        <v>131</v>
      </c>
      <c r="B132" s="63"/>
      <c r="C132" s="64">
        <f>'Excercise - Al '!E132</f>
        <v>40303.37777777778</v>
      </c>
      <c r="D132" s="63" t="str">
        <f>IF('Excercise - Al '!F132&lt;&gt;0,'Excercise - Al '!F132,"")</f>
        <v>RFI</v>
      </c>
      <c r="E132" s="63" t="str">
        <f>IF('Excercise - Al '!G132&lt;&gt;"","MODE: "&amp;'Excercise - Al '!G132,"")&amp;IF('Excercise - Al '!H132&lt;&gt;"","   FROM: "&amp;'Excercise - Al '!H132,"")&amp;IF('Excercise - Al '!I132&lt;&gt;"","   INJECTED BY: "&amp;'Excercise - Al '!I132,"")&amp;IF('Excercise - Al '!J132&lt;&gt;"","   SEND TO: "&amp;'Excercise - Al '!J132,"")</f>
        <v>MODE: RFA   FROM: White Cell - JTF South   INJECTED BY: POLLARD   SEND TO: JTF South</v>
      </c>
      <c r="F132" s="63" t="str">
        <f>IF('Excercise - Al '!K132&lt;&gt;"","STORYLINE: "&amp;'Excercise - Al '!K132,"")&amp;IF('Excercise - Al '!M132&lt;&gt;"","   DESCRIPTION: "&amp;'Excercise - Al '!M132,"")&amp;IF('Excercise - Al '!O132&lt;&gt;"","   NOTES/REMARKS: "&amp;'Excercise - Al '!O132,"")&amp;IF('Excercise - Al '!Q132&lt;&gt;"","   BACKGROUND INFO: "&amp;'Excercise - Al '!Q132,"")</f>
        <v>STORYLINE: LNO Deployed and has been tasked with an LNO mission and asking for rental car authorization     DESCRIPTION: Rental car request   BACKGROUND INFO: State policy prevals.  Military vehicles my be used for missions but this mission the Vehicles will be sitting a county EOCs</v>
      </c>
      <c r="G132" s="63" t="str">
        <f>IF('Excercise - Al '!P132&lt;&gt;"","IMPLEMENTER: "&amp;'Excercise - Al '!P132,"")</f>
        <v xml:space="preserve">IMPLEMENTER: LNO Deployed and has been tasked with an LNO mission and asking for rental car authorization  </v>
      </c>
      <c r="H132" s="63" t="str">
        <f>IF('Excercise - Al '!N132&lt;&gt;"","EXPECTED ACTIONS: "&amp;'Excercise - Al '!N132,"")</f>
        <v/>
      </c>
      <c r="I132" s="63" t="str">
        <f>'Excercise - Al '!R132</f>
        <v>Kahl</v>
      </c>
    </row>
    <row r="133" spans="1:9" s="24" customFormat="1" ht="56.25">
      <c r="A133" s="63">
        <f>'Excercise - Al '!A133</f>
        <v>132</v>
      </c>
      <c r="B133" s="63"/>
      <c r="C133" s="64">
        <f>'Excercise - Al '!E133</f>
        <v>40303.378472222219</v>
      </c>
      <c r="D133" s="63" t="str">
        <f>IF('Excercise - Al '!F133&lt;&gt;0,'Excercise - Al '!F133,"")</f>
        <v>RFI</v>
      </c>
      <c r="E133" s="63" t="str">
        <f>IF('Excercise - Al '!G133&lt;&gt;"","MODE: "&amp;'Excercise - Al '!G133,"")&amp;IF('Excercise - Al '!H133&lt;&gt;"","   FROM: "&amp;'Excercise - Al '!H133,"")&amp;IF('Excercise - Al '!I133&lt;&gt;"","   INJECTED BY: "&amp;'Excercise - Al '!I133,"")&amp;IF('Excercise - Al '!J133&lt;&gt;"","   SEND TO: "&amp;'Excercise - Al '!J133,"")</f>
        <v>MODE: Email   INJECTED BY: HICKS</v>
      </c>
      <c r="F133" s="63" t="str">
        <f>IF('Excercise - Al '!K133&lt;&gt;"","STORYLINE: "&amp;'Excercise - Al '!K133,"")&amp;IF('Excercise - Al '!M133&lt;&gt;"","   DESCRIPTION: "&amp;'Excercise - Al '!M133,"")&amp;IF('Excercise - Al '!O133&lt;&gt;"","   NOTES/REMARKS: "&amp;'Excercise - Al '!O133,"")&amp;IF('Excercise - Al '!Q133&lt;&gt;"","   BACKGROUND INFO: "&amp;'Excercise - Al '!Q133,"")</f>
        <v>STORYLINE: CHAPLAIN &amp; UMT ACTIIVITIES   DESCRIPTION: Use of Total Force (Interstate), EMAC, funding</v>
      </c>
      <c r="G133" s="63" t="str">
        <f>IF('Excercise - Al '!P133&lt;&gt;"","IMPLEMENTER: "&amp;'Excercise - Al '!P133,"")</f>
        <v>IMPLEMENTER: An Army unit needs a chaplain because their chaplain is deployed. Closest available ARNG chaplain lives in the Florida panhandle and is in the FL guard.  Can he be used and how?</v>
      </c>
      <c r="H133" s="63" t="str">
        <f>IF('Excercise - Al '!N133&lt;&gt;"","EXPECTED ACTIONS: "&amp;'Excercise - Al '!N133,"")</f>
        <v>EXPECTED ACTIONS: Contact J-1 to work issue</v>
      </c>
      <c r="I133" s="63" t="str">
        <f>'Excercise - Al '!R133</f>
        <v>Hicks</v>
      </c>
    </row>
    <row r="134" spans="1:9" s="24" customFormat="1" ht="56.25">
      <c r="A134" s="63">
        <f>'Excercise - Al '!A134</f>
        <v>133</v>
      </c>
      <c r="B134" s="63"/>
      <c r="C134" s="64">
        <f>'Excercise - Al '!E134</f>
        <v>40303.396527777775</v>
      </c>
      <c r="D134" s="63" t="str">
        <f>IF('Excercise - Al '!F134&lt;&gt;0,'Excercise - Al '!F134,"")</f>
        <v>MISSION</v>
      </c>
      <c r="E134" s="63" t="str">
        <f>IF('Excercise - Al '!G134&lt;&gt;"","MODE: "&amp;'Excercise - Al '!G134,"")&amp;IF('Excercise - Al '!H134&lt;&gt;"","   FROM: "&amp;'Excercise - Al '!H134,"")&amp;IF('Excercise - Al '!I134&lt;&gt;"","   INJECTED BY: "&amp;'Excercise - Al '!I134,"")&amp;IF('Excercise - Al '!J134&lt;&gt;"","   SEND TO: "&amp;'Excercise - Al '!J134,"")</f>
        <v>MODE: EMITS   FROM: ESF 13   INJECTED BY: SEOC LNO   SEND TO: JTF-S</v>
      </c>
      <c r="F134" s="63" t="str">
        <f>IF('Excercise - Al '!K134&lt;&gt;"","STORYLINE: "&amp;'Excercise - Al '!K134,"")&amp;IF('Excercise - Al '!M134&lt;&gt;"","   DESCRIPTION: "&amp;'Excercise - Al '!M134,"")&amp;IF('Excercise - Al '!O134&lt;&gt;"","   NOTES/REMARKS: "&amp;'Excercise - Al '!O134,"")&amp;IF('Excercise - Al '!Q134&lt;&gt;"","   BACKGROUND INFO: "&amp;'Excercise - Al '!Q134,"")</f>
        <v xml:space="preserve">   DESCRIPTION: Mobile County Sheriff requests NG assistance for site security and traffic control. </v>
      </c>
      <c r="G134" s="63" t="str">
        <f>IF('Excercise - Al '!P134&lt;&gt;"","IMPLEMENTER: "&amp;'Excercise - Al '!P134,"")</f>
        <v>IMPLEMENTER: Mobile County Sheriff requests 250 Soldiers for site security and traffic control. Soldiers will right seat ride with local Law Enforcement personnel</v>
      </c>
      <c r="H134" s="63" t="str">
        <f>IF('Excercise - Al '!N134&lt;&gt;"","EXPECTED ACTIONS: "&amp;'Excercise - Al '!N134,"")</f>
        <v/>
      </c>
      <c r="I134" s="63" t="str">
        <f>'Excercise - Al '!R134</f>
        <v>Keane</v>
      </c>
    </row>
    <row r="135" spans="1:9" s="24" customFormat="1" ht="56.25">
      <c r="A135" s="63">
        <f>'Excercise - Al '!A135</f>
        <v>134</v>
      </c>
      <c r="B135" s="63"/>
      <c r="C135" s="64">
        <f>'Excercise - Al '!E135</f>
        <v>40303.397222222222</v>
      </c>
      <c r="D135" s="63" t="str">
        <f>IF('Excercise - Al '!F135&lt;&gt;0,'Excercise - Al '!F135,"")</f>
        <v>RFI</v>
      </c>
      <c r="E135" s="63" t="str">
        <f>IF('Excercise - Al '!G135&lt;&gt;"","MODE: "&amp;'Excercise - Al '!G135,"")&amp;IF('Excercise - Al '!H135&lt;&gt;"","   FROM: "&amp;'Excercise - Al '!H135,"")&amp;IF('Excercise - Al '!I135&lt;&gt;"","   INJECTED BY: "&amp;'Excercise - Al '!I135,"")&amp;IF('Excercise - Al '!J135&lt;&gt;"","   SEND TO: "&amp;'Excercise - Al '!J135,"")</f>
        <v>MODE: Phone   FROM: EOC   INJECTED BY: HOWARD   SEND TO: J1</v>
      </c>
      <c r="F135" s="63" t="str">
        <f>IF('Excercise - Al '!K135&lt;&gt;"","STORYLINE: "&amp;'Excercise - Al '!K135,"")&amp;IF('Excercise - Al '!M135&lt;&gt;"","   DESCRIPTION: "&amp;'Excercise - Al '!M135,"")&amp;IF('Excercise - Al '!O135&lt;&gt;"","   NOTES/REMARKS: "&amp;'Excercise - Al '!O135,"")&amp;IF('Excercise - Al '!Q135&lt;&gt;"","   BACKGROUND INFO: "&amp;'Excercise - Al '!Q135,"")</f>
        <v xml:space="preserve">   DESCRIPTION: CCIR concerning troops deployed in Iraq</v>
      </c>
      <c r="G135" s="63" t="str">
        <f>IF('Excercise - Al '!P135&lt;&gt;"","IMPLEMENTER: "&amp;'Excercise - Al '!P135,"")</f>
        <v xml:space="preserve">IMPLEMENTER: Just received notification that several Soldiers were involved in an attack and several were injured or  killed currently waiting on their status. NOK processed started. </v>
      </c>
      <c r="H135" s="63" t="str">
        <f>IF('Excercise - Al '!N135&lt;&gt;"","EXPECTED ACTIONS: "&amp;'Excercise - Al '!N135,"")</f>
        <v>EXPECTED ACTIONS: J1 informs TAG &amp; J3</v>
      </c>
      <c r="I135" s="63" t="str">
        <f>'Excercise - Al '!R135</f>
        <v>Bachus</v>
      </c>
    </row>
    <row r="136" spans="1:9" s="24" customFormat="1" ht="67.5">
      <c r="A136" s="63">
        <f>'Excercise - Al '!A136</f>
        <v>135</v>
      </c>
      <c r="B136" s="63"/>
      <c r="C136" s="64">
        <f>'Excercise - Al '!E136</f>
        <v>40303.40625</v>
      </c>
      <c r="D136" s="63" t="str">
        <f>IF('Excercise - Al '!F136&lt;&gt;0,'Excercise - Al '!F136,"")</f>
        <v>RFI</v>
      </c>
      <c r="E136" s="63" t="str">
        <f>IF('Excercise - Al '!G136&lt;&gt;"","MODE: "&amp;'Excercise - Al '!G136,"")&amp;IF('Excercise - Al '!H136&lt;&gt;"","   FROM: "&amp;'Excercise - Al '!H136,"")&amp;IF('Excercise - Al '!I136&lt;&gt;"","   INJECTED BY: "&amp;'Excercise - Al '!I136,"")&amp;IF('Excercise - Al '!J136&lt;&gt;"","   SEND TO: "&amp;'Excercise - Al '!J136,"")</f>
        <v>MODE: Phone   FROM: HOSPITAL   INJECTED BY: WHEELER   SEND TO: JTF South</v>
      </c>
      <c r="F136" s="63" t="str">
        <f>IF('Excercise - Al '!K136&lt;&gt;"","STORYLINE: "&amp;'Excercise - Al '!K136,"")&amp;IF('Excercise - Al '!M136&lt;&gt;"","   DESCRIPTION: "&amp;'Excercise - Al '!M136,"")&amp;IF('Excercise - Al '!O136&lt;&gt;"","   NOTES/REMARKS: "&amp;'Excercise - Al '!O136,"")&amp;IF('Excercise - Al '!Q136&lt;&gt;"","   BACKGROUND INFO: "&amp;'Excercise - Al '!Q136,"")</f>
        <v xml:space="preserve">   DESCRIPTION: Generator Request</v>
      </c>
      <c r="G136" s="63" t="str">
        <f>IF('Excercise - Al '!P136&lt;&gt;"","IMPLEMENTER: "&amp;'Excercise - Al '!P136,"")</f>
        <v>IMPLEMENTER: The Jackson Medical Center (Jackson, AL) Administrator has contacted local armory and reports generator failure on pre-storm test. Requests Guards assistance to provide 1 each 100KW generator and support for duration of storm.</v>
      </c>
      <c r="H136" s="63" t="str">
        <f>IF('Excercise - Al '!N136&lt;&gt;"","EXPECTED ACTIONS: "&amp;'Excercise - Al '!N136,"")</f>
        <v/>
      </c>
      <c r="I136" s="63" t="str">
        <f>'Excercise - Al '!R136</f>
        <v>Wheeler</v>
      </c>
    </row>
    <row r="137" spans="1:9" s="24" customFormat="1" ht="45">
      <c r="A137" s="63">
        <f>'Excercise - Al '!A137</f>
        <v>136</v>
      </c>
      <c r="B137" s="63"/>
      <c r="C137" s="64">
        <f>'Excercise - Al '!E137</f>
        <v>40303.416666666664</v>
      </c>
      <c r="D137" s="63" t="str">
        <f>IF('Excercise - Al '!F137&lt;&gt;0,'Excercise - Al '!F137,"")</f>
        <v>RFI</v>
      </c>
      <c r="E137" s="63" t="str">
        <f>IF('Excercise - Al '!G137&lt;&gt;"","MODE: "&amp;'Excercise - Al '!G137,"")&amp;IF('Excercise - Al '!H137&lt;&gt;"","   FROM: "&amp;'Excercise - Al '!H137,"")&amp;IF('Excercise - Al '!I137&lt;&gt;"","   INJECTED BY: "&amp;'Excercise - Al '!I137,"")&amp;IF('Excercise - Al '!J137&lt;&gt;"","   SEND TO: "&amp;'Excercise - Al '!J137,"")</f>
        <v>MODE: Phone   INJECTED BY: SEOC LNO   SEND TO: JOC</v>
      </c>
      <c r="F137" s="63" t="str">
        <f>IF('Excercise - Al '!K137&lt;&gt;"","STORYLINE: "&amp;'Excercise - Al '!K137,"")&amp;IF('Excercise - Al '!M137&lt;&gt;"","   DESCRIPTION: "&amp;'Excercise - Al '!M137,"")&amp;IF('Excercise - Al '!O137&lt;&gt;"","   NOTES/REMARKS: "&amp;'Excercise - Al '!O137,"")&amp;IF('Excercise - Al '!Q137&lt;&gt;"","   BACKGROUND INFO: "&amp;'Excercise - Al '!Q137,"")</f>
        <v>STORYLINE: County EOC generator in working time to fix unknown    DESCRIPTION: Generator Request   BACKGROUND INFO: Should refer this request to State EOC</v>
      </c>
      <c r="G137" s="63" t="str">
        <f>IF('Excercise - Al '!P137&lt;&gt;"","IMPLEMENTER: "&amp;'Excercise - Al '!P137,"")</f>
        <v xml:space="preserve">IMPLEMENTER: County EOC generator in working time to fix unknown </v>
      </c>
      <c r="H137" s="63" t="str">
        <f>IF('Excercise - Al '!N137&lt;&gt;"","EXPECTED ACTIONS: "&amp;'Excercise - Al '!N137,"")</f>
        <v/>
      </c>
      <c r="I137" s="63" t="str">
        <f>'Excercise - Al '!R137</f>
        <v>Kahl</v>
      </c>
    </row>
    <row r="138" spans="1:9" s="24" customFormat="1" ht="56.25">
      <c r="A138" s="63">
        <f>'Excercise - Al '!A138</f>
        <v>137</v>
      </c>
      <c r="B138" s="63"/>
      <c r="C138" s="64">
        <f>'Excercise - Al '!E138</f>
        <v>40303.416666666664</v>
      </c>
      <c r="D138" s="63" t="str">
        <f>IF('Excercise - Al '!F138&lt;&gt;0,'Excercise - Al '!F138,"")</f>
        <v>RFI</v>
      </c>
      <c r="E138" s="63" t="str">
        <f>IF('Excercise - Al '!G138&lt;&gt;"","MODE: "&amp;'Excercise - Al '!G138,"")&amp;IF('Excercise - Al '!H138&lt;&gt;"","   FROM: "&amp;'Excercise - Al '!H138,"")&amp;IF('Excercise - Al '!I138&lt;&gt;"","   INJECTED BY: "&amp;'Excercise - Al '!I138,"")&amp;IF('Excercise - Al '!J138&lt;&gt;"","   SEND TO: "&amp;'Excercise - Al '!J138,"")</f>
        <v>MODE: JIEE   FROM: JIEE   INJECTED BY: KAHL   SEND TO: JOC</v>
      </c>
      <c r="F138" s="63" t="str">
        <f>IF('Excercise - Al '!K138&lt;&gt;"","STORYLINE: "&amp;'Excercise - Al '!K138,"")&amp;IF('Excercise - Al '!M138&lt;&gt;"","   DESCRIPTION: "&amp;'Excercise - Al '!M138,"")&amp;IF('Excercise - Al '!O138&lt;&gt;"","   NOTES/REMARKS: "&amp;'Excercise - Al '!O138,"")&amp;IF('Excercise - Al '!Q138&lt;&gt;"","   BACKGROUND INFO: "&amp;'Excercise - Al '!Q138,"")</f>
        <v xml:space="preserve">   DESCRIPTION: NGB Requests Battle Rhythym</v>
      </c>
      <c r="G138" s="63" t="str">
        <f>IF('Excercise - Al '!P138&lt;&gt;"","IMPLEMENTER: "&amp;'Excercise - Al '!P138,"")</f>
        <v>IMPLEMENTER: Sharing of NGB Battle Rhythm with other impacted States</v>
      </c>
      <c r="H138" s="63" t="str">
        <f>IF('Excercise - Al '!N138&lt;&gt;"","EXPECTED ACTIONS: "&amp;'Excercise - Al '!N138,"")</f>
        <v/>
      </c>
      <c r="I138" s="63" t="str">
        <f>'Excercise - Al '!R138</f>
        <v>Kahl</v>
      </c>
    </row>
    <row r="139" spans="1:9" s="24" customFormat="1" ht="22.5">
      <c r="A139" s="63">
        <f>'Excercise - Al '!A139</f>
        <v>138</v>
      </c>
      <c r="B139" s="63"/>
      <c r="C139" s="64">
        <f>'Excercise - Al '!E139</f>
        <v>40303.416666666664</v>
      </c>
      <c r="D139" s="63" t="str">
        <f>IF('Excercise - Al '!F139&lt;&gt;0,'Excercise - Al '!F139,"")</f>
        <v>31st CHEM BDE - Stands up TOC</v>
      </c>
      <c r="E139" s="63" t="str">
        <f>IF('Excercise - Al '!G139&lt;&gt;"","MODE: "&amp;'Excercise - Al '!G139,"")&amp;IF('Excercise - Al '!H139&lt;&gt;"","   FROM: "&amp;'Excercise - Al '!H139,"")&amp;IF('Excercise - Al '!I139&lt;&gt;"","   INJECTED BY: "&amp;'Excercise - Al '!I139,"")&amp;IF('Excercise - Al '!J139&lt;&gt;"","   SEND TO: "&amp;'Excercise - Al '!J139,"")</f>
        <v>MODE: Not Injected</v>
      </c>
      <c r="F139" s="63" t="str">
        <f>IF('Excercise - Al '!K139&lt;&gt;"","STORYLINE: "&amp;'Excercise - Al '!K139,"")&amp;IF('Excercise - Al '!M139&lt;&gt;"","   DESCRIPTION: "&amp;'Excercise - Al '!M139,"")&amp;IF('Excercise - Al '!O139&lt;&gt;"","   NOTES/REMARKS: "&amp;'Excercise - Al '!O139,"")&amp;IF('Excercise - Al '!Q139&lt;&gt;"","   BACKGROUND INFO: "&amp;'Excercise - Al '!Q139,"")</f>
        <v/>
      </c>
      <c r="G139" s="63" t="str">
        <f>IF('Excercise - Al '!P139&lt;&gt;"","IMPLEMENTER: "&amp;'Excercise - Al '!P139,"")</f>
        <v/>
      </c>
      <c r="H139" s="63" t="str">
        <f>IF('Excercise - Al '!N139&lt;&gt;"","EXPECTED ACTIONS: "&amp;'Excercise - Al '!N139,"")</f>
        <v/>
      </c>
      <c r="I139" s="63" t="str">
        <f>'Excercise - Al '!R139</f>
        <v>Napier</v>
      </c>
    </row>
    <row r="140" spans="1:9" s="24" customFormat="1" ht="258.75">
      <c r="A140" s="63">
        <f>'Excercise - Al '!A140</f>
        <v>139</v>
      </c>
      <c r="B140" s="63"/>
      <c r="C140" s="64">
        <f>'Excercise - Al '!E140</f>
        <v>40303.417361111111</v>
      </c>
      <c r="D140" s="63" t="str">
        <f>IF('Excercise - Al '!F140&lt;&gt;0,'Excercise - Al '!F140,"")</f>
        <v>INFO</v>
      </c>
      <c r="E140" s="63" t="str">
        <f>IF('Excercise - Al '!G140&lt;&gt;"","MODE: "&amp;'Excercise - Al '!G140,"")&amp;IF('Excercise - Al '!H140&lt;&gt;"","   FROM: "&amp;'Excercise - Al '!H140,"")&amp;IF('Excercise - Al '!I140&lt;&gt;"","   INJECTED BY: "&amp;'Excercise - Al '!I140,"")&amp;IF('Excercise - Al '!J140&lt;&gt;"","   SEND TO: "&amp;'Excercise - Al '!J140,"")</f>
        <v>MODE: Email   FROM: Simcell - National Hurricane Center   INJECTED BY: KEANE   SEND TO: JOC, All</v>
      </c>
      <c r="F140" s="63" t="str">
        <f>IF('Excercise - Al '!K140&lt;&gt;"","STORYLINE: "&amp;'Excercise - Al '!K140,"")&amp;IF('Excercise - Al '!M140&lt;&gt;"","   DESCRIPTION: "&amp;'Excercise - Al '!M140,"")&amp;IF('Excercise - Al '!O140&lt;&gt;"","   NOTES/REMARKS: "&amp;'Excercise - Al '!O140,"")&amp;IF('Excercise - Al '!Q140&lt;&gt;"","   BACKGROUND INFO: "&amp;'Excercise - Al '!Q140,"")</f>
        <v>STORYLINE: Tropical Storm Al Update 18   DESCRIPTION: Tropical Storm Al Update 18</v>
      </c>
      <c r="G140" s="63" t="str">
        <f>IF('Excercise - Al '!P140&lt;&gt;"","IMPLEMENTER: "&amp;'Excercise - Al '!P140,"")</f>
        <v xml:space="preserve">IMPLEMENTER: 
... HURRICANE AL SLOWS AND SHIFTS COURSE SLIGHTLY EASTWARD...
SUMMARY OF 1100 AM EDT...1500 UTC...INFORMATION
-----------------------------------------------
LOCATION...27.2N 89.0W
ABOUT 198 MILES...319 KM...SOUTH-SOUTHEAST OF NEW ORLEANS LOUISIANA
ABOUT 383 MILES...617 KM...WEST OF CLEARWATER FLORIDA
ABOUT 516 MILES...831 KM...EAST OF CORPUS CHRISTI TEXAS
MAXIMUM SUSTAINED WINDS...120 MPH...193 KM/HR
PRESENT MOVEMENT...NORTHERLY OR 360 DEGREES AT 12 MPH...19 KM/HR
MINIMUM CENTRAL PRESSURE 950 MB...28.05 INCHES
</v>
      </c>
      <c r="H140" s="63" t="str">
        <f>IF('Excercise - Al '!N140&lt;&gt;"","EXPECTED ACTIONS: "&amp;'Excercise - Al '!N140,"")</f>
        <v/>
      </c>
      <c r="I140" s="63" t="str">
        <f>'Excercise - Al '!R140</f>
        <v>Keane</v>
      </c>
    </row>
    <row r="141" spans="1:9" s="24" customFormat="1" ht="45">
      <c r="A141" s="63">
        <f>'Excercise - Al '!A141</f>
        <v>140</v>
      </c>
      <c r="B141" s="63"/>
      <c r="C141" s="64">
        <f>'Excercise - Al '!E141</f>
        <v>40303.4375</v>
      </c>
      <c r="D141" s="63" t="str">
        <f>IF('Excercise - Al '!F141&lt;&gt;0,'Excercise - Al '!F141,"")</f>
        <v>RFI</v>
      </c>
      <c r="E141" s="63" t="str">
        <f>IF('Excercise - Al '!G141&lt;&gt;"","MODE: "&amp;'Excercise - Al '!G141,"")&amp;IF('Excercise - Al '!H141&lt;&gt;"","   FROM: "&amp;'Excercise - Al '!H141,"")&amp;IF('Excercise - Al '!I141&lt;&gt;"","   INJECTED BY: "&amp;'Excercise - Al '!I141,"")&amp;IF('Excercise - Al '!J141&lt;&gt;"","   SEND TO: "&amp;'Excercise - Al '!J141,"")</f>
        <v>MODE: Email   INJECTED BY: DENNIS</v>
      </c>
      <c r="F141" s="63" t="str">
        <f>IF('Excercise - Al '!K141&lt;&gt;"","STORYLINE: "&amp;'Excercise - Al '!K141,"")&amp;IF('Excercise - Al '!M141&lt;&gt;"","   DESCRIPTION: "&amp;'Excercise - Al '!M141,"")&amp;IF('Excercise - Al '!O141&lt;&gt;"","   NOTES/REMARKS: "&amp;'Excercise - Al '!O141,"")&amp;IF('Excercise - Al '!Q141&lt;&gt;"","   BACKGROUND INFO: "&amp;'Excercise - Al '!Q141,"")</f>
        <v xml:space="preserve">   DESCRIPTION: RFI concerning storage location</v>
      </c>
      <c r="G141" s="63" t="str">
        <f>IF('Excercise - Al '!P141&lt;&gt;"","IMPLEMENTER: "&amp;'Excercise - Al '!P141,"")</f>
        <v xml:space="preserve">IMPLEMENTER: We just received 100 pallets of bottle water, 100 cots, and 200 blankets.  We need a temporary storage site for these items.   </v>
      </c>
      <c r="H141" s="63" t="str">
        <f>IF('Excercise - Al '!N141&lt;&gt;"","EXPECTED ACTIONS: "&amp;'Excercise - Al '!N141,"")</f>
        <v/>
      </c>
      <c r="I141" s="63" t="str">
        <f>'Excercise - Al '!R141</f>
        <v>Therman</v>
      </c>
    </row>
    <row r="142" spans="1:9" s="24" customFormat="1" ht="101.25">
      <c r="A142" s="63">
        <f>'Excercise - Al '!A142</f>
        <v>141</v>
      </c>
      <c r="B142" s="63"/>
      <c r="C142" s="64">
        <f>'Excercise - Al '!E142</f>
        <v>40303.5</v>
      </c>
      <c r="D142" s="63" t="str">
        <f>IF('Excercise - Al '!F142&lt;&gt;0,'Excercise - Al '!F142,"")</f>
        <v>RFI</v>
      </c>
      <c r="E142" s="63" t="str">
        <f>IF('Excercise - Al '!G142&lt;&gt;"","MODE: "&amp;'Excercise - Al '!G142,"")&amp;IF('Excercise - Al '!H142&lt;&gt;"","   FROM: "&amp;'Excercise - Al '!H142,"")&amp;IF('Excercise - Al '!I142&lt;&gt;"","   INJECTED BY: "&amp;'Excercise - Al '!I142,"")&amp;IF('Excercise - Al '!J142&lt;&gt;"","   SEND TO: "&amp;'Excercise - Al '!J142,"")</f>
        <v>MODE: Email   FROM: Each Task Force   INJECTED BY: TF S2   SEND TO: JOC, J2</v>
      </c>
      <c r="F142" s="63" t="str">
        <f>IF('Excercise - Al '!K142&lt;&gt;"","STORYLINE: "&amp;'Excercise - Al '!K142,"")&amp;IF('Excercise - Al '!M142&lt;&gt;"","   DESCRIPTION: "&amp;'Excercise - Al '!M142,"")&amp;IF('Excercise - Al '!O142&lt;&gt;"","   NOTES/REMARKS: "&amp;'Excercise - Al '!O142,"")&amp;IF('Excercise - Al '!Q142&lt;&gt;"","   BACKGROUND INFO: "&amp;'Excercise - Al '!Q142,"")</f>
        <v xml:space="preserve">   DESCRIPTION: Weather Update/Storm Track</v>
      </c>
      <c r="G142" s="63" t="str">
        <f>IF('Excercise - Al '!P142&lt;&gt;"","IMPLEMENTER: "&amp;'Excercise - Al '!P142,"")</f>
        <v>IMPLEMENTER: Weather RFI from Task Force to J2</v>
      </c>
      <c r="H142" s="63" t="str">
        <f>IF('Excercise - Al '!N142&lt;&gt;"","EXPECTED ACTIONS: "&amp;'Excercise - Al '!N142,"")</f>
        <v>EXPECTED ACTIONS: J2 Provides latest Weather and Storm Track to the TFs</v>
      </c>
      <c r="I142" s="63" t="str">
        <f>'Excercise - Al '!R142</f>
        <v>Houlton</v>
      </c>
    </row>
    <row r="143" spans="1:9" s="24" customFormat="1" ht="168.75">
      <c r="A143" s="63">
        <f>'Excercise - Al '!A143</f>
        <v>142</v>
      </c>
      <c r="B143" s="63"/>
      <c r="C143" s="64">
        <f>'Excercise - Al '!E143</f>
        <v>40303.500694444447</v>
      </c>
      <c r="D143" s="63" t="str">
        <f>IF('Excercise - Al '!F143&lt;&gt;0,'Excercise - Al '!F143,"")</f>
        <v>RFI</v>
      </c>
      <c r="E143" s="63" t="str">
        <f>IF('Excercise - Al '!G143&lt;&gt;"","MODE: "&amp;'Excercise - Al '!G143,"")&amp;IF('Excercise - Al '!H143&lt;&gt;"","   FROM: "&amp;'Excercise - Al '!H143,"")&amp;IF('Excercise - Al '!I143&lt;&gt;"","   INJECTED BY: "&amp;'Excercise - Al '!I143,"")&amp;IF('Excercise - Al '!J143&lt;&gt;"","   SEND TO: "&amp;'Excercise - Al '!J143,"")</f>
        <v>MODE: Email   FROM: Each Task Force   INJECTED BY: TF S2   SEND TO: JOC, J2</v>
      </c>
      <c r="F143" s="63" t="str">
        <f>IF('Excercise - Al '!K143&lt;&gt;"","STORYLINE: "&amp;'Excercise - Al '!K143,"")&amp;IF('Excercise - Al '!M143&lt;&gt;"","   DESCRIPTION: "&amp;'Excercise - Al '!M143,"")&amp;IF('Excercise - Al '!O143&lt;&gt;"","   NOTES/REMARKS: "&amp;'Excercise - Al '!O143,"")&amp;IF('Excercise - Al '!Q143&lt;&gt;"","   BACKGROUND INFO: "&amp;'Excercise - Al '!Q143,"")</f>
        <v xml:space="preserve">   DESCRIPTION: RFI for PIR, Collection Plan, Report Formats, and reporting requirements</v>
      </c>
      <c r="G143" s="63" t="str">
        <f>IF('Excercise - Al '!P143&lt;&gt;"","IMPLEMENTER: "&amp;'Excercise - Al '!P143,"")</f>
        <v>IMPLEMENTER: RFI to lay baseline reporting requirements of each TF, time reports are due to the J2…</v>
      </c>
      <c r="H143" s="63" t="str">
        <f>IF('Excercise - Al '!N143&lt;&gt;"","EXPECTED ACTIONS: "&amp;'Excercise - Al '!N143,"")</f>
        <v>EXPECTED ACTIONS: J2 provided current PIR, Collection Plan, Report Formats, and reporting requirements to each TF.</v>
      </c>
      <c r="I143" s="63" t="str">
        <f>'Excercise - Al '!R143</f>
        <v>Houlton</v>
      </c>
    </row>
    <row r="144" spans="1:9" s="24" customFormat="1" ht="67.5">
      <c r="A144" s="63">
        <f>'Excercise - Al '!A144</f>
        <v>143</v>
      </c>
      <c r="B144" s="63"/>
      <c r="C144" s="64">
        <f>'Excercise - Al '!E144</f>
        <v>40303.541666666664</v>
      </c>
      <c r="D144" s="63" t="str">
        <f>IF('Excercise - Al '!F144&lt;&gt;0,'Excercise - Al '!F144,"")</f>
        <v>RFI</v>
      </c>
      <c r="E144" s="63" t="str">
        <f>IF('Excercise - Al '!G144&lt;&gt;"","MODE: "&amp;'Excercise - Al '!G144,"")&amp;IF('Excercise - Al '!H144&lt;&gt;"","   FROM: "&amp;'Excercise - Al '!H144,"")&amp;IF('Excercise - Al '!I144&lt;&gt;"","   INJECTED BY: "&amp;'Excercise - Al '!I144,"")&amp;IF('Excercise - Al '!J144&lt;&gt;"","   SEND TO: "&amp;'Excercise - Al '!J144,"")</f>
        <v>MODE: Email   INJECTED BY: HICKS</v>
      </c>
      <c r="F144" s="63" t="str">
        <f>IF('Excercise - Al '!K144&lt;&gt;"","STORYLINE: "&amp;'Excercise - Al '!K144,"")&amp;IF('Excercise - Al '!M144&lt;&gt;"","   DESCRIPTION: "&amp;'Excercise - Al '!M144,"")&amp;IF('Excercise - Al '!O144&lt;&gt;"","   NOTES/REMARKS: "&amp;'Excercise - Al '!O144,"")&amp;IF('Excercise - Al '!Q144&lt;&gt;"","   BACKGROUND INFO: "&amp;'Excercise - Al '!Q144,"")</f>
        <v>STORYLINE: CHAPLAIN &amp; UMT ACTIIVITIES</v>
      </c>
      <c r="G144" s="63" t="str">
        <f>IF('Excercise - Al '!P144&lt;&gt;"","IMPLEMENTER: "&amp;'Excercise - Al '!P144,"")</f>
        <v>IMPLEMENTER: Request to pre-position a chaplain at a Red Cross shelter where people are already gathering.  Need: for religious services and spiritual presence</v>
      </c>
      <c r="H144" s="63" t="str">
        <f>IF('Excercise - Al '!N144&lt;&gt;"","EXPECTED ACTIONS: "&amp;'Excercise - Al '!N144,"")</f>
        <v>EXPECTED ACTIONS: Evaluate on basis of NGB four-fold test</v>
      </c>
      <c r="I144" s="63" t="str">
        <f>'Excercise - Al '!R144</f>
        <v>Hicks</v>
      </c>
    </row>
    <row r="145" spans="1:9" s="24" customFormat="1" ht="67.5">
      <c r="A145" s="63">
        <f>'Excercise - Al '!A145</f>
        <v>144</v>
      </c>
      <c r="B145" s="63"/>
      <c r="C145" s="64">
        <f>'Excercise - Al '!E145</f>
        <v>40303.59375</v>
      </c>
      <c r="D145" s="63" t="str">
        <f>IF('Excercise - Al '!F145&lt;&gt;0,'Excercise - Al '!F145,"")</f>
        <v>RFI</v>
      </c>
      <c r="E145" s="63" t="str">
        <f>IF('Excercise - Al '!G145&lt;&gt;"","MODE: "&amp;'Excercise - Al '!G145,"")&amp;IF('Excercise - Al '!H145&lt;&gt;"","   FROM: "&amp;'Excercise - Al '!H145,"")&amp;IF('Excercise - Al '!I145&lt;&gt;"","   INJECTED BY: "&amp;'Excercise - Al '!I145,"")&amp;IF('Excercise - Al '!J145&lt;&gt;"","   SEND TO: "&amp;'Excercise - Al '!J145,"")</f>
        <v>MODE: RFA   FROM: White Cell - JTF South   INJECTED BY: SEOC LNO   SEND TO: JOC</v>
      </c>
      <c r="F145" s="63" t="str">
        <f>IF('Excercise - Al '!K145&lt;&gt;"","STORYLINE: "&amp;'Excercise - Al '!K145,"")&amp;IF('Excercise - Al '!M145&lt;&gt;"","   DESCRIPTION: "&amp;'Excercise - Al '!M145,"")&amp;IF('Excercise - Al '!O145&lt;&gt;"","   NOTES/REMARKS: "&amp;'Excercise - Al '!O145,"")&amp;IF('Excercise - Al '!Q145&lt;&gt;"","   BACKGROUND INFO: "&amp;'Excercise - Al '!Q145,"")</f>
        <v xml:space="preserve">   DESCRIPTION: Request generator supported light sets and barriers for security check points.</v>
      </c>
      <c r="G145" s="63" t="str">
        <f>IF('Excercise - Al '!P145&lt;&gt;"","IMPLEMENTER: "&amp;'Excercise - Al '!P145,"")</f>
        <v>IMPLEMENTER: Request generator supported light sets and barriers for security check points.</v>
      </c>
      <c r="H145" s="63" t="str">
        <f>IF('Excercise - Al '!N145&lt;&gt;"","EXPECTED ACTIONS: "&amp;'Excercise - Al '!N145,"")</f>
        <v/>
      </c>
      <c r="I145" s="63" t="str">
        <f>'Excercise - Al '!R145</f>
        <v>Wheeler</v>
      </c>
    </row>
    <row r="146" spans="1:9" s="24" customFormat="1" ht="168.75">
      <c r="A146" s="63">
        <f>'Excercise - Al '!A146</f>
        <v>145</v>
      </c>
      <c r="B146" s="63"/>
      <c r="C146" s="64">
        <f>'Excercise - Al '!E146</f>
        <v>40303.594444444447</v>
      </c>
      <c r="D146" s="63" t="str">
        <f>IF('Excercise - Al '!F146&lt;&gt;0,'Excercise - Al '!F146,"")</f>
        <v>INFO</v>
      </c>
      <c r="E146" s="63" t="str">
        <f>IF('Excercise - Al '!G146&lt;&gt;"","MODE: "&amp;'Excercise - Al '!G146,"")&amp;IF('Excercise - Al '!H146&lt;&gt;"","   FROM: "&amp;'Excercise - Al '!H146,"")&amp;IF('Excercise - Al '!I146&lt;&gt;"","   INJECTED BY: "&amp;'Excercise - Al '!I146,"")&amp;IF('Excercise - Al '!J146&lt;&gt;"","   SEND TO: "&amp;'Excercise - Al '!J146,"")</f>
        <v>MODE: Email   FROM: JTF S   INJECTED BY: BENTON   SEND TO: J1</v>
      </c>
      <c r="F146" s="63" t="str">
        <f>IF('Excercise - Al '!K146&lt;&gt;"","STORYLINE: "&amp;'Excercise - Al '!K146,"")&amp;IF('Excercise - Al '!M146&lt;&gt;"","   DESCRIPTION: "&amp;'Excercise - Al '!M146,"")&amp;IF('Excercise - Al '!O146&lt;&gt;"","   NOTES/REMARKS: "&amp;'Excercise - Al '!O146,"")&amp;IF('Excercise - Al '!Q146&lt;&gt;"","   BACKGROUND INFO: "&amp;'Excercise - Al '!Q146,"")</f>
        <v>STORYLINE: Potential Food Poisoning (MREs)   DESCRIPTION: 30 soldiers have become sick in the Mobile area, experiencing nausea, vomiting, diarrhea, and abdominal cramping.  SMs started showing symptoms within 1 hour of eating lunch (MREs).  All personnel had consumed the MRE dairy shakes.</v>
      </c>
      <c r="G146" s="63" t="str">
        <f>IF('Excercise - Al '!P146&lt;&gt;"","IMPLEMENTER: "&amp;'Excercise - Al '!P146,"")</f>
        <v>IMPLEMENTER: 30 soldiers have become sick in the Mobile area, experiencing nausea, vomiting, diarrhea, and abdominal cramping.  SMs started showing symptoms within 1 hour of eating lunch (MREs).  All personnel had consumed the MRE dairy shakes.</v>
      </c>
      <c r="H146" s="63" t="str">
        <f>IF('Excercise - Al '!N146&lt;&gt;"","EXPECTED ACTIONS: "&amp;'Excercise - Al '!N146,"")</f>
        <v>EXPECTED ACTIONS: J4 issue MRE guidance and possible recall.  J1 track LODs.  Medical initiate PM actions. Safety review.</v>
      </c>
      <c r="I146" s="63" t="str">
        <f>'Excercise - Al '!R146</f>
        <v>Benton</v>
      </c>
    </row>
    <row r="147" spans="1:9" s="24" customFormat="1" ht="56.25">
      <c r="A147" s="63">
        <f>'Excercise - Al '!A147</f>
        <v>146</v>
      </c>
      <c r="B147" s="63"/>
      <c r="C147" s="64">
        <f>'Excercise - Al '!E147</f>
        <v>40303.604166666664</v>
      </c>
      <c r="D147" s="63" t="str">
        <f>IF('Excercise - Al '!F147&lt;&gt;0,'Excercise - Al '!F147,"")</f>
        <v>MISSION</v>
      </c>
      <c r="E147" s="63" t="str">
        <f>IF('Excercise - Al '!G147&lt;&gt;"","MODE: "&amp;'Excercise - Al '!G147,"")&amp;IF('Excercise - Al '!H147&lt;&gt;"","   FROM: "&amp;'Excercise - Al '!H147,"")&amp;IF('Excercise - Al '!I147&lt;&gt;"","   INJECTED BY: "&amp;'Excercise - Al '!I147,"")&amp;IF('Excercise - Al '!J147&lt;&gt;"","   SEND TO: "&amp;'Excercise - Al '!J147,"")</f>
        <v>MODE: EMITS   FROM: ESF 13   INJECTED BY: SEOC LNO   SEND TO: JTF-S</v>
      </c>
      <c r="F147" s="63" t="str">
        <f>IF('Excercise - Al '!K147&lt;&gt;"","STORYLINE: "&amp;'Excercise - Al '!K147,"")&amp;IF('Excercise - Al '!M147&lt;&gt;"","   DESCRIPTION: "&amp;'Excercise - Al '!M147,"")&amp;IF('Excercise - Al '!O147&lt;&gt;"","   NOTES/REMARKS: "&amp;'Excercise - Al '!O147,"")&amp;IF('Excercise - Al '!Q147&lt;&gt;"","   BACKGROUND INFO: "&amp;'Excercise - Al '!Q147,"")</f>
        <v xml:space="preserve">   DESCRIPTION: Baldwin County Sheriff requests NG assistance for site security and traffic control. </v>
      </c>
      <c r="G147" s="63" t="str">
        <f>IF('Excercise - Al '!P147&lt;&gt;"","IMPLEMENTER: "&amp;'Excercise - Al '!P147,"")</f>
        <v>IMPLEMENTER: Baldwin County Sheriff requests 250 Soldiers for site security and traffic control. Soldiers will right seat ride with local Law Enforcement personnel</v>
      </c>
      <c r="H147" s="63" t="str">
        <f>IF('Excercise - Al '!N147&lt;&gt;"","EXPECTED ACTIONS: "&amp;'Excercise - Al '!N147,"")</f>
        <v/>
      </c>
      <c r="I147" s="63" t="str">
        <f>'Excercise - Al '!R147</f>
        <v>Keane</v>
      </c>
    </row>
    <row r="148" spans="1:9" s="24" customFormat="1" ht="112.5">
      <c r="A148" s="63">
        <f>'Excercise - Al '!A148</f>
        <v>147</v>
      </c>
      <c r="B148" s="63"/>
      <c r="C148" s="64">
        <f>'Excercise - Al '!E148</f>
        <v>40303.625</v>
      </c>
      <c r="D148" s="63" t="str">
        <f>IF('Excercise - Al '!F148&lt;&gt;0,'Excercise - Al '!F148,"")</f>
        <v>RFI</v>
      </c>
      <c r="E148" s="63" t="str">
        <f>IF('Excercise - Al '!G148&lt;&gt;"","MODE: "&amp;'Excercise - Al '!G148,"")&amp;IF('Excercise - Al '!H148&lt;&gt;"","   FROM: "&amp;'Excercise - Al '!H148,"")&amp;IF('Excercise - Al '!I148&lt;&gt;"","   INJECTED BY: "&amp;'Excercise - Al '!I148,"")&amp;IF('Excercise - Al '!J148&lt;&gt;"","   SEND TO: "&amp;'Excercise - Al '!J148,"")</f>
        <v>MODE: Email   INJECTED BY: HICKS</v>
      </c>
      <c r="F148" s="63" t="str">
        <f>IF('Excercise - Al '!K148&lt;&gt;"","STORYLINE: "&amp;'Excercise - Al '!K148,"")&amp;IF('Excercise - Al '!M148&lt;&gt;"","   DESCRIPTION: "&amp;'Excercise - Al '!M148,"")&amp;IF('Excercise - Al '!O148&lt;&gt;"","   NOTES/REMARKS: "&amp;'Excercise - Al '!O148,"")&amp;IF('Excercise - Al '!Q148&lt;&gt;"","   BACKGROUND INFO: "&amp;'Excercise - Al '!Q148,"")</f>
        <v>STORYLINE: CHAPLAIN &amp; UMT ACTIIVITIES</v>
      </c>
      <c r="G148" s="63" t="str">
        <f>IF('Excercise - Al '!P148&lt;&gt;"","IMPLEMENTER: "&amp;'Excercise - Al '!P148,"")</f>
        <v>IMPLEMENTER: A retired ARNG chaplain offers his church to house a UMT; the local unit Commander knows the pastor and makes the request to Joint Force Chaplain.</v>
      </c>
      <c r="H148" s="63" t="str">
        <f>IF('Excercise - Al '!N148&lt;&gt;"","EXPECTED ACTIONS: "&amp;'Excercise - Al '!N148,"")</f>
        <v>EXPECTED ACTIONS: JF chaplain should deny request; Chaplain should be with his troops.</v>
      </c>
      <c r="I148" s="63" t="str">
        <f>'Excercise - Al '!R148</f>
        <v>Hicks</v>
      </c>
    </row>
    <row r="149" spans="1:9" s="24" customFormat="1" ht="56.25">
      <c r="A149" s="63">
        <f>'Excercise - Al '!A149</f>
        <v>148</v>
      </c>
      <c r="B149" s="63"/>
      <c r="C149" s="64">
        <f>'Excercise - Al '!E149</f>
        <v>40303.625</v>
      </c>
      <c r="D149" s="63" t="str">
        <f>IF('Excercise - Al '!F149&lt;&gt;0,'Excercise - Al '!F149,"")</f>
        <v>INFO - Evacuation</v>
      </c>
      <c r="E149" s="63" t="str">
        <f>IF('Excercise - Al '!G149&lt;&gt;"","MODE: "&amp;'Excercise - Al '!G149,"")&amp;IF('Excercise - Al '!H149&lt;&gt;"","   FROM: "&amp;'Excercise - Al '!H149,"")&amp;IF('Excercise - Al '!I149&lt;&gt;"","   INJECTED BY: "&amp;'Excercise - Al '!I149,"")&amp;IF('Excercise - Al '!J149&lt;&gt;"","   SEND TO: "&amp;'Excercise - Al '!J149,"")</f>
        <v>MODE: EMITS   FROM: ESF 5   INJECTED BY: SEOC LNO   SEND TO: JOC</v>
      </c>
      <c r="F149" s="63" t="str">
        <f>IF('Excercise - Al '!K149&lt;&gt;"","STORYLINE: "&amp;'Excercise - Al '!K149,"")&amp;IF('Excercise - Al '!M149&lt;&gt;"","   DESCRIPTION: "&amp;'Excercise - Al '!M149,"")&amp;IF('Excercise - Al '!O149&lt;&gt;"","   NOTES/REMARKS: "&amp;'Excercise - Al '!O149,"")&amp;IF('Excercise - Al '!Q149&lt;&gt;"","   BACKGROUND INFO: "&amp;'Excercise - Al '!Q149,"")</f>
        <v xml:space="preserve">   DESCRIPTION: AEMA officials report 70% successful evacuation for Mobile and Baldwin counties.</v>
      </c>
      <c r="G149" s="63" t="str">
        <f>IF('Excercise - Al '!P149&lt;&gt;"","IMPLEMENTER: "&amp;'Excercise - Al '!P149,"")</f>
        <v>IMPLEMENTER: AEMA officials report 70% successful evacuation for Mobile and Baldwin counties.</v>
      </c>
      <c r="H149" s="63" t="str">
        <f>IF('Excercise - Al '!N149&lt;&gt;"","EXPECTED ACTIONS: "&amp;'Excercise - Al '!N149,"")</f>
        <v/>
      </c>
      <c r="I149" s="63" t="str">
        <f>'Excercise - Al '!R149</f>
        <v>Keane</v>
      </c>
    </row>
    <row r="150" spans="1:9" s="24" customFormat="1" ht="33.75">
      <c r="A150" s="63">
        <f>'Excercise - Al '!A150</f>
        <v>149</v>
      </c>
      <c r="B150" s="63"/>
      <c r="C150" s="64">
        <f>'Excercise - Al '!E150</f>
        <v>40303.625</v>
      </c>
      <c r="D150" s="63" t="str">
        <f>IF('Excercise - Al '!F150&lt;&gt;0,'Excercise - Al '!F150,"")</f>
        <v>MISSION - BPT</v>
      </c>
      <c r="E150" s="63" t="str">
        <f>IF('Excercise - Al '!G150&lt;&gt;"","MODE: "&amp;'Excercise - Al '!G150,"")&amp;IF('Excercise - Al '!H150&lt;&gt;"","   FROM: "&amp;'Excercise - Al '!H150,"")&amp;IF('Excercise - Al '!I150&lt;&gt;"","   INJECTED BY: "&amp;'Excercise - Al '!I150,"")&amp;IF('Excercise - Al '!J150&lt;&gt;"","   SEND TO: "&amp;'Excercise - Al '!J150,"")</f>
        <v>MODE: Email   INJECTED BY: DENNIS</v>
      </c>
      <c r="F150" s="63" t="str">
        <f>IF('Excercise - Al '!K150&lt;&gt;"","STORYLINE: "&amp;'Excercise - Al '!K150,"")&amp;IF('Excercise - Al '!M150&lt;&gt;"","   DESCRIPTION: "&amp;'Excercise - Al '!M150,"")&amp;IF('Excercise - Al '!O150&lt;&gt;"","   NOTES/REMARKS: "&amp;'Excercise - Al '!O150,"")&amp;IF('Excercise - Al '!Q150&lt;&gt;"","   BACKGROUND INFO: "&amp;'Excercise - Al '!Q150,"")</f>
        <v>STORYLINE: On order, transition state active duty to federal active duty for pay purpose.</v>
      </c>
      <c r="G150" s="63" t="str">
        <f>IF('Excercise - Al '!P150&lt;&gt;"","IMPLEMENTER: "&amp;'Excercise - Al '!P150,"")</f>
        <v>IMPLEMENTER: On order, transition state active duty to federal active duty for pay purpose.</v>
      </c>
      <c r="H150" s="63" t="str">
        <f>IF('Excercise - Al '!N150&lt;&gt;"","EXPECTED ACTIONS: "&amp;'Excercise - Al '!N150,"")</f>
        <v/>
      </c>
      <c r="I150" s="63" t="str">
        <f>'Excercise - Al '!R150</f>
        <v>Therman</v>
      </c>
    </row>
    <row r="151" spans="1:9" s="24" customFormat="1" ht="409.5">
      <c r="A151" s="63">
        <f>'Excercise - Al '!A151</f>
        <v>150</v>
      </c>
      <c r="B151" s="63"/>
      <c r="C151" s="64">
        <f>'Excercise - Al '!E151</f>
        <v>40303.625694444447</v>
      </c>
      <c r="D151" s="63" t="str">
        <f>IF('Excercise - Al '!F151&lt;&gt;0,'Excercise - Al '!F151,"")</f>
        <v>MISSION - POD</v>
      </c>
      <c r="E151" s="63" t="str">
        <f>IF('Excercise - Al '!G151&lt;&gt;"","MODE: "&amp;'Excercise - Al '!G151,"")&amp;IF('Excercise - Al '!H151&lt;&gt;"","   FROM: "&amp;'Excercise - Al '!H151,"")&amp;IF('Excercise - Al '!I151&lt;&gt;"","   INJECTED BY: "&amp;'Excercise - Al '!I151,"")&amp;IF('Excercise - Al '!J151&lt;&gt;"","   SEND TO: "&amp;'Excercise - Al '!J151,"")</f>
        <v>MODE: EMITS   FROM: AEMA ESF 7   INJECTED BY: SEOC LNO   SEND TO: JOC</v>
      </c>
      <c r="F151" s="63" t="str">
        <f>IF('Excercise - Al '!K151&lt;&gt;"","STORYLINE: "&amp;'Excercise - Al '!K151,"")&amp;IF('Excercise - Al '!M151&lt;&gt;"","   DESCRIPTION: "&amp;'Excercise - Al '!M151,"")&amp;IF('Excercise - Al '!O151&lt;&gt;"","   NOTES/REMARKS: "&amp;'Excercise - Al '!O151,"")&amp;IF('Excercise - Al '!Q151&lt;&gt;"","   BACKGROUND INFO: "&amp;'Excercise - Al '!Q151,"")</f>
        <v>STORYLINE: POD (Point of Distribution) Missions   DESCRIPTION: Mission to support Baldwin County PODs</v>
      </c>
      <c r="G151" s="63" t="str">
        <f>IF('Excercise - Al '!P151&lt;&gt;"","IMPLEMENTER: "&amp;'Excercise - Al '!P151,"")</f>
        <v>IMPLEMENTER: Baldwin County request ALNG to man and operate the following POD sites beginning at 0800 7 May 10.  Duration 7 days, POC is County ESF 7 Mr. Bouie.
Bay Minette
First Baptist Church of Bay Minette, 1201 Hand Avenue
Labor Personnel: 10-12.  POD Equipment Needed:  1X tent.  Security Personnel. None.  
Operational Hours: 8-10
Daphne
Daphne Civic Center, 2603 Highway 98
Labor Personnel: 40.  POD Equipment Needed:  None.  Security Personnel. None.  
Operational Hours: 12
Elberta
Elberta Fire Department, 13120 Illinois Street
Labor Personnel: 12.  POD Equipment Needed:  None.  Security Personnel. None.  
Operational Hours: 10
Fairhope
Fairhope - Volanta Ball Park, Volanta Ave.
Labor Personnel: 40.  POD Equipment Needed:  None.  Security Personnel. None.  
Operational Hours: 12
Foley
Tanger Factory Outlet Center, 2601 McKenzie Street
Labor Personnel: 40.  POD Equipment Needed:  1X tent, 1X light set.  Security Personnel. None.  Operational Hours: 12
Gulf Shores
Sports Complex, 19025 Oak Road West
Labor Personnel: 40.  POD Equipment Needed:  forklift operator.  
Security Personnel. None.  Operational Hours: 12</v>
      </c>
      <c r="H151" s="63" t="str">
        <f>IF('Excercise - Al '!N151&lt;&gt;"","EXPECTED ACTIONS: "&amp;'Excercise - Al '!N151,"")</f>
        <v/>
      </c>
      <c r="I151" s="63" t="str">
        <f>'Excercise - Al '!R151</f>
        <v>Keane</v>
      </c>
    </row>
    <row r="152" spans="1:9" s="24" customFormat="1" ht="213.75">
      <c r="A152" s="63">
        <f>'Excercise - Al '!A152</f>
        <v>151</v>
      </c>
      <c r="B152" s="63"/>
      <c r="C152" s="64">
        <f>'Excercise - Al '!E152</f>
        <v>40303.626388888886</v>
      </c>
      <c r="D152" s="63" t="str">
        <f>IF('Excercise - Al '!F152&lt;&gt;0,'Excercise - Al '!F152,"")</f>
        <v>MISSION - POD</v>
      </c>
      <c r="E152" s="63" t="str">
        <f>IF('Excercise - Al '!G152&lt;&gt;"","MODE: "&amp;'Excercise - Al '!G152,"")&amp;IF('Excercise - Al '!H152&lt;&gt;"","   FROM: "&amp;'Excercise - Al '!H152,"")&amp;IF('Excercise - Al '!I152&lt;&gt;"","   INJECTED BY: "&amp;'Excercise - Al '!I152,"")&amp;IF('Excercise - Al '!J152&lt;&gt;"","   SEND TO: "&amp;'Excercise - Al '!J152,"")</f>
        <v>MODE: EMITS   FROM: AEMA ESF 7   INJECTED BY: SEOC LNO   SEND TO: JOC</v>
      </c>
      <c r="F152" s="63" t="str">
        <f>IF('Excercise - Al '!K152&lt;&gt;"","STORYLINE: "&amp;'Excercise - Al '!K152,"")&amp;IF('Excercise - Al '!M152&lt;&gt;"","   DESCRIPTION: "&amp;'Excercise - Al '!M152,"")&amp;IF('Excercise - Al '!O152&lt;&gt;"","   NOTES/REMARKS: "&amp;'Excercise - Al '!O152,"")&amp;IF('Excercise - Al '!Q152&lt;&gt;"","   BACKGROUND INFO: "&amp;'Excercise - Al '!Q152,"")</f>
        <v>STORYLINE: POD (Point of Distribution) Missions   DESCRIPTION: Mission to support Escambia County PODs</v>
      </c>
      <c r="G152" s="63" t="str">
        <f>IF('Excercise - Al '!P152&lt;&gt;"","IMPLEMENTER: "&amp;'Excercise - Al '!P152,"")</f>
        <v xml:space="preserve">IMPLEMENTER: Escambia County request ALNG to man and operate the following POD sites beginning at 0800 7 May 10.  Duration 8 days, POC is County ESF 7 Mrs. Evans.
Brewton
Old North Brewton Elem School Bldg, 41960 Highway 31 North
Labor Personnel: 40.  POD Equipment Needed:  None.  
Security Personnel. 0.  Operational Hours: 12
East Brewton
Ridge Road Baptist Church, 3600 Ridge Road
Labor Personnel: 20.  POD Equipment Needed:  None.  
Security Personnel. 0.  Operational Hours: 8-10
</v>
      </c>
      <c r="H152" s="63" t="str">
        <f>IF('Excercise - Al '!N152&lt;&gt;"","EXPECTED ACTIONS: "&amp;'Excercise - Al '!N152,"")</f>
        <v/>
      </c>
      <c r="I152" s="63" t="str">
        <f>'Excercise - Al '!R152</f>
        <v>Keane</v>
      </c>
    </row>
    <row r="153" spans="1:9" s="24" customFormat="1" ht="409.5">
      <c r="A153" s="63">
        <f>'Excercise - Al '!A153</f>
        <v>152</v>
      </c>
      <c r="B153" s="63"/>
      <c r="C153" s="64">
        <f>'Excercise - Al '!E153</f>
        <v>40303.627083333333</v>
      </c>
      <c r="D153" s="63" t="str">
        <f>IF('Excercise - Al '!F153&lt;&gt;0,'Excercise - Al '!F153,"")</f>
        <v>MISSION - POD</v>
      </c>
      <c r="E153" s="63" t="str">
        <f>IF('Excercise - Al '!G153&lt;&gt;"","MODE: "&amp;'Excercise - Al '!G153,"")&amp;IF('Excercise - Al '!H153&lt;&gt;"","   FROM: "&amp;'Excercise - Al '!H153,"")&amp;IF('Excercise - Al '!I153&lt;&gt;"","   INJECTED BY: "&amp;'Excercise - Al '!I153,"")&amp;IF('Excercise - Al '!J153&lt;&gt;"","   SEND TO: "&amp;'Excercise - Al '!J153,"")</f>
        <v>MODE: EMITS   FROM: AEMA ESF 7   INJECTED BY: SEOC LNO   SEND TO: JOC</v>
      </c>
      <c r="F153" s="63" t="str">
        <f>IF('Excercise - Al '!K153&lt;&gt;"","STORYLINE: "&amp;'Excercise - Al '!K153,"")&amp;IF('Excercise - Al '!M153&lt;&gt;"","   DESCRIPTION: "&amp;'Excercise - Al '!M153,"")&amp;IF('Excercise - Al '!O153&lt;&gt;"","   NOTES/REMARKS: "&amp;'Excercise - Al '!O153,"")&amp;IF('Excercise - Al '!Q153&lt;&gt;"","   BACKGROUND INFO: "&amp;'Excercise - Al '!Q153,"")</f>
        <v>STORYLINE: POD (Point of Distribution) Missions   DESCRIPTION: Mission to support Washington County PODs</v>
      </c>
      <c r="G153" s="63" t="str">
        <f>IF('Excercise - Al '!P153&lt;&gt;"","IMPLEMENTER: "&amp;'Excercise - Al '!P153,"")</f>
        <v xml:space="preserve">IMPLEMENTER: Washington County request ALNG to man and operate the following POD sites beginning at 0800 7 May 10.  Duration 6-10 days, POC is County ESF 7 Mr. Williams.
Chatom
National Guard Armory, 1020 St. Stephens Avenue
Labor Personnel: 20.  POD Equipment Needed:  None.  Security Personnel. None.  
Operational Hours: 12
Fruitdale
Fruitdale High School, Raycoker Road
Labor Personnel: 10-12.  POD Equipment Needed:  1X tent.  Security Personnel. 2.  
Operational Hours: 8-10
Leroy
Leroy High School, 26301 Highway 43
Labor Personnel: 20.  POD Equipment Needed:  1X forklift and operator.  
Security Personnel. None.  Operational Hours: 10
McIntosh 
McIntosh Elementary School, Highway 43
Labor Personnel: 20.  POD Equipment Needed:  None.  Security Personnel. None.  
Operational Hours: 8-10
Millry
Millry Baptist Church, 800 5th Avenue
Labor Personnel: 15.  POD Equipment Needed:  forklift operator.  
Security Personnel. None.  Operational Hours: 8
</v>
      </c>
      <c r="H153" s="63" t="str">
        <f>IF('Excercise - Al '!N153&lt;&gt;"","EXPECTED ACTIONS: "&amp;'Excercise - Al '!N153,"")</f>
        <v/>
      </c>
      <c r="I153" s="63" t="str">
        <f>'Excercise - Al '!R153</f>
        <v>Keane</v>
      </c>
    </row>
    <row r="154" spans="1:9" s="24" customFormat="1" ht="409.5">
      <c r="A154" s="63">
        <f>'Excercise - Al '!A154</f>
        <v>153</v>
      </c>
      <c r="B154" s="63"/>
      <c r="C154" s="64">
        <f>'Excercise - Al '!E154</f>
        <v>40303.62777777778</v>
      </c>
      <c r="D154" s="63" t="str">
        <f>IF('Excercise - Al '!F154&lt;&gt;0,'Excercise - Al '!F154,"")</f>
        <v>MISSION - POD</v>
      </c>
      <c r="E154" s="63" t="str">
        <f>IF('Excercise - Al '!G154&lt;&gt;"","MODE: "&amp;'Excercise - Al '!G154,"")&amp;IF('Excercise - Al '!H154&lt;&gt;"","   FROM: "&amp;'Excercise - Al '!H154,"")&amp;IF('Excercise - Al '!I154&lt;&gt;"","   INJECTED BY: "&amp;'Excercise - Al '!I154,"")&amp;IF('Excercise - Al '!J154&lt;&gt;"","   SEND TO: "&amp;'Excercise - Al '!J154,"")</f>
        <v>MODE: EMITS   FROM: AEMA ESF 7   INJECTED BY: SEOC LNO   SEND TO: JOC</v>
      </c>
      <c r="F154" s="63" t="str">
        <f>IF('Excercise - Al '!K154&lt;&gt;"","STORYLINE: "&amp;'Excercise - Al '!K154,"")&amp;IF('Excercise - Al '!M154&lt;&gt;"","   DESCRIPTION: "&amp;'Excercise - Al '!M154,"")&amp;IF('Excercise - Al '!O154&lt;&gt;"","   NOTES/REMARKS: "&amp;'Excercise - Al '!O154,"")&amp;IF('Excercise - Al '!Q154&lt;&gt;"","   BACKGROUND INFO: "&amp;'Excercise - Al '!Q154,"")</f>
        <v>STORYLINE: POD (Point of Distribution) Missions   DESCRIPTION: Mission to support Mobile County PODs</v>
      </c>
      <c r="G154" s="63" t="str">
        <f>IF('Excercise - Al '!P154&lt;&gt;"","IMPLEMENTER: "&amp;'Excercise - Al '!P154,"")</f>
        <v xml:space="preserve">IMPLEMENTER: Mobile County request ALNG to man and operate the following LSA and POD sites beginning at 0800 7 May 10.  Duration 8 days, POC is County ESF 7 Mr. Manners.
County Logistics Staging Area
Mobile Bay Bears Stadium  6 QM  2 Security  1 Forklift Operator
County Distribution Sites
Bay Bears Stadium   12 QM  2 Security  1 Forklift Operator
Saraland K-Mart   12 QM  0 Security  1 Forklift Operator
Alma Bryant School (Bayou La Batre) 24 QM  4 Security  2 Forklift Operators
Prichard Stadium   12 QM  2 Security  1 Forklift Operator
Mount Vernon Park   12 QM  2 Security  1 Forklift Operator
Citronelle Industrial Park  12 QM  2 Security  1 Forklift Operator
Mobile Greyhound Park   12 QM  2 Security  2 Forklift Operators
Dauphin Island City Hall   6 QM  2 Security  0 Forklift Operator
Langon Park    12 QM  2 Security  1 Forklift Operator
Ladd-Peeples Memorial  Stadium 12 QM  2 Security  1 Forklift Operator
Equipment Requirements:
4-6K Forklifts 
14 + Forklifts for maintenance float 
Vehicles to transport soldiers to work areas
5 ton Cargo Trucks – 3 ea. To handle in and around delivery missions out of Staging Area
Fuel Trucks – 2 ea. To fuel military and civilian trucks at Staging Area
Command and Control
Per Task Force Plan  
</v>
      </c>
      <c r="H154" s="63" t="str">
        <f>IF('Excercise - Al '!N154&lt;&gt;"","EXPECTED ACTIONS: "&amp;'Excercise - Al '!N154,"")</f>
        <v/>
      </c>
      <c r="I154" s="63" t="str">
        <f>'Excercise - Al '!R154</f>
        <v>Keane</v>
      </c>
    </row>
    <row r="155" spans="1:9" s="24" customFormat="1" ht="360">
      <c r="A155" s="63">
        <f>'Excercise - Al '!A155</f>
        <v>154</v>
      </c>
      <c r="B155" s="63"/>
      <c r="C155" s="64">
        <f>'Excercise - Al '!E155</f>
        <v>40303.628472222219</v>
      </c>
      <c r="D155" s="63" t="str">
        <f>IF('Excercise - Al '!F155&lt;&gt;0,'Excercise - Al '!F155,"")</f>
        <v>MISSION - POD</v>
      </c>
      <c r="E155" s="63" t="str">
        <f>IF('Excercise - Al '!G155&lt;&gt;"","MODE: "&amp;'Excercise - Al '!G155,"")&amp;IF('Excercise - Al '!H155&lt;&gt;"","   FROM: "&amp;'Excercise - Al '!H155,"")&amp;IF('Excercise - Al '!I155&lt;&gt;"","   INJECTED BY: "&amp;'Excercise - Al '!I155,"")&amp;IF('Excercise - Al '!J155&lt;&gt;"","   SEND TO: "&amp;'Excercise - Al '!J155,"")</f>
        <v>MODE: EMITS   FROM: AEMA ESF 7   INJECTED BY: SEOC LNO   SEND TO: JOC</v>
      </c>
      <c r="F155" s="63" t="str">
        <f>IF('Excercise - Al '!K155&lt;&gt;"","STORYLINE: "&amp;'Excercise - Al '!K155,"")&amp;IF('Excercise - Al '!M155&lt;&gt;"","   DESCRIPTION: "&amp;'Excercise - Al '!M155,"")&amp;IF('Excercise - Al '!O155&lt;&gt;"","   NOTES/REMARKS: "&amp;'Excercise - Al '!O155,"")&amp;IF('Excercise - Al '!Q155&lt;&gt;"","   BACKGROUND INFO: "&amp;'Excercise - Al '!Q155,"")</f>
        <v>STORYLINE: POD (Point of Distribution) Missions   DESCRIPTION: Mission to support Monroe County PODs</v>
      </c>
      <c r="G155" s="63" t="str">
        <f>IF('Excercise - Al '!P155&lt;&gt;"","IMPLEMENTER: "&amp;'Excercise - Al '!P155,"")</f>
        <v xml:space="preserve">IMPLEMENTER: Monroe County request ALNG to man and operate the following POD sites beginning at 0800 7 May 10.  Duration 8 days, POC is County ESF 7 Mr. Manucy.
Beatrice
Beatrice POD/VFD Station, 34 Robbins Street
Labor Personnel: 20.  POD Equipment Needed:  None.  
Security Personnel. 4.  Operational Hours: 12
Excel
Excel High School, 3010 Hwy 136 W
Labor Personnel: 20.  POD Equipment Needed:  2X Tents.  
Security Personnel. 2-4.  Operational Hours: 10
Frisco City
Frisco City, 200 School Street
Labor Personnel: 20.  POD Equipment Needed:  None.  
Security Personnel. 0.  Operational Hours: 8-10
Monroeville
Primary CSA and Resource Warehouse, 188 Sheffield Drive
Labor Personnel: 12.  POD Equipment Needed:  None.  
Security Personnel. 0.  Operational Hours: 12
</v>
      </c>
      <c r="H155" s="63" t="str">
        <f>IF('Excercise - Al '!N155&lt;&gt;"","EXPECTED ACTIONS: "&amp;'Excercise - Al '!N155,"")</f>
        <v/>
      </c>
      <c r="I155" s="63" t="str">
        <f>'Excercise - Al '!R155</f>
        <v>Keane</v>
      </c>
    </row>
    <row r="156" spans="1:9" s="24" customFormat="1" ht="270">
      <c r="A156" s="63">
        <f>'Excercise - Al '!A156</f>
        <v>155</v>
      </c>
      <c r="B156" s="63"/>
      <c r="C156" s="64">
        <f>'Excercise - Al '!E156</f>
        <v>40303.629166666666</v>
      </c>
      <c r="D156" s="63" t="str">
        <f>IF('Excercise - Al '!F156&lt;&gt;0,'Excercise - Al '!F156,"")</f>
        <v>MISSION - POD</v>
      </c>
      <c r="E156" s="63" t="str">
        <f>IF('Excercise - Al '!G156&lt;&gt;"","MODE: "&amp;'Excercise - Al '!G156,"")&amp;IF('Excercise - Al '!H156&lt;&gt;"","   FROM: "&amp;'Excercise - Al '!H156,"")&amp;IF('Excercise - Al '!I156&lt;&gt;"","   INJECTED BY: "&amp;'Excercise - Al '!I156,"")&amp;IF('Excercise - Al '!J156&lt;&gt;"","   SEND TO: "&amp;'Excercise - Al '!J156,"")</f>
        <v>MODE: EMITS   FROM: AEMA ESF 7   INJECTED BY: SEOC LNO   SEND TO: JOC</v>
      </c>
      <c r="F156" s="63" t="str">
        <f>IF('Excercise - Al '!K156&lt;&gt;"","STORYLINE: "&amp;'Excercise - Al '!K156,"")&amp;IF('Excercise - Al '!M156&lt;&gt;"","   DESCRIPTION: "&amp;'Excercise - Al '!M156,"")&amp;IF('Excercise - Al '!O156&lt;&gt;"","   NOTES/REMARKS: "&amp;'Excercise - Al '!O156,"")&amp;IF('Excercise - Al '!Q156&lt;&gt;"","   BACKGROUND INFO: "&amp;'Excercise - Al '!Q156,"")</f>
        <v>STORYLINE: POD (Point of Distribution) Missions   DESCRIPTION: Mission to support Clarke County PODs</v>
      </c>
      <c r="G156" s="63" t="str">
        <f>IF('Excercise - Al '!P156&lt;&gt;"","IMPLEMENTER: "&amp;'Excercise - Al '!P156,"")</f>
        <v xml:space="preserve">IMPLEMENTER: Clarke County request ALNG to man and operate the following POD sites beginning at 0800 7 May 10.  Duration 6-10 days, POC is County ESF 7 Mr. Carter.
Grove Hill
National Guard Armory, 22511 Highway 84
Labor Personnel: 20.  POD Equipment Needed:  forklift operator.  
Security Personnel. 4.  Operational Hours: 12
Jackson
National Guard Armory, 2405 Coffeeville Road
Labor Personnel:  20.  POD Equipment Needed:  1X Pallet Jack.  
Security Personnel. 2.  Operational Hours: 12
Thomasville
National Guard Armory, 31822 Highway 43
Labor Personnel: 20.  POD Equipment Needed:  None.  
Security Personnel. 4.  Operational Hours: 12
</v>
      </c>
      <c r="H156" s="63" t="str">
        <f>IF('Excercise - Al '!N156&lt;&gt;"","EXPECTED ACTIONS: "&amp;'Excercise - Al '!N156,"")</f>
        <v/>
      </c>
      <c r="I156" s="63" t="str">
        <f>'Excercise - Al '!R156</f>
        <v>Keane</v>
      </c>
    </row>
    <row r="157" spans="1:9" s="24" customFormat="1" ht="123.75">
      <c r="A157" s="63">
        <f>'Excercise - Al '!A157</f>
        <v>156</v>
      </c>
      <c r="B157" s="63"/>
      <c r="C157" s="64">
        <f>'Excercise - Al '!E157</f>
        <v>40303.629861111112</v>
      </c>
      <c r="D157" s="63" t="str">
        <f>IF('Excercise - Al '!F157&lt;&gt;0,'Excercise - Al '!F157,"")</f>
        <v>MISSION - POD</v>
      </c>
      <c r="E157" s="63" t="str">
        <f>IF('Excercise - Al '!G157&lt;&gt;"","MODE: "&amp;'Excercise - Al '!G157,"")&amp;IF('Excercise - Al '!H157&lt;&gt;"","   FROM: "&amp;'Excercise - Al '!H157,"")&amp;IF('Excercise - Al '!I157&lt;&gt;"","   INJECTED BY: "&amp;'Excercise - Al '!I157,"")&amp;IF('Excercise - Al '!J157&lt;&gt;"","   SEND TO: "&amp;'Excercise - Al '!J157,"")</f>
        <v>MODE: EMITS   FROM: AEMA ESF 7   INJECTED BY: SEOC LNO   SEND TO: JOC</v>
      </c>
      <c r="F157" s="63" t="str">
        <f>IF('Excercise - Al '!K157&lt;&gt;"","STORYLINE: "&amp;'Excercise - Al '!K157,"")&amp;IF('Excercise - Al '!M157&lt;&gt;"","   DESCRIPTION: "&amp;'Excercise - Al '!M157,"")&amp;IF('Excercise - Al '!O157&lt;&gt;"","   NOTES/REMARKS: "&amp;'Excercise - Al '!O157,"")&amp;IF('Excercise - Al '!Q157&lt;&gt;"","   BACKGROUND INFO: "&amp;'Excercise - Al '!Q157,"")</f>
        <v>STORYLINE: POD (Point of Distribution) Missions   DESCRIPTION: Mission to support Conecuh County PODs</v>
      </c>
      <c r="G157" s="63" t="str">
        <f>IF('Excercise - Al '!P157&lt;&gt;"","IMPLEMENTER: "&amp;'Excercise - Al '!P157,"")</f>
        <v>IMPLEMENTER: Conecuh County request ALNG to man and operate the following POD sites beginning at 0800 7 May 10.  Duration 8 days, POC is County ESF 7 Mrs. Collins.
Evergreen
Evergreen Airport Middleton Fld, Highway 84 W.
Labor Personnel: 20.  POD Equipment Needed:  None.  
Security Personnel. 0.  Operational Hours: 12</v>
      </c>
      <c r="H157" s="63" t="str">
        <f>IF('Excercise - Al '!N157&lt;&gt;"","EXPECTED ACTIONS: "&amp;'Excercise - Al '!N157,"")</f>
        <v/>
      </c>
      <c r="I157" s="63" t="str">
        <f>'Excercise - Al '!R157</f>
        <v>Keane</v>
      </c>
    </row>
    <row r="158" spans="1:9" s="24" customFormat="1" ht="56.25">
      <c r="A158" s="63">
        <f>'Excercise - Al '!A158</f>
        <v>157</v>
      </c>
      <c r="B158" s="63"/>
      <c r="C158" s="64">
        <f>'Excercise - Al '!E158</f>
        <v>40303.635416666664</v>
      </c>
      <c r="D158" s="63" t="str">
        <f>IF('Excercise - Al '!F158&lt;&gt;0,'Excercise - Al '!F158,"")</f>
        <v>INFO</v>
      </c>
      <c r="E158" s="63" t="str">
        <f>IF('Excercise - Al '!G158&lt;&gt;"","MODE: "&amp;'Excercise - Al '!G158,"")&amp;IF('Excercise - Al '!H158&lt;&gt;"","   FROM: "&amp;'Excercise - Al '!H158,"")&amp;IF('Excercise - Al '!I158&lt;&gt;"","   INJECTED BY: "&amp;'Excercise - Al '!I158,"")&amp;IF('Excercise - Al '!J158&lt;&gt;"","   SEND TO: "&amp;'Excercise - Al '!J158,"")</f>
        <v>MODE: Email   FROM: JTF S   INJECTED BY: BENTON   SEND TO: J3</v>
      </c>
      <c r="F158" s="63" t="str">
        <f>IF('Excercise - Al '!K158&lt;&gt;"","STORYLINE: "&amp;'Excercise - Al '!K158,"")&amp;IF('Excercise - Al '!M158&lt;&gt;"","   DESCRIPTION: "&amp;'Excercise - Al '!M158,"")&amp;IF('Excercise - Al '!O158&lt;&gt;"","   NOTES/REMARKS: "&amp;'Excercise - Al '!O158,"")&amp;IF('Excercise - Al '!Q158&lt;&gt;"","   BACKGROUND INFO: "&amp;'Excercise - Al '!Q158,"")</f>
        <v>STORYLINE: Combined with MSEL # 145   DESCRIPTION: 5-10 soldiers have become sick in the Orange Beach area, experiencing FLU like symptoms.</v>
      </c>
      <c r="G158" s="63" t="str">
        <f>IF('Excercise - Al '!P158&lt;&gt;"","IMPLEMENTER: "&amp;'Excercise - Al '!P158,"")</f>
        <v>IMPLEMENTER: 5-10 soldiers have become sick in the Orange Beach area, experiencing FLU like symptoms.</v>
      </c>
      <c r="H158" s="63" t="str">
        <f>IF('Excercise - Al '!N158&lt;&gt;"","EXPECTED ACTIONS: "&amp;'Excercise - Al '!N158,"")</f>
        <v/>
      </c>
      <c r="I158" s="63" t="str">
        <f>'Excercise - Al '!R158</f>
        <v>Benton</v>
      </c>
    </row>
    <row r="159" spans="1:9" s="24" customFormat="1" ht="45">
      <c r="A159" s="63">
        <f>'Excercise - Al '!A159</f>
        <v>158</v>
      </c>
      <c r="B159" s="63"/>
      <c r="C159" s="64">
        <f>'Excercise - Al '!E159</f>
        <v>40303.647222222222</v>
      </c>
      <c r="D159" s="63" t="str">
        <f>IF('Excercise - Al '!F159&lt;&gt;0,'Excercise - Al '!F159,"")</f>
        <v>RFI</v>
      </c>
      <c r="E159" s="63" t="str">
        <f>IF('Excercise - Al '!G159&lt;&gt;"","MODE: "&amp;'Excercise - Al '!G159,"")&amp;IF('Excercise - Al '!H159&lt;&gt;"","   FROM: "&amp;'Excercise - Al '!H159,"")&amp;IF('Excercise - Al '!I159&lt;&gt;"","   INJECTED BY: "&amp;'Excercise - Al '!I159,"")&amp;IF('Excercise - Al '!J159&lt;&gt;"","   SEND TO: "&amp;'Excercise - Al '!J159,"")</f>
        <v>MODE: Email   INJECTED BY: DENNIS</v>
      </c>
      <c r="F159" s="63" t="str">
        <f>IF('Excercise - Al '!K159&lt;&gt;"","STORYLINE: "&amp;'Excercise - Al '!K159,"")&amp;IF('Excercise - Al '!M159&lt;&gt;"","   DESCRIPTION: "&amp;'Excercise - Al '!M159,"")&amp;IF('Excercise - Al '!O159&lt;&gt;"","   NOTES/REMARKS: "&amp;'Excercise - Al '!O159,"")&amp;IF('Excercise - Al '!Q159&lt;&gt;"","   BACKGROUND INFO: "&amp;'Excercise - Al '!Q159,"")</f>
        <v>STORYLINE: Request will come from TFSAL   DESCRIPTION: A unit with 125 personnel is requesting one hot commercial meal per day.  Two restaurants are open in the area.</v>
      </c>
      <c r="G159" s="63" t="str">
        <f>IF('Excercise - Al '!P159&lt;&gt;"","IMPLEMENTER: "&amp;'Excercise - Al '!P159,"")</f>
        <v>IMPLEMENTER: A unit with 125 personnel is requesting one hot commercial meal per day.  Two restaurants are open in the area.</v>
      </c>
      <c r="H159" s="63" t="str">
        <f>IF('Excercise - Al '!N159&lt;&gt;"","EXPECTED ACTIONS: "&amp;'Excercise - Al '!N159,"")</f>
        <v/>
      </c>
      <c r="I159" s="63" t="str">
        <f>'Excercise - Al '!R159</f>
        <v>Therman</v>
      </c>
    </row>
    <row r="160" spans="1:9" s="24" customFormat="1" ht="270">
      <c r="A160" s="63">
        <f>'Excercise - Al '!A160</f>
        <v>159</v>
      </c>
      <c r="B160" s="63"/>
      <c r="C160" s="64">
        <f>'Excercise - Al '!E160</f>
        <v>40303.666666666664</v>
      </c>
      <c r="D160" s="63" t="str">
        <f>IF('Excercise - Al '!F160&lt;&gt;0,'Excercise - Al '!F160,"")</f>
        <v>INFO</v>
      </c>
      <c r="E160" s="63" t="str">
        <f>IF('Excercise - Al '!G160&lt;&gt;"","MODE: "&amp;'Excercise - Al '!G160,"")&amp;IF('Excercise - Al '!H160&lt;&gt;"","   FROM: "&amp;'Excercise - Al '!H160,"")&amp;IF('Excercise - Al '!I160&lt;&gt;"","   INJECTED BY: "&amp;'Excercise - Al '!I160,"")&amp;IF('Excercise - Al '!J160&lt;&gt;"","   SEND TO: "&amp;'Excercise - Al '!J160,"")</f>
        <v>MODE: Email   FROM: Simcell - National Hurricane Center   INJECTED BY: KEANE   SEND TO: JOC, All</v>
      </c>
      <c r="F160" s="63" t="str">
        <f>IF('Excercise - Al '!K160&lt;&gt;"","STORYLINE: "&amp;'Excercise - Al '!K160,"")&amp;IF('Excercise - Al '!M160&lt;&gt;"","   DESCRIPTION: "&amp;'Excercise - Al '!M160,"")&amp;IF('Excercise - Al '!O160&lt;&gt;"","   NOTES/REMARKS: "&amp;'Excercise - Al '!O160,"")&amp;IF('Excercise - Al '!Q160&lt;&gt;"","   BACKGROUND INFO: "&amp;'Excercise - Al '!Q160,"")</f>
        <v>STORYLINE: Tropical Storm Al Update 19   DESCRIPTION: Tropical Storm Al Update 19</v>
      </c>
      <c r="G160" s="63" t="str">
        <f>IF('Excercise - Al '!P160&lt;&gt;"","IMPLEMENTER: "&amp;'Excercise - Al '!P160,"")</f>
        <v xml:space="preserve">IMPLEMENTER: 
...HURRICANE AL NEAR LANDFALL...NORTHERLY COURSE PUSHING SLIGHTLY EASTWARD...
SUMMARY OF 500 PM EDT...2100 UTC...INFORMATION
-----------------------------------------------
LOCATION...28.2N 88.8W
ABOUT 141 MILES...228 KM...EAST-SOUTHEAST OF NEW ORLEANS LOUISIANA 
ABOUT 175 MILES...283 KM...SOUTH OF MOBILE ALABAMA 
ABOUT 367 MILES...591 KM...WEST OF CLEARWATER FLORIDA
MAXIMUM SUSTAINED WINDS...125 MPH...193 KM/HR
PRESENT MOVEMENT...NORTHERLY OR 7 DEGREES AT 12 MPH...19 KM/HR
MINIMUM CENTRAL PRESSURE 948 MB...27.99 INCHES
</v>
      </c>
      <c r="H160" s="63" t="str">
        <f>IF('Excercise - Al '!N160&lt;&gt;"","EXPECTED ACTIONS: "&amp;'Excercise - Al '!N160,"")</f>
        <v/>
      </c>
      <c r="I160" s="63" t="str">
        <f>'Excercise - Al '!R160</f>
        <v>Keane</v>
      </c>
    </row>
    <row r="161" spans="1:9" s="24" customFormat="1" ht="213.75">
      <c r="A161" s="63">
        <f>'Excercise - Al '!A161</f>
        <v>160</v>
      </c>
      <c r="B161" s="63"/>
      <c r="C161" s="64">
        <f>'Excercise - Al '!E161</f>
        <v>40303.677083333336</v>
      </c>
      <c r="D161" s="63" t="str">
        <f>IF('Excercise - Al '!F161&lt;&gt;0,'Excercise - Al '!F161,"")</f>
        <v>RFI</v>
      </c>
      <c r="E161" s="63" t="str">
        <f>IF('Excercise - Al '!G161&lt;&gt;"","MODE: "&amp;'Excercise - Al '!G161,"")&amp;IF('Excercise - Al '!H161&lt;&gt;"","   FROM: "&amp;'Excercise - Al '!H161,"")&amp;IF('Excercise - Al '!I161&lt;&gt;"","   INJECTED BY: "&amp;'Excercise - Al '!I161,"")&amp;IF('Excercise - Al '!J161&lt;&gt;"","   SEND TO: "&amp;'Excercise - Al '!J161,"")</f>
        <v>MODE: Email/cell   FROM: Convoy Commander   INJECTED BY: MCDONALD   SEND TO: TF-Alabama, JOC J-4</v>
      </c>
      <c r="F161" s="63" t="str">
        <f>IF('Excercise - Al '!K161&lt;&gt;"","STORYLINE: "&amp;'Excercise - Al '!K161,"")&amp;IF('Excercise - Al '!M161&lt;&gt;"","   DESCRIPTION: "&amp;'Excercise - Al '!M161,"")&amp;IF('Excercise - Al '!O161&lt;&gt;"","   NOTES/REMARKS: "&amp;'Excercise - Al '!O161,"")&amp;IF('Excercise - Al '!Q161&lt;&gt;"","   BACKGROUND INFO: "&amp;'Excercise - Al '!Q161,"")</f>
        <v>STORYLINE: Convoy request for 10 vehicles from 1343rd enroute to Fort Whiting, Mobile.   DESCRIPTION: Enroute Convoy Request   NOTES/REMARKS: Route request procedures by unit thru J-4  -Select another route due to debris, heavy traffic and an accident 
- Part II: Depending on the selected route an accident will occur producing heavy traffic, causing a route detour. If I-65 is the primary route the accident will occur after reaching the City of Evergreen and before Barnett Crossroads. 
   BACKGROUND INFO: Det 1, 1343rd in-conjunction with 1343rd (Chem Co) are tasked to support military operations in the Mobile/Gulf Shores area. Det 1 (4 military vehicles), must link-up with 1343rd Chem Co (6 military vehicles) and convoy to Fort Whiting, Mobile to conduct military operations.</v>
      </c>
      <c r="G161" s="63" t="str">
        <f>IF('Excercise - Al '!P161&lt;&gt;"","IMPLEMENTER: "&amp;'Excercise - Al '!P161,"")</f>
        <v>IMPLEMENTER: Det 1, 1343rd in-conjunction with 1343rd (Chem Co) are tasked to support military operations in the Mobile/Gulf Shores area. Det 1 (4 military vehicles), must link-up with 1343rd Chem Co (6 military vehicles) and convoy to Fort Whiting, Mobile to conduct military operations. 4 vehicles convoy from Det 1 1343rd (Chem CO), Fort Payne and 6 vehicles from 1343rd (Chem CO) Centre, convoy to Mobile to assist in military operations (Security operations).</v>
      </c>
      <c r="H161" s="63" t="str">
        <f>IF('Excercise - Al '!N161&lt;&gt;"","EXPECTED ACTIONS: "&amp;'Excercise - Al '!N161,"")</f>
        <v>EXPECTED ACTIONS: Request for Alternative route, while traveling to Mobile. How is the detour route coordinated (unit thru DOL) and who approved (J-4/DOL)</v>
      </c>
      <c r="I161" s="63" t="str">
        <f>'Excercise - Al '!R161</f>
        <v>McDonald</v>
      </c>
    </row>
    <row r="162" spans="1:9" s="24" customFormat="1" ht="101.25">
      <c r="A162" s="63">
        <f>'Excercise - Al '!A162</f>
        <v>161</v>
      </c>
      <c r="B162" s="63"/>
      <c r="C162" s="64">
        <f>'Excercise - Al '!E162</f>
        <v>40304.291666666664</v>
      </c>
      <c r="D162" s="63" t="str">
        <f>IF('Excercise - Al '!F162&lt;&gt;0,'Excercise - Al '!F162,"")</f>
        <v>RFI</v>
      </c>
      <c r="E162" s="63" t="str">
        <f>IF('Excercise - Al '!G162&lt;&gt;"","MODE: "&amp;'Excercise - Al '!G162,"")&amp;IF('Excercise - Al '!H162&lt;&gt;"","   FROM: "&amp;'Excercise - Al '!H162,"")&amp;IF('Excercise - Al '!I162&lt;&gt;"","   INJECTED BY: "&amp;'Excercise - Al '!I162,"")&amp;IF('Excercise - Al '!J162&lt;&gt;"","   SEND TO: "&amp;'Excercise - Al '!J162,"")</f>
        <v>MODE: Email   FROM: JTF-N   INJECTED BY: BENTON   SEND TO: J3 w/AVN</v>
      </c>
      <c r="F162" s="63" t="str">
        <f>IF('Excercise - Al '!K162&lt;&gt;"","STORYLINE: "&amp;'Excercise - Al '!K162,"")&amp;IF('Excercise - Al '!M162&lt;&gt;"","   DESCRIPTION: "&amp;'Excercise - Al '!M162,"")&amp;IF('Excercise - Al '!O162&lt;&gt;"","   NOTES/REMARKS: "&amp;'Excercise - Al '!O162,"")&amp;IF('Excercise - Al '!Q162&lt;&gt;"","   BACKGROUND INFO: "&amp;'Excercise - Al '!Q162,"")</f>
        <v xml:space="preserve">STORYLINE: Changed to a Sexual Assualt Inject   DESCRIPTION: A SM from JTF South was brought to sick call this morning by battle buddy.  SM was badley beaten and raped around 0200 by a fellow soldier.  </v>
      </c>
      <c r="G162" s="63" t="str">
        <f>IF('Excercise - Al '!P162&lt;&gt;"","IMPLEMENTER: "&amp;'Excercise - Al '!P162,"")</f>
        <v>IMPLEMENTER: A SM from JTF South was brought to sick call this morning by battle buddy.  SM was badley beaten and raped around 0200 by a fellow soldier.  TF MED (JTFS) has stabilized the SM injuries and  completed initial mental health evaluation.  TF MED is requesting SM be evacuated back to HOR (Birmingham) by MEDEVAC to complete follow up medical care.</v>
      </c>
      <c r="H162" s="63" t="str">
        <f>IF('Excercise - Al '!N162&lt;&gt;"","EXPECTED ACTIONS: "&amp;'Excercise - Al '!N162,"")</f>
        <v/>
      </c>
      <c r="I162" s="63" t="str">
        <f>'Excercise - Al '!R162</f>
        <v>Benton</v>
      </c>
    </row>
    <row r="163" spans="1:9" s="24" customFormat="1" ht="191.25">
      <c r="A163" s="63">
        <f>'Excercise - Al '!A163</f>
        <v>162</v>
      </c>
      <c r="B163" s="63"/>
      <c r="C163" s="64">
        <f>'Excercise - Al '!E163</f>
        <v>40303.697916666664</v>
      </c>
      <c r="D163" s="63" t="str">
        <f>IF('Excercise - Al '!F163&lt;&gt;0,'Excercise - Al '!F163,"")</f>
        <v>INFO</v>
      </c>
      <c r="E163" s="63" t="str">
        <f>IF('Excercise - Al '!G163&lt;&gt;"","MODE: "&amp;'Excercise - Al '!G163,"")&amp;IF('Excercise - Al '!H163&lt;&gt;"","   FROM: "&amp;'Excercise - Al '!H163,"")&amp;IF('Excercise - Al '!I163&lt;&gt;"","   INJECTED BY: "&amp;'Excercise - Al '!I163,"")&amp;IF('Excercise - Al '!J163&lt;&gt;"","   SEND TO: "&amp;'Excercise - Al '!J163,"")</f>
        <v>MODE: Phone   FROM: Simcell (LEA)   INJECTED BY: SEOC LNO   SEND TO: JOC Message Center</v>
      </c>
      <c r="F163" s="63" t="str">
        <f>IF('Excercise - Al '!K163&lt;&gt;"","STORYLINE: "&amp;'Excercise - Al '!K163,"")&amp;IF('Excercise - Al '!M163&lt;&gt;"","   DESCRIPTION: "&amp;'Excercise - Al '!M163,"")&amp;IF('Excercise - Al '!O163&lt;&gt;"","   NOTES/REMARKS: "&amp;'Excercise - Al '!O163,"")&amp;IF('Excercise - Al '!Q163&lt;&gt;"","   BACKGROUND INFO: "&amp;'Excercise - Al '!Q163,"")</f>
        <v>STORYLINE: Soldier - Citizen Confrontation   DESCRIPTION: Evergreen Police Department reports that a citizen has reported an assault by a NG Soldier.   NOTES/REMARKS: Evergreen Police Department reports that a citizen has walked into their office stating that a Soldier assaulted them in their vehicle at County Hwy 20 and I-65. Police Department states that it also appears the Soldier kicked in the right fender and light of  the citizens car. Assistant Police Chief Fitzgerald wants to know if we have Soldiers in that area? He is on his way out to the scene where the alleged assault occurred.</v>
      </c>
      <c r="G163" s="63" t="str">
        <f>IF('Excercise - Al '!P163&lt;&gt;"","IMPLEMENTER: "&amp;'Excercise - Al '!P163,"")</f>
        <v>IMPLEMENTER: Hi I'm MAJ Fitzgerald the Assistant Police Chief with the Evergreen Police Department. I just had a citizen arrive at our headquarters wishing to file a complaint on an Army Soldier. He stated he was attempting to take I-85 South heading towards Mobile to pick up his elderly Father and a Soldier stopped him and yelled "you need to turn your ass around". He stated that the Soldier then kicked his car, causing damage. He further stated he then got out of his vehicle and approached the Soldier and the Soldier struck him with a closed hand in the face. I'm now on my way out to the scene and just wanted to give you heads up on what has occurred. I take it you have Soldier's in the area doing that lane reversal?</v>
      </c>
      <c r="H163" s="63" t="str">
        <f>IF('Excercise - Al '!N163&lt;&gt;"","EXPECTED ACTIONS: "&amp;'Excercise - Al '!N163,"")</f>
        <v/>
      </c>
      <c r="I163" s="63" t="str">
        <f>'Excercise - Al '!R163</f>
        <v>Wheeler</v>
      </c>
    </row>
    <row r="164" spans="1:9" s="24" customFormat="1" ht="90">
      <c r="A164" s="63">
        <f>'Excercise - Al '!A164</f>
        <v>163</v>
      </c>
      <c r="B164" s="63"/>
      <c r="C164" s="64">
        <f>'Excercise - Al '!E164</f>
        <v>40303.711111111123</v>
      </c>
      <c r="D164" s="63" t="str">
        <f>IF('Excercise - Al '!F164&lt;&gt;0,'Excercise - Al '!F164,"")</f>
        <v>RFI</v>
      </c>
      <c r="E164" s="63" t="str">
        <f>IF('Excercise - Al '!G164&lt;&gt;"","MODE: "&amp;'Excercise - Al '!G164,"")&amp;IF('Excercise - Al '!H164&lt;&gt;"","   FROM: "&amp;'Excercise - Al '!H164,"")&amp;IF('Excercise - Al '!I164&lt;&gt;"","   INJECTED BY: "&amp;'Excercise - Al '!I164,"")&amp;IF('Excercise - Al '!J164&lt;&gt;"","   SEND TO: "&amp;'Excercise - Al '!J164,"")</f>
        <v>MODE: Email   INJECTED BY: HICKS</v>
      </c>
      <c r="F164" s="63" t="str">
        <f>IF('Excercise - Al '!K164&lt;&gt;"","STORYLINE: "&amp;'Excercise - Al '!K164,"")&amp;IF('Excercise - Al '!M164&lt;&gt;"","   DESCRIPTION: "&amp;'Excercise - Al '!M164,"")&amp;IF('Excercise - Al '!O164&lt;&gt;"","   NOTES/REMARKS: "&amp;'Excercise - Al '!O164,"")&amp;IF('Excercise - Al '!Q164&lt;&gt;"","   BACKGROUND INFO: "&amp;'Excercise - Al '!Q164,"")</f>
        <v>STORYLINE: CHAPLAIN &amp; UMT ACTIIVITIES   DESCRIPTION: Civil/Military relations &amp; procurement of Kosher MRE’s   BACKGROUND INFO: Followup to Chaplian inject for shelter and looters.</v>
      </c>
      <c r="G164" s="63" t="str">
        <f>IF('Excercise - Al '!P164&lt;&gt;"","IMPLEMENTER: "&amp;'Excercise - Al '!P164,"")</f>
        <v>IMPLEMENTER: Jewish civilians at the Red Cross shelter have no kosher food and have ask the ARNG chaplain for assistance in obtaining some of theirs. Can these be given to the civilians and how can they be obtained?</v>
      </c>
      <c r="H164" s="63" t="str">
        <f>IF('Excercise - Al '!N164&lt;&gt;"","EXPECTED ACTIONS: "&amp;'Excercise - Al '!N164,"")</f>
        <v>EXPECTED ACTIONS: Evaluate request on four-fold test with interface with J-4</v>
      </c>
      <c r="I164" s="63" t="str">
        <f>'Excercise - Al '!R164</f>
        <v>Hicks</v>
      </c>
    </row>
    <row r="165" spans="1:9" s="24" customFormat="1" ht="90">
      <c r="A165" s="63">
        <f>'Excercise - Al '!A165</f>
        <v>164</v>
      </c>
      <c r="B165" s="63"/>
      <c r="C165" s="64">
        <f>'Excercise - Al '!E165</f>
        <v>40303.75</v>
      </c>
      <c r="D165" s="63" t="str">
        <f>IF('Excercise - Al '!F165&lt;&gt;0,'Excercise - Al '!F165,"")</f>
        <v>RFI</v>
      </c>
      <c r="E165" s="63" t="str">
        <f>IF('Excercise - Al '!G165&lt;&gt;"","MODE: "&amp;'Excercise - Al '!G165,"")&amp;IF('Excercise - Al '!H165&lt;&gt;"","   FROM: "&amp;'Excercise - Al '!H165,"")&amp;IF('Excercise - Al '!I165&lt;&gt;"","   INJECTED BY: "&amp;'Excercise - Al '!I165,"")&amp;IF('Excercise - Al '!J165&lt;&gt;"","   SEND TO: "&amp;'Excercise - Al '!J165,"")</f>
        <v>MODE: Email   INJECTED BY: HICKS</v>
      </c>
      <c r="F165" s="63" t="str">
        <f>IF('Excercise - Al '!K165&lt;&gt;"","STORYLINE: "&amp;'Excercise - Al '!K165,"")&amp;IF('Excercise - Al '!M165&lt;&gt;"","   DESCRIPTION: "&amp;'Excercise - Al '!M165,"")&amp;IF('Excercise - Al '!O165&lt;&gt;"","   NOTES/REMARKS: "&amp;'Excercise - Al '!O165,"")&amp;IF('Excercise - Al '!Q165&lt;&gt;"","   BACKGROUND INFO: "&amp;'Excercise - Al '!Q165,"")</f>
        <v>STORYLINE: CHAPLAIN &amp; UMT ACTIIVITIES   DESCRIPTION: Baptist Home for the Elderly request a UMT (unit ministry team) to help evacuate members to another location.  UMT team are Baptists and want to help.</v>
      </c>
      <c r="G165" s="63" t="str">
        <f>IF('Excercise - Al '!P165&lt;&gt;"","IMPLEMENTER: "&amp;'Excercise - Al '!P165,"")</f>
        <v>IMPLEMENTER: Baptist Home for the Elderly request a UMT (unit ministry team) to help evacuate members to another location.  UMT team are Baptists and want to help.</v>
      </c>
      <c r="H165" s="63" t="str">
        <f>IF('Excercise - Al '!N165&lt;&gt;"","EXPECTED ACTIONS: "&amp;'Excercise - Al '!N165,"")</f>
        <v>EXPECTED ACTIONS: Evaluate request according the four-fold protocol</v>
      </c>
      <c r="I165" s="63" t="str">
        <f>'Excercise - Al '!R165</f>
        <v>Hicks</v>
      </c>
    </row>
    <row r="166" spans="1:9" s="24" customFormat="1" ht="56.25">
      <c r="A166" s="63">
        <f>'Excercise - Al '!A166</f>
        <v>165</v>
      </c>
      <c r="B166" s="63"/>
      <c r="C166" s="64">
        <f>'Excercise - Al '!E166</f>
        <v>40303.750694444447</v>
      </c>
      <c r="D166" s="63" t="str">
        <f>IF('Excercise - Al '!F166&lt;&gt;0,'Excercise - Al '!F166,"")</f>
        <v>RFI</v>
      </c>
      <c r="E166" s="63" t="str">
        <f>IF('Excercise - Al '!G166&lt;&gt;"","MODE: "&amp;'Excercise - Al '!G166,"")&amp;IF('Excercise - Al '!H166&lt;&gt;"","   FROM: "&amp;'Excercise - Al '!H166,"")&amp;IF('Excercise - Al '!I166&lt;&gt;"","   INJECTED BY: "&amp;'Excercise - Al '!I166,"")&amp;IF('Excercise - Al '!J166&lt;&gt;"","   SEND TO: "&amp;'Excercise - Al '!J166,"")</f>
        <v>MODE: Email   FROM: SimCell (LEA)   INJECTED BY: TOMBERLIN   SEND TO: JOC</v>
      </c>
      <c r="F166" s="63" t="str">
        <f>IF('Excercise - Al '!K166&lt;&gt;"","STORYLINE: "&amp;'Excercise - Al '!K166,"")&amp;IF('Excercise - Al '!M166&lt;&gt;"","   DESCRIPTION: "&amp;'Excercise - Al '!M166,"")&amp;IF('Excercise - Al '!O166&lt;&gt;"","   NOTES/REMARKS: "&amp;'Excercise - Al '!O166,"")&amp;IF('Excercise - Al '!Q166&lt;&gt;"","   BACKGROUND INFO: "&amp;'Excercise - Al '!Q166,"")</f>
        <v xml:space="preserve">   DESCRIPTION: Sheriff deputy (Guard M-day officer) requests evacuation assistance   BACKGROUND INFO: Should refer this request to State EOC</v>
      </c>
      <c r="G166" s="63" t="str">
        <f>IF('Excercise - Al '!P166&lt;&gt;"","IMPLEMENTER: "&amp;'Excercise - Al '!P166,"")</f>
        <v>IMPLEMENTER: Sheriff deputy is Guards M-day officer requests evacuation assistance</v>
      </c>
      <c r="H166" s="63" t="str">
        <f>IF('Excercise - Al '!N166&lt;&gt;"","EXPECTED ACTIONS: "&amp;'Excercise - Al '!N166,"")</f>
        <v/>
      </c>
      <c r="I166" s="63" t="str">
        <f>'Excercise - Al '!R166</f>
        <v>Kahl</v>
      </c>
    </row>
    <row r="167" spans="1:9" s="24" customFormat="1" ht="56.25">
      <c r="A167" s="63">
        <f>'Excercise - Al '!A167</f>
        <v>166</v>
      </c>
      <c r="B167" s="63"/>
      <c r="C167" s="64">
        <f>'Excercise - Al '!E167</f>
        <v>40303.760416666664</v>
      </c>
      <c r="D167" s="63" t="str">
        <f>IF('Excercise - Al '!F167&lt;&gt;0,'Excercise - Al '!F167,"")</f>
        <v>INFO</v>
      </c>
      <c r="E167" s="63" t="str">
        <f>IF('Excercise - Al '!G167&lt;&gt;"","MODE: "&amp;'Excercise - Al '!G167,"")&amp;IF('Excercise - Al '!H167&lt;&gt;"","   FROM: "&amp;'Excercise - Al '!H167,"")&amp;IF('Excercise - Al '!I167&lt;&gt;"","   INJECTED BY: "&amp;'Excercise - Al '!I167,"")&amp;IF('Excercise - Al '!J167&lt;&gt;"","   SEND TO: "&amp;'Excercise - Al '!J167,"")</f>
        <v>MODE: Email   FROM: AEMA   INJECTED BY: BENTON   SEND TO: J3</v>
      </c>
      <c r="F167" s="63" t="str">
        <f>IF('Excercise - Al '!K167&lt;&gt;"","STORYLINE: "&amp;'Excercise - Al '!K167,"")&amp;IF('Excercise - Al '!M167&lt;&gt;"","   DESCRIPTION: "&amp;'Excercise - Al '!M167,"")&amp;IF('Excercise - Al '!O167&lt;&gt;"","   NOTES/REMARKS: "&amp;'Excercise - Al '!O167,"")&amp;IF('Excercise - Al '!Q167&lt;&gt;"","   BACKGROUND INFO: "&amp;'Excercise - Al '!Q167,"")</f>
        <v xml:space="preserve">   DESCRIPTION: AEMA preliminary report indicates civilians getting sick after drinking from a National Guard water trailer (M112) VIC Foley Courthouse</v>
      </c>
      <c r="G167" s="63" t="str">
        <f>IF('Excercise - Al '!P167&lt;&gt;"","IMPLEMENTER: "&amp;'Excercise - Al '!P167,"")</f>
        <v>IMPLEMENTER: AEMA preliminary report indicates civilians getting sick after drinking from a National Guard water trailer (M112) VIC Foley Courthouse</v>
      </c>
      <c r="H167" s="63" t="str">
        <f>IF('Excercise - Al '!N167&lt;&gt;"","EXPECTED ACTIONS: "&amp;'Excercise - Al '!N167,"")</f>
        <v/>
      </c>
      <c r="I167" s="63" t="str">
        <f>'Excercise - Al '!R167</f>
        <v>Benton</v>
      </c>
    </row>
    <row r="168" spans="1:9" s="24" customFormat="1" ht="56.25">
      <c r="A168" s="63">
        <f>'Excercise - Al '!A168</f>
        <v>167</v>
      </c>
      <c r="B168" s="63"/>
      <c r="C168" s="64">
        <f>'Excercise - Al '!E168</f>
        <v>40303.767361111109</v>
      </c>
      <c r="D168" s="63" t="str">
        <f>IF('Excercise - Al '!F168&lt;&gt;0,'Excercise - Al '!F168,"")</f>
        <v>INFO</v>
      </c>
      <c r="E168" s="63" t="str">
        <f>IF('Excercise - Al '!G168&lt;&gt;"","MODE: "&amp;'Excercise - Al '!G168,"")&amp;IF('Excercise - Al '!H168&lt;&gt;"","   FROM: "&amp;'Excercise - Al '!H168,"")&amp;IF('Excercise - Al '!I168&lt;&gt;"","   INJECTED BY: "&amp;'Excercise - Al '!I168,"")&amp;IF('Excercise - Al '!J168&lt;&gt;"","   SEND TO: "&amp;'Excercise - Al '!J168,"")</f>
        <v>MODE: Email   FROM: AEMA   INJECTED BY: BENTON   SEND TO: J1</v>
      </c>
      <c r="F168" s="63" t="str">
        <f>IF('Excercise - Al '!K168&lt;&gt;"","STORYLINE: "&amp;'Excercise - Al '!K168,"")&amp;IF('Excercise - Al '!M168&lt;&gt;"","   DESCRIPTION: "&amp;'Excercise - Al '!M168,"")&amp;IF('Excercise - Al '!O168&lt;&gt;"","   NOTES/REMARKS: "&amp;'Excercise - Al '!O168,"")&amp;IF('Excercise - Al '!Q168&lt;&gt;"","   BACKGROUND INFO: "&amp;'Excercise - Al '!Q168,"")</f>
        <v xml:space="preserve">   DESCRIPTION: AEMA preliminary report indicates civilians getting sick after drinking from a National Guard water trailer (M112) VIC Dauphin Island</v>
      </c>
      <c r="G168" s="63" t="str">
        <f>IF('Excercise - Al '!P168&lt;&gt;"","IMPLEMENTER: "&amp;'Excercise - Al '!P168,"")</f>
        <v>IMPLEMENTER: AEMA preliminary report indicates civilians getting sick after drinking from a National Guard water trailer (M112) VIC Dauphin Island</v>
      </c>
      <c r="H168" s="63" t="str">
        <f>IF('Excercise - Al '!N168&lt;&gt;"","EXPECTED ACTIONS: "&amp;'Excercise - Al '!N168,"")</f>
        <v/>
      </c>
      <c r="I168" s="63" t="str">
        <f>'Excercise - Al '!R168</f>
        <v>Benton</v>
      </c>
    </row>
    <row r="169" spans="1:9" s="24" customFormat="1" ht="56.25">
      <c r="A169" s="63">
        <f>'Excercise - Al '!A169</f>
        <v>168</v>
      </c>
      <c r="B169" s="63"/>
      <c r="C169" s="64">
        <f>'Excercise - Al '!E169</f>
        <v>40303.802083333336</v>
      </c>
      <c r="D169" s="63" t="str">
        <f>IF('Excercise - Al '!F169&lt;&gt;0,'Excercise - Al '!F169,"")</f>
        <v>RFI</v>
      </c>
      <c r="E169" s="63" t="str">
        <f>IF('Excercise - Al '!G169&lt;&gt;"","MODE: "&amp;'Excercise - Al '!G169,"")&amp;IF('Excercise - Al '!H169&lt;&gt;"","   FROM: "&amp;'Excercise - Al '!H169,"")&amp;IF('Excercise - Al '!I169&lt;&gt;"","   INJECTED BY: "&amp;'Excercise - Al '!I169,"")&amp;IF('Excercise - Al '!J169&lt;&gt;"","   SEND TO: "&amp;'Excercise - Al '!J169,"")</f>
        <v>MODE: Email   FROM: JTF S   INJECTED BY: JOHNSON   SEND TO: J1</v>
      </c>
      <c r="F169" s="63" t="str">
        <f>IF('Excercise - Al '!K169&lt;&gt;"","STORYLINE: "&amp;'Excercise - Al '!K169,"")&amp;IF('Excercise - Al '!M169&lt;&gt;"","   DESCRIPTION: "&amp;'Excercise - Al '!M169,"")&amp;IF('Excercise - Al '!O169&lt;&gt;"","   NOTES/REMARKS: "&amp;'Excercise - Al '!O169,"")&amp;IF('Excercise - Al '!Q169&lt;&gt;"","   BACKGROUND INFO: "&amp;'Excercise - Al '!Q169,"")</f>
        <v xml:space="preserve">   DESCRIPTION: Soldier's mother calls the American Red Cross Shelters trying to contact her son who is deployed to Atmore.  She wants to send a Red Cross message that his Uncle has died suddenly.</v>
      </c>
      <c r="G169" s="63" t="str">
        <f>IF('Excercise - Al '!P169&lt;&gt;"","IMPLEMENTER: "&amp;'Excercise - Al '!P169,"")</f>
        <v>IMPLEMENTER: Soldier's mother calls the American Red Cross Shelters trying to contact her son who is deployed to Atmore.  She wants to send a Red Cross message that his Uncle has died suddenly.</v>
      </c>
      <c r="H169" s="63" t="str">
        <f>IF('Excercise - Al '!N169&lt;&gt;"","EXPECTED ACTIONS: "&amp;'Excercise - Al '!N169,"")</f>
        <v/>
      </c>
      <c r="I169" s="63" t="str">
        <f>'Excercise - Al '!R169</f>
        <v>Benton</v>
      </c>
    </row>
    <row r="170" spans="1:9" s="24" customFormat="1" ht="33.75">
      <c r="A170" s="63">
        <f>'Excercise - Al '!A170</f>
        <v>169</v>
      </c>
      <c r="B170" s="63"/>
      <c r="C170" s="64">
        <f>'Excercise - Al '!E170</f>
        <v>40303.802777777775</v>
      </c>
      <c r="D170" s="63" t="str">
        <f>IF('Excercise - Al '!F170&lt;&gt;0,'Excercise - Al '!F170,"")</f>
        <v>RFI</v>
      </c>
      <c r="E170" s="63" t="str">
        <f>IF('Excercise - Al '!G170&lt;&gt;"","MODE: "&amp;'Excercise - Al '!G170,"")&amp;IF('Excercise - Al '!H170&lt;&gt;"","   FROM: "&amp;'Excercise - Al '!H170,"")&amp;IF('Excercise - Al '!I170&lt;&gt;"","   INJECTED BY: "&amp;'Excercise - Al '!I170,"")&amp;IF('Excercise - Al '!J170&lt;&gt;"","   SEND TO: "&amp;'Excercise - Al '!J170,"")</f>
        <v>MODE: Email   INJECTED BY: DENNIS</v>
      </c>
      <c r="F170" s="63" t="str">
        <f>IF('Excercise - Al '!K170&lt;&gt;"","STORYLINE: "&amp;'Excercise - Al '!K170,"")&amp;IF('Excercise - Al '!M170&lt;&gt;"","   DESCRIPTION: "&amp;'Excercise - Al '!M170,"")&amp;IF('Excercise - Al '!O170&lt;&gt;"","   NOTES/REMARKS: "&amp;'Excercise - Al '!O170,"")&amp;IF('Excercise - Al '!Q170&lt;&gt;"","   BACKGROUND INFO: "&amp;'Excercise - Al '!Q170,"")</f>
        <v xml:space="preserve">   DESCRIPTION: TF South are requesting 50 port-o-let for units.</v>
      </c>
      <c r="G170" s="63" t="str">
        <f>IF('Excercise - Al '!P170&lt;&gt;"","IMPLEMENTER: "&amp;'Excercise - Al '!P170,"")</f>
        <v>IMPLEMENTER: TF South are requesting 50 port-o-let for units.</v>
      </c>
      <c r="H170" s="63" t="str">
        <f>IF('Excercise - Al '!N170&lt;&gt;"","EXPECTED ACTIONS: "&amp;'Excercise - Al '!N170,"")</f>
        <v/>
      </c>
      <c r="I170" s="63" t="str">
        <f>'Excercise - Al '!R170</f>
        <v>Therman</v>
      </c>
    </row>
    <row r="171" spans="1:9" s="24" customFormat="1" ht="236.25">
      <c r="A171" s="63">
        <f>'Excercise - Al '!A171</f>
        <v>170</v>
      </c>
      <c r="B171" s="63"/>
      <c r="C171" s="64">
        <f>'Excercise - Al '!E171</f>
        <v>40303.916666666664</v>
      </c>
      <c r="D171" s="63" t="str">
        <f>IF('Excercise - Al '!F171&lt;&gt;0,'Excercise - Al '!F171,"")</f>
        <v>INFO</v>
      </c>
      <c r="E171" s="63" t="str">
        <f>IF('Excercise - Al '!G171&lt;&gt;"","MODE: "&amp;'Excercise - Al '!G171,"")&amp;IF('Excercise - Al '!H171&lt;&gt;"","   FROM: "&amp;'Excercise - Al '!H171,"")&amp;IF('Excercise - Al '!I171&lt;&gt;"","   INJECTED BY: "&amp;'Excercise - Al '!I171,"")&amp;IF('Excercise - Al '!J171&lt;&gt;"","   SEND TO: "&amp;'Excercise - Al '!J171,"")</f>
        <v>MODE: Email   FROM: Simcell - National Hurricane Center   INJECTED BY: KEANE   SEND TO: JOC, All</v>
      </c>
      <c r="F171" s="63" t="str">
        <f>IF('Excercise - Al '!K171&lt;&gt;"","STORYLINE: "&amp;'Excercise - Al '!K171,"")&amp;IF('Excercise - Al '!M171&lt;&gt;"","   DESCRIPTION: "&amp;'Excercise - Al '!M171,"")&amp;IF('Excercise - Al '!O171&lt;&gt;"","   NOTES/REMARKS: "&amp;'Excercise - Al '!O171,"")&amp;IF('Excercise - Al '!Q171&lt;&gt;"","   BACKGROUND INFO: "&amp;'Excercise - Al '!Q171,"")</f>
        <v>STORYLINE: Tropical Storm Al Update 20   DESCRIPTION: Tropical Storm Al Update 20</v>
      </c>
      <c r="G171" s="63" t="str">
        <f>IF('Excercise - Al '!P171&lt;&gt;"","IMPLEMENTER: "&amp;'Excercise - Al '!P171,"")</f>
        <v xml:space="preserve">IMPLEMENTER: 
...HURRICANE AL APPROACHES THE GULF COAST...
SUMMARY OF 1100 PM EDT...0300 UTC...INFORMATION
-----------------------------------------------
LOCATION...29.2N 88.6W
ABOUT 102 MILES...164 KM...EAST-SOUTHEAST OF NEW ORLEANS LOUISIANA 
ABOUT 108 MILES...174 KM...SOUTH-SOUTHWEST OF MOBILE ALABAMA 
MAXIMUM SUSTAINED WINDS...130 MPH...209 KM/HR
PRESENT MOVEMENT...NORTHERLY OR 12 DEGREES AT 10 MPH...16 KM/HR
MINIMUM CENTRAL PRESSURE 945 MB...27.91 INCHES
</v>
      </c>
      <c r="H171" s="63" t="str">
        <f>IF('Excercise - Al '!N171&lt;&gt;"","EXPECTED ACTIONS: "&amp;'Excercise - Al '!N171,"")</f>
        <v/>
      </c>
      <c r="I171" s="63" t="str">
        <f>'Excercise - Al '!R171</f>
        <v>Keane</v>
      </c>
    </row>
    <row r="172" spans="1:9" s="24" customFormat="1" ht="236.25">
      <c r="A172" s="63">
        <f>'Excercise - Al '!A172</f>
        <v>171</v>
      </c>
      <c r="B172" s="63"/>
      <c r="C172" s="64">
        <f>'Excercise - Al '!E172</f>
        <v>40304.166666666664</v>
      </c>
      <c r="D172" s="63" t="str">
        <f>IF('Excercise - Al '!F172&lt;&gt;0,'Excercise - Al '!F172,"")</f>
        <v>INFO</v>
      </c>
      <c r="E172" s="63" t="str">
        <f>IF('Excercise - Al '!G172&lt;&gt;"","MODE: "&amp;'Excercise - Al '!G172,"")&amp;IF('Excercise - Al '!H172&lt;&gt;"","   FROM: "&amp;'Excercise - Al '!H172,"")&amp;IF('Excercise - Al '!I172&lt;&gt;"","   INJECTED BY: "&amp;'Excercise - Al '!I172,"")&amp;IF('Excercise - Al '!J172&lt;&gt;"","   SEND TO: "&amp;'Excercise - Al '!J172,"")</f>
        <v>MODE: Email   FROM: Simcell - National Hurricane Center   INJECTED BY: KEANE   SEND TO: JOC, All</v>
      </c>
      <c r="F172" s="63" t="str">
        <f>IF('Excercise - Al '!K172&lt;&gt;"","STORYLINE: "&amp;'Excercise - Al '!K172,"")&amp;IF('Excercise - Al '!M172&lt;&gt;"","   DESCRIPTION: "&amp;'Excercise - Al '!M172,"")&amp;IF('Excercise - Al '!O172&lt;&gt;"","   NOTES/REMARKS: "&amp;'Excercise - Al '!O172,"")&amp;IF('Excercise - Al '!Q172&lt;&gt;"","   BACKGROUND INFO: "&amp;'Excercise - Al '!Q172,"")</f>
        <v>STORYLINE: Tropical Storm Al Update 21   DESCRIPTION: Tropical Storm Al Update 21</v>
      </c>
      <c r="G172" s="63" t="str">
        <f>IF('Excercise - Al '!P172&lt;&gt;"","IMPLEMENTER: "&amp;'Excercise - Al '!P172,"")</f>
        <v xml:space="preserve">IMPLEMENTER: 
...HURRICANE AL LANDFALL IMMINENT BETWEEN BILOXI AND MOBILE...
SUMMARY OF 500 AM EDT...0900 UTC...INFORMATION
-----------------------------------------------
LOCATION...30.1N 88.4W
ABOUT 46 MILES...73 KM...SOUTH-SOUTHWEST OF MOBILE ALABAMA
ABOUT 100 MILES...162KM...EAST OF NEW ORLEANS LOUISIANA 
MAXIMUM SUSTAINED WINDS...145 MPH...233 KM/HR
PRESENT MOVEMENT...NORTHERLY OR 19 DEGREES AT 10 MPH...16 KM/HR
MINIMUM CENTRAL PRESSURE 944 MB...27.88 INCHES
</v>
      </c>
      <c r="H172" s="63" t="str">
        <f>IF('Excercise - Al '!N172&lt;&gt;"","EXPECTED ACTIONS: "&amp;'Excercise - Al '!N172,"")</f>
        <v/>
      </c>
      <c r="I172" s="63" t="str">
        <f>'Excercise - Al '!R172</f>
        <v>Keane</v>
      </c>
    </row>
    <row r="173" spans="1:9" s="24" customFormat="1">
      <c r="A173" s="63">
        <f>'Excercise - Al '!A173</f>
        <v>172</v>
      </c>
      <c r="B173" s="63"/>
      <c r="C173" s="64">
        <f>'Excercise - Al '!E173</f>
        <v>40304.208333333336</v>
      </c>
      <c r="D173" s="63" t="str">
        <f>IF('Excercise - Al '!F173&lt;&gt;0,'Excercise - Al '!F173,"")</f>
        <v/>
      </c>
      <c r="E173" s="63" t="str">
        <f>IF('Excercise - Al '!G173&lt;&gt;"","MODE: "&amp;'Excercise - Al '!G173,"")&amp;IF('Excercise - Al '!H173&lt;&gt;"","   FROM: "&amp;'Excercise - Al '!H173,"")&amp;IF('Excercise - Al '!I173&lt;&gt;"","   INJECTED BY: "&amp;'Excercise - Al '!I173,"")&amp;IF('Excercise - Al '!J173&lt;&gt;"","   SEND TO: "&amp;'Excercise - Al '!J173,"")</f>
        <v/>
      </c>
      <c r="F173" s="63" t="str">
        <f>IF('Excercise - Al '!K173&lt;&gt;"","STORYLINE: "&amp;'Excercise - Al '!K173,"")&amp;IF('Excercise - Al '!M173&lt;&gt;"","   DESCRIPTION: "&amp;'Excercise - Al '!M173,"")&amp;IF('Excercise - Al '!O173&lt;&gt;"","   NOTES/REMARKS: "&amp;'Excercise - Al '!O173,"")&amp;IF('Excercise - Al '!Q173&lt;&gt;"","   BACKGROUND INFO: "&amp;'Excercise - Al '!Q173,"")</f>
        <v/>
      </c>
      <c r="G173" s="63" t="str">
        <f>IF('Excercise - Al '!P173&lt;&gt;"","IMPLEMENTER: "&amp;'Excercise - Al '!P173,"")</f>
        <v>IMPLEMENTER: Landfall</v>
      </c>
      <c r="H173" s="63" t="str">
        <f>IF('Excercise - Al '!N173&lt;&gt;"","EXPECTED ACTIONS: "&amp;'Excercise - Al '!N173,"")</f>
        <v/>
      </c>
      <c r="I173" s="63" t="str">
        <f>'Excercise - Al '!R173</f>
        <v>Keane</v>
      </c>
    </row>
    <row r="174" spans="1:9" s="24" customFormat="1" ht="78.75">
      <c r="A174" s="63">
        <f>'Excercise - Al '!A174</f>
        <v>173</v>
      </c>
      <c r="B174" s="63"/>
      <c r="C174" s="64">
        <f>'Excercise - Al '!E174</f>
        <v>40304.25</v>
      </c>
      <c r="D174" s="63" t="str">
        <f>IF('Excercise - Al '!F174&lt;&gt;0,'Excercise - Al '!F174,"")</f>
        <v>RFI</v>
      </c>
      <c r="E174" s="63" t="str">
        <f>IF('Excercise - Al '!G174&lt;&gt;"","MODE: "&amp;'Excercise - Al '!G174,"")&amp;IF('Excercise - Al '!H174&lt;&gt;"","   FROM: "&amp;'Excercise - Al '!H174,"")&amp;IF('Excercise - Al '!I174&lt;&gt;"","   INJECTED BY: "&amp;'Excercise - Al '!I174,"")&amp;IF('Excercise - Al '!J174&lt;&gt;"","   SEND TO: "&amp;'Excercise - Al '!J174,"")</f>
        <v>MODE: Email   INJECTED BY: HICKS</v>
      </c>
      <c r="F174" s="63" t="str">
        <f>IF('Excercise - Al '!K174&lt;&gt;"","STORYLINE: "&amp;'Excercise - Al '!K174,"")&amp;IF('Excercise - Al '!M174&lt;&gt;"","   DESCRIPTION: "&amp;'Excercise - Al '!M174,"")&amp;IF('Excercise - Al '!O174&lt;&gt;"","   NOTES/REMARKS: "&amp;'Excercise - Al '!O174,"")&amp;IF('Excercise - Al '!Q174&lt;&gt;"","   BACKGROUND INFO: "&amp;'Excercise - Al '!Q174,"")</f>
        <v>STORYLINE: CHAPLAIN &amp; UMT ACTIIVITIES   DESCRIPTION: Looting of chaplain supplies reported</v>
      </c>
      <c r="G174" s="63" t="str">
        <f>IF('Excercise - Al '!P174&lt;&gt;"","IMPLEMENTER: "&amp;'Excercise - Al '!P174,"")</f>
        <v>IMPLEMENTER: Overnight, looters break into the chaplain van stealing communion wine and cases of MRE’s including Kosher and Hallal MRE’s (For Jewish &amp; Muslim soldiers)</v>
      </c>
      <c r="H174" s="63" t="str">
        <f>IF('Excercise - Al '!N174&lt;&gt;"","EXPECTED ACTIONS: "&amp;'Excercise - Al '!N174,"")</f>
        <v>EXPECTED ACTIONS: Contact MP’s;  Request re-supply from J-4</v>
      </c>
      <c r="I174" s="63" t="str">
        <f>'Excercise - Al '!R174</f>
        <v>Hicks</v>
      </c>
    </row>
    <row r="175" spans="1:9" s="24" customFormat="1" ht="90">
      <c r="A175" s="63">
        <f>'Excercise - Al '!A175</f>
        <v>174</v>
      </c>
      <c r="B175" s="63"/>
      <c r="C175" s="64">
        <f>'Excercise - Al '!E175</f>
        <v>40304.291666666664</v>
      </c>
      <c r="D175" s="63" t="str">
        <f>IF('Excercise - Al '!F175&lt;&gt;0,'Excercise - Al '!F175,"")</f>
        <v>INFO</v>
      </c>
      <c r="E175" s="63" t="str">
        <f>IF('Excercise - Al '!G175&lt;&gt;"","MODE: "&amp;'Excercise - Al '!G175,"")&amp;IF('Excercise - Al '!H175&lt;&gt;"","   FROM: "&amp;'Excercise - Al '!H175,"")&amp;IF('Excercise - Al '!I175&lt;&gt;"","   INJECTED BY: "&amp;'Excercise - Al '!I175,"")&amp;IF('Excercise - Al '!J175&lt;&gt;"","   SEND TO: "&amp;'Excercise - Al '!J175,"")</f>
        <v>MODE: EMITS   FROM: AEMA   INJECTED BY: SEOC LNO   SEND TO: AEMA</v>
      </c>
      <c r="F175" s="63" t="str">
        <f>IF('Excercise - Al '!K175&lt;&gt;"","STORYLINE: "&amp;'Excercise - Al '!K175,"")&amp;IF('Excercise - Al '!M175&lt;&gt;"","   DESCRIPTION: "&amp;'Excercise - Al '!M175,"")&amp;IF('Excercise - Al '!O175&lt;&gt;"","   NOTES/REMARKS: "&amp;'Excercise - Al '!O175,"")&amp;IF('Excercise - Al '!Q175&lt;&gt;"","   BACKGROUND INFO: "&amp;'Excercise - Al '!Q175,"")</f>
        <v xml:space="preserve">   DESCRIPTION: Alabama Power has shut down the Joseph M. Farley Nuclear Power Plant </v>
      </c>
      <c r="G175" s="63" t="str">
        <f>IF('Excercise - Al '!P175&lt;&gt;"","IMPLEMENTER: "&amp;'Excercise - Al '!P175,"")</f>
        <v xml:space="preserve">IMPLEMENTER: At approximately 0300, Alabama Power shut down the Joseph M. Farley Nuclear Power Plant in Dothan as a precaution.  It is expected to be back on-line 4 hours after Hurricane Al passes through the area.  The Electric grid is suffering brown out conditions to further complicate power distribution. </v>
      </c>
      <c r="H175" s="63" t="str">
        <f>IF('Excercise - Al '!N175&lt;&gt;"","EXPECTED ACTIONS: "&amp;'Excercise - Al '!N175,"")</f>
        <v/>
      </c>
      <c r="I175" s="63" t="str">
        <f>'Excercise - Al '!R175</f>
        <v>Keane</v>
      </c>
    </row>
    <row r="176" spans="1:9" s="24" customFormat="1" ht="56.25">
      <c r="A176" s="63">
        <f>'Excercise - Al '!A176</f>
        <v>175</v>
      </c>
      <c r="B176" s="63"/>
      <c r="C176" s="64">
        <f>'Excercise - Al '!E176</f>
        <v>40303.760416666664</v>
      </c>
      <c r="D176" s="63" t="str">
        <f>IF('Excercise - Al '!F176&lt;&gt;0,'Excercise - Al '!F176,"")</f>
        <v>RFI</v>
      </c>
      <c r="E176" s="63" t="str">
        <f>IF('Excercise - Al '!G176&lt;&gt;"","MODE: "&amp;'Excercise - Al '!G176,"")&amp;IF('Excercise - Al '!H176&lt;&gt;"","   FROM: "&amp;'Excercise - Al '!H176,"")&amp;IF('Excercise - Al '!I176&lt;&gt;"","   INJECTED BY: "&amp;'Excercise - Al '!I176,"")&amp;IF('Excercise - Al '!J176&lt;&gt;"","   SEND TO: "&amp;'Excercise - Al '!J176,"")</f>
        <v>MODE: Email   FROM: JTF N   INJECTED BY: BENTON   SEND TO: J4</v>
      </c>
      <c r="F176" s="63" t="str">
        <f>IF('Excercise - Al '!K176&lt;&gt;"","STORYLINE: "&amp;'Excercise - Al '!K176,"")&amp;IF('Excercise - Al '!M176&lt;&gt;"","   DESCRIPTION: "&amp;'Excercise - Al '!M176,"")&amp;IF('Excercise - Al '!O176&lt;&gt;"","   NOTES/REMARKS: "&amp;'Excercise - Al '!O176,"")&amp;IF('Excercise - Al '!Q176&lt;&gt;"","   BACKGROUND INFO: "&amp;'Excercise - Al '!Q176,"")</f>
        <v>STORYLINE: Moved Up to 5/5/10.  CL VIII Resupply Request (75 CLS Bags)   DESCRIPTION: Units request resupply of CL 75 CLS bags.  TF Med (JTF North) can not support.</v>
      </c>
      <c r="G176" s="63" t="str">
        <f>IF('Excercise - Al '!P176&lt;&gt;"","IMPLEMENTER: "&amp;'Excercise - Al '!P176,"")</f>
        <v>IMPLEMENTER: Units request resupply of CL 75 CLS bags.  TF Med (JTF North) can not support.</v>
      </c>
      <c r="H176" s="63" t="str">
        <f>IF('Excercise - Al '!N176&lt;&gt;"","EXPECTED ACTIONS: "&amp;'Excercise - Al '!N176,"")</f>
        <v/>
      </c>
      <c r="I176" s="63" t="str">
        <f>'Excercise - Al '!R176</f>
        <v>Benton</v>
      </c>
    </row>
    <row r="177" spans="1:9" s="24" customFormat="1" ht="67.5">
      <c r="A177" s="63">
        <f>'Excercise - Al '!A177</f>
        <v>176</v>
      </c>
      <c r="B177" s="63"/>
      <c r="C177" s="64">
        <f>'Excercise - Al '!E177</f>
        <v>40304.305555555555</v>
      </c>
      <c r="D177" s="63" t="str">
        <f>IF('Excercise - Al '!F177&lt;&gt;0,'Excercise - Al '!F177,"")</f>
        <v>INFO</v>
      </c>
      <c r="E177" s="63" t="str">
        <f>IF('Excercise - Al '!G177&lt;&gt;"","MODE: "&amp;'Excercise - Al '!G177,"")&amp;IF('Excercise - Al '!H177&lt;&gt;"","   FROM: "&amp;'Excercise - Al '!H177,"")&amp;IF('Excercise - Al '!I177&lt;&gt;"","   INJECTED BY: "&amp;'Excercise - Al '!I177,"")&amp;IF('Excercise - Al '!J177&lt;&gt;"","   SEND TO: "&amp;'Excercise - Al '!J177,"")</f>
        <v>MODE: SIR   FROM: White Cell - JTF South   INJECTED BY: POLLARD   SEND TO: JOC</v>
      </c>
      <c r="F177" s="63" t="str">
        <f>IF('Excercise - Al '!K177&lt;&gt;"","STORYLINE: "&amp;'Excercise - Al '!K177,"")&amp;IF('Excercise - Al '!M177&lt;&gt;"","   DESCRIPTION: "&amp;'Excercise - Al '!M177,"")&amp;IF('Excercise - Al '!O177&lt;&gt;"","   NOTES/REMARKS: "&amp;'Excercise - Al '!O177,"")&amp;IF('Excercise - Al '!Q177&lt;&gt;"","   BACKGROUND INFO: "&amp;'Excercise - Al '!Q177,"")</f>
        <v>STORYLINE:  HMMWV Roll over   DESCRIPTION:  HMMWV Roll over</v>
      </c>
      <c r="G177" s="63" t="str">
        <f>IF('Excercise - Al '!P177&lt;&gt;"","IMPLEMENTER: "&amp;'Excercise - Al '!P177,"")</f>
        <v>IMPLEMENTER: Hydroplane into ditch due to high speed of travel and bad road conditions.  Soldiers hurt</v>
      </c>
      <c r="H177" s="63" t="str">
        <f>IF('Excercise - Al '!N177&lt;&gt;"","EXPECTED ACTIONS: "&amp;'Excercise - Al '!N177,"")</f>
        <v/>
      </c>
      <c r="I177" s="63" t="str">
        <f>'Excercise - Al '!R177</f>
        <v>Kahl</v>
      </c>
    </row>
    <row r="178" spans="1:9" s="24" customFormat="1" ht="67.5">
      <c r="A178" s="63">
        <f>'Excercise - Al '!A178</f>
        <v>177</v>
      </c>
      <c r="B178" s="63"/>
      <c r="C178" s="64">
        <f>'Excercise - Al '!E178</f>
        <v>40304.319444444445</v>
      </c>
      <c r="D178" s="63" t="str">
        <f>IF('Excercise - Al '!F178&lt;&gt;0,'Excercise - Al '!F178,"")</f>
        <v>INFO</v>
      </c>
      <c r="E178" s="63" t="str">
        <f>IF('Excercise - Al '!G178&lt;&gt;"","MODE: "&amp;'Excercise - Al '!G178,"")&amp;IF('Excercise - Al '!H178&lt;&gt;"","   FROM: "&amp;'Excercise - Al '!H178,"")&amp;IF('Excercise - Al '!I178&lt;&gt;"","   INJECTED BY: "&amp;'Excercise - Al '!I178,"")&amp;IF('Excercise - Al '!J178&lt;&gt;"","   SEND TO: "&amp;'Excercise - Al '!J178,"")</f>
        <v>MODE: RFI/ Phone   FROM: White Cell - JTF South   INJECTED BY: POLLARD   SEND TO: JOC, CFMO</v>
      </c>
      <c r="F178" s="63" t="str">
        <f>IF('Excercise - Al '!K178&lt;&gt;"","STORYLINE: "&amp;'Excercise - Al '!K178,"")&amp;IF('Excercise - Al '!M178&lt;&gt;"","   DESCRIPTION: "&amp;'Excercise - Al '!M178,"")&amp;IF('Excercise - Al '!O178&lt;&gt;"","   NOTES/REMARKS: "&amp;'Excercise - Al '!O178,"")&amp;IF('Excercise - Al '!Q178&lt;&gt;"","   BACKGROUND INFO: "&amp;'Excercise - Al '!Q178,"")</f>
        <v xml:space="preserve">   DESCRIPTION: Armory Sanitation Backing up</v>
      </c>
      <c r="G178" s="63" t="str">
        <f>IF('Excercise - Al '!P178&lt;&gt;"","IMPLEMENTER: "&amp;'Excercise - Al '!P178,"")</f>
        <v>IMPLEMENTER: Armory used as staging area has no water or sanitation</v>
      </c>
      <c r="H178" s="63" t="str">
        <f>IF('Excercise - Al '!N178&lt;&gt;"","EXPECTED ACTIONS: "&amp;'Excercise - Al '!N178,"")</f>
        <v/>
      </c>
      <c r="I178" s="63" t="str">
        <f>'Excercise - Al '!R178</f>
        <v>Kahl</v>
      </c>
    </row>
    <row r="179" spans="1:9" s="24" customFormat="1" ht="135">
      <c r="A179" s="63">
        <f>'Excercise - Al '!A179</f>
        <v>178</v>
      </c>
      <c r="B179" s="63"/>
      <c r="C179" s="64">
        <f>'Excercise - Al '!E179</f>
        <v>40304.333333333336</v>
      </c>
      <c r="D179" s="63" t="str">
        <f>IF('Excercise - Al '!F179&lt;&gt;0,'Excercise - Al '!F179,"")</f>
        <v>INFO</v>
      </c>
      <c r="E179" s="63" t="str">
        <f>IF('Excercise - Al '!G179&lt;&gt;"","MODE: "&amp;'Excercise - Al '!G179,"")&amp;IF('Excercise - Al '!H179&lt;&gt;"","   FROM: "&amp;'Excercise - Al '!H179,"")&amp;IF('Excercise - Al '!I179&lt;&gt;"","   INJECTED BY: "&amp;'Excercise - Al '!I179,"")&amp;IF('Excercise - Al '!J179&lt;&gt;"","   SEND TO: "&amp;'Excercise - Al '!J179,"")</f>
        <v>MODE: EMITS   FROM: AEMA   INJECTED BY: SEOC LNO   SEND TO: White Cell thru AEMA</v>
      </c>
      <c r="F179" s="63" t="str">
        <f>IF('Excercise - Al '!K179&lt;&gt;"","STORYLINE: "&amp;'Excercise - Al '!K179,"")&amp;IF('Excercise - Al '!M179&lt;&gt;"","   DESCRIPTION: "&amp;'Excercise - Al '!M179,"")&amp;IF('Excercise - Al '!O179&lt;&gt;"","   NOTES/REMARKS: "&amp;'Excercise - Al '!O179,"")&amp;IF('Excercise - Al '!Q179&lt;&gt;"","   BACKGROUND INFO: "&amp;'Excercise - Al '!Q179,"")</f>
        <v xml:space="preserve">   DESCRIPTION: Presidential Disaster Declaration</v>
      </c>
      <c r="G179" s="63" t="str">
        <f>IF('Excercise - Al '!P179&lt;&gt;"","IMPLEMENTER: "&amp;'Excercise - Al '!P179,"")</f>
        <v xml:space="preserve">IMPLEMENTER: At the request of the FL, MS and AL governors, the President has approved a Major Disaster Declaration for all counties affected by Hurricane AL in Florida, Mississippi and Alabama.  Both the National Response Framework (NRF) and the Stafford Act have been activated.  Representatives from the Federal Emergency Management Agency will begin coordinating Federal-level support to affected states.
</v>
      </c>
      <c r="H179" s="63" t="str">
        <f>IF('Excercise - Al '!N179&lt;&gt;"","EXPECTED ACTIONS: "&amp;'Excercise - Al '!N179,"")</f>
        <v/>
      </c>
      <c r="I179" s="63" t="str">
        <f>'Excercise - Al '!R179</f>
        <v>Keane</v>
      </c>
    </row>
    <row r="180" spans="1:9" s="24" customFormat="1" ht="135">
      <c r="A180" s="63">
        <f>'Excercise - Al '!A180</f>
        <v>179</v>
      </c>
      <c r="B180" s="63"/>
      <c r="C180" s="64">
        <f>'Excercise - Al '!E180</f>
        <v>40304.333333333336</v>
      </c>
      <c r="D180" s="63" t="str">
        <f>IF('Excercise - Al '!F180&lt;&gt;0,'Excercise - Al '!F180,"")</f>
        <v>RFI</v>
      </c>
      <c r="E180" s="63" t="str">
        <f>IF('Excercise - Al '!G180&lt;&gt;"","MODE: "&amp;'Excercise - Al '!G180,"")&amp;IF('Excercise - Al '!H180&lt;&gt;"","   FROM: "&amp;'Excercise - Al '!H180,"")&amp;IF('Excercise - Al '!I180&lt;&gt;"","   INJECTED BY: "&amp;'Excercise - Al '!I180,"")&amp;IF('Excercise - Al '!J180&lt;&gt;"","   SEND TO: "&amp;'Excercise - Al '!J180,"")</f>
        <v>MODE: Email   FROM: A Co. 711th BSB   INJECTED BY: POLLARD   SEND TO: J-4</v>
      </c>
      <c r="F180" s="63" t="str">
        <f>IF('Excercise - Al '!K180&lt;&gt;"","STORYLINE: "&amp;'Excercise - Al '!K180,"")&amp;IF('Excercise - Al '!M180&lt;&gt;"","   DESCRIPTION: "&amp;'Excercise - Al '!M180,"")&amp;IF('Excercise - Al '!O180&lt;&gt;"","   NOTES/REMARKS: "&amp;'Excercise - Al '!O180,"")&amp;IF('Excercise - Al '!Q180&lt;&gt;"","   BACKGROUND INFO: "&amp;'Excercise - Al '!Q180,"")</f>
        <v xml:space="preserve">   DESCRIPTION: Internal NG request for low density component   NOTES/REMARKS: Vehicle is Non-Mission Capable (NMC), and is needed to transport supplies </v>
      </c>
      <c r="G180" s="63" t="str">
        <f>IF('Excercise - Al '!P180&lt;&gt;"","IMPLEMENTER: "&amp;'Excercise - Al '!P180,"")</f>
        <v xml:space="preserve">IMPLEMENTER: The A Co. 711th BSB has a Truck Trac 5 Ton, M931A1 in need of an Engine Assy, NSN 2815-01-374-7539, 
Location: Orange Beach
</v>
      </c>
      <c r="H180" s="63" t="str">
        <f>IF('Excercise - Al '!N180&lt;&gt;"","EXPECTED ACTIONS: "&amp;'Excercise - Al '!N180,"")</f>
        <v>EXPECTED ACTIONS: Insure that each Field Maintenance Shop (FMS) SSL/BSL Stock is check for stock on hand</v>
      </c>
      <c r="I180" s="63" t="str">
        <f>'Excercise - Al '!R180</f>
        <v>Cannon</v>
      </c>
    </row>
    <row r="181" spans="1:9" s="24" customFormat="1" ht="56.25">
      <c r="A181" s="63">
        <f>'Excercise - Al '!A181</f>
        <v>180</v>
      </c>
      <c r="B181" s="63"/>
      <c r="C181" s="64">
        <f>'Excercise - Al '!E181</f>
        <v>40304.333333333336</v>
      </c>
      <c r="D181" s="63" t="str">
        <f>IF('Excercise - Al '!F181&lt;&gt;0,'Excercise - Al '!F181,"")</f>
        <v>INFO</v>
      </c>
      <c r="E181" s="63" t="str">
        <f>IF('Excercise - Al '!G181&lt;&gt;"","MODE: "&amp;'Excercise - Al '!G181,"")&amp;IF('Excercise - Al '!H181&lt;&gt;"","   FROM: "&amp;'Excercise - Al '!H181,"")&amp;IF('Excercise - Al '!I181&lt;&gt;"","   INJECTED BY: "&amp;'Excercise - Al '!I181,"")&amp;IF('Excercise - Al '!J181&lt;&gt;"","   SEND TO: "&amp;'Excercise - Al '!J181,"")</f>
        <v>MODE: Email   FROM: DCO   INJECTED BY: KAHL   SEND TO: JOC</v>
      </c>
      <c r="F181" s="63" t="str">
        <f>IF('Excercise - Al '!K181&lt;&gt;"","STORYLINE: "&amp;'Excercise - Al '!K181,"")&amp;IF('Excercise - Al '!M181&lt;&gt;"","   DESCRIPTION: "&amp;'Excercise - Al '!M181,"")&amp;IF('Excercise - Al '!O181&lt;&gt;"","   NOTES/REMARKS: "&amp;'Excercise - Al '!O181,"")&amp;IF('Excercise - Al '!Q181&lt;&gt;"","   BACKGROUND INFO: "&amp;'Excercise - Al '!Q181,"")</f>
        <v xml:space="preserve">   DESCRIPTION: Set NGB Confrenece call up</v>
      </c>
      <c r="G181" s="63" t="str">
        <f>IF('Excercise - Al '!P181&lt;&gt;"","IMPLEMENTER: "&amp;'Excercise - Al '!P181,"")</f>
        <v/>
      </c>
      <c r="H181" s="63" t="str">
        <f>IF('Excercise - Al '!N181&lt;&gt;"","EXPECTED ACTIONS: "&amp;'Excercise - Al '!N181,"")</f>
        <v/>
      </c>
      <c r="I181" s="63" t="str">
        <f>'Excercise - Al '!R181</f>
        <v>Kahl</v>
      </c>
    </row>
    <row r="182" spans="1:9" s="24" customFormat="1" ht="67.5">
      <c r="A182" s="63">
        <f>'Excercise - Al '!A182</f>
        <v>181</v>
      </c>
      <c r="B182" s="63"/>
      <c r="C182" s="64">
        <f>'Excercise - Al '!E182</f>
        <v>40304.334027777775</v>
      </c>
      <c r="D182" s="63" t="str">
        <f>IF('Excercise - Al '!F182&lt;&gt;0,'Excercise - Al '!F182,"")</f>
        <v>INFO</v>
      </c>
      <c r="E182" s="63" t="str">
        <f>IF('Excercise - Al '!G182&lt;&gt;"","MODE: "&amp;'Excercise - Al '!G182,"")&amp;IF('Excercise - Al '!H182&lt;&gt;"","   FROM: "&amp;'Excercise - Al '!H182,"")&amp;IF('Excercise - Al '!I182&lt;&gt;"","   INJECTED BY: "&amp;'Excercise - Al '!I182,"")&amp;IF('Excercise - Al '!J182&lt;&gt;"","   SEND TO: "&amp;'Excercise - Al '!J182,"")</f>
        <v xml:space="preserve">   INJECTED BY: PERRY MCDONALD   SEND TO: JOC</v>
      </c>
      <c r="F182" s="63" t="str">
        <f>IF('Excercise - Al '!K182&lt;&gt;"","STORYLINE: "&amp;'Excercise - Al '!K182,"")&amp;IF('Excercise - Al '!M182&lt;&gt;"","   DESCRIPTION: "&amp;'Excercise - Al '!M182,"")&amp;IF('Excercise - Al '!O182&lt;&gt;"","   NOTES/REMARKS: "&amp;'Excercise - Al '!O182,"")&amp;IF('Excercise - Al '!Q182&lt;&gt;"","   BACKGROUND INFO: "&amp;'Excercise - Al '!Q182,"")</f>
        <v xml:space="preserve">   DESCRIPTION: Problems reported at Waste Water Treatment Plant</v>
      </c>
      <c r="G182" s="63" t="str">
        <f>IF('Excercise - Al '!P182&lt;&gt;"","IMPLEMENTER: "&amp;'Excercise - Al '!P182,"")</f>
        <v>IMPLEMENTER: A phone call from the WTP to the water utility manager states that the treatment chemicals are running low.  Shipments have been delayed due to the storm.  Utility manager alerts EM Director to potential situation.</v>
      </c>
      <c r="H182" s="63" t="str">
        <f>IF('Excercise - Al '!N182&lt;&gt;"","EXPECTED ACTIONS: "&amp;'Excercise - Al '!N182,"")</f>
        <v/>
      </c>
      <c r="I182" s="63" t="str">
        <f>'Excercise - Al '!R182</f>
        <v>P McDonald</v>
      </c>
    </row>
    <row r="183" spans="1:9" s="24" customFormat="1" ht="56.25">
      <c r="A183" s="63">
        <f>'Excercise - Al '!A183</f>
        <v>182</v>
      </c>
      <c r="B183" s="63"/>
      <c r="C183" s="64">
        <f>'Excercise - Al '!E183</f>
        <v>40303.840277777781</v>
      </c>
      <c r="D183" s="63" t="str">
        <f>IF('Excercise - Al '!F183&lt;&gt;0,'Excercise - Al '!F183,"")</f>
        <v>RFI</v>
      </c>
      <c r="E183" s="63" t="str">
        <f>IF('Excercise - Al '!G183&lt;&gt;"","MODE: "&amp;'Excercise - Al '!G183,"")&amp;IF('Excercise - Al '!H183&lt;&gt;"","   FROM: "&amp;'Excercise - Al '!H183,"")&amp;IF('Excercise - Al '!I183&lt;&gt;"","   INJECTED BY: "&amp;'Excercise - Al '!I183,"")&amp;IF('Excercise - Al '!J183&lt;&gt;"","   SEND TO: "&amp;'Excercise - Al '!J183,"")</f>
        <v>MODE: Email   FROM: JFHQAL   INJECTED BY: BENTON   SEND TO: J3</v>
      </c>
      <c r="F183" s="63" t="str">
        <f>IF('Excercise - Al '!K183&lt;&gt;"","STORYLINE: "&amp;'Excercise - Al '!K183,"")&amp;IF('Excercise - Al '!M183&lt;&gt;"","   DESCRIPTION: "&amp;'Excercise - Al '!M183,"")&amp;IF('Excercise - Al '!O183&lt;&gt;"","   NOTES/REMARKS: "&amp;'Excercise - Al '!O183,"")&amp;IF('Excercise - Al '!Q183&lt;&gt;"","   BACKGROUND INFO: "&amp;'Excercise - Al '!Q183,"")</f>
        <v>STORYLINE: Dental Emeergency in Montgomery (JOC - 1 pax)   DESCRIPTION: NG Soldier requires dental treatment</v>
      </c>
      <c r="G183" s="63" t="str">
        <f>IF('Excercise - Al '!P183&lt;&gt;"","IMPLEMENTER: "&amp;'Excercise - Al '!P183,"")</f>
        <v>IMPLEMENTER: Soldier in VIC of Montgomery is experiencing severe dental pains from dental class 3 issue identified at the last dental exam.  Soldier must receive emergency treatment to resolve issue.</v>
      </c>
      <c r="H183" s="63" t="str">
        <f>IF('Excercise - Al '!N183&lt;&gt;"","EXPECTED ACTIONS: "&amp;'Excercise - Al '!N183,"")</f>
        <v/>
      </c>
      <c r="I183" s="63" t="str">
        <f>'Excercise - Al '!R183</f>
        <v>Benton</v>
      </c>
    </row>
    <row r="184" spans="1:9" s="24" customFormat="1" ht="146.25">
      <c r="A184" s="63">
        <f>'Excercise - Al '!A184</f>
        <v>183</v>
      </c>
      <c r="B184" s="63"/>
      <c r="C184" s="64">
        <f>'Excercise - Al '!E184</f>
        <v>40304.344444444447</v>
      </c>
      <c r="D184" s="63" t="str">
        <f>IF('Excercise - Al '!F184&lt;&gt;0,'Excercise - Al '!F184,"")</f>
        <v>RFI</v>
      </c>
      <c r="E184" s="63" t="str">
        <f>IF('Excercise - Al '!G184&lt;&gt;"","MODE: "&amp;'Excercise - Al '!G184,"")&amp;IF('Excercise - Al '!H184&lt;&gt;"","   FROM: "&amp;'Excercise - Al '!H184,"")&amp;IF('Excercise - Al '!I184&lt;&gt;"","   INJECTED BY: "&amp;'Excercise - Al '!I184,"")&amp;IF('Excercise - Al '!J184&lt;&gt;"","   SEND TO: "&amp;'Excercise - Al '!J184,"")</f>
        <v>MODE: EMITS   FROM: AEMA   INJECTED BY: SEOC LNO   SEND TO: TF-South/JOC (J-4)</v>
      </c>
      <c r="F184" s="63" t="str">
        <f>IF('Excercise - Al '!K184&lt;&gt;"","STORYLINE: "&amp;'Excercise - Al '!K184,"")&amp;IF('Excercise - Al '!M184&lt;&gt;"","   DESCRIPTION: "&amp;'Excercise - Al '!M184,"")&amp;IF('Excercise - Al '!O184&lt;&gt;"","   NOTES/REMARKS: "&amp;'Excercise - Al '!O184,"")&amp;IF('Excercise - Al '!Q184&lt;&gt;"","   BACKGROUND INFO: "&amp;'Excercise - Al '!Q184,"")</f>
        <v xml:space="preserve">   DESCRIPTION: RFI concerning NG capabilities to temporarily replace damaged bridge   NOTES/REMARKS: How will DOL (J-4) section respond, when equipment not readily available within the state.</v>
      </c>
      <c r="G184" s="63" t="str">
        <f>IF('Excercise - Al '!P184&lt;&gt;"","IMPLEMENTER: "&amp;'Excercise - Al '!P184,"")</f>
        <v xml:space="preserve">IMPLEMENTER: After Hurricane Al made landfall near the Gulf Coast area of Mobile. The local area Emergency Manager (EM) reported a damaged bridge on Hwy 193 north of Dauphin Island. Without a temporary bridge, Dauphin Island has no means to rescue civilian and transport supplies to local personnel. This bridge is the main transportation route to the island. Engineer assist is needed for emplacing a temporary bridge and road able to support at a minimum 5 tons truck. The temporary bridge must be at least 150 feet in length. </v>
      </c>
      <c r="H184" s="63" t="str">
        <f>IF('Excercise - Al '!N184&lt;&gt;"","EXPECTED ACTIONS: "&amp;'Excercise - Al '!N184,"")</f>
        <v>EXPECTED ACTIONS: Ability to coordinate in-state availability as well neighboring states.</v>
      </c>
      <c r="I184" s="63" t="str">
        <f>'Excercise - Al '!R184</f>
        <v>McDonald</v>
      </c>
    </row>
    <row r="185" spans="1:9" s="24" customFormat="1" ht="56.25">
      <c r="A185" s="63">
        <f>'Excercise - Al '!A185</f>
        <v>184</v>
      </c>
      <c r="B185" s="63"/>
      <c r="C185" s="64">
        <f>'Excercise - Al '!E185</f>
        <v>40304.347222222219</v>
      </c>
      <c r="D185" s="63" t="str">
        <f>IF('Excercise - Al '!F185&lt;&gt;0,'Excercise - Al '!F185,"")</f>
        <v>RFI</v>
      </c>
      <c r="E185" s="63" t="str">
        <f>IF('Excercise - Al '!G185&lt;&gt;"","MODE: "&amp;'Excercise - Al '!G185,"")&amp;IF('Excercise - Al '!H185&lt;&gt;"","   FROM: "&amp;'Excercise - Al '!H185,"")&amp;IF('Excercise - Al '!I185&lt;&gt;"","   INJECTED BY: "&amp;'Excercise - Al '!I185,"")&amp;IF('Excercise - Al '!J185&lt;&gt;"","   SEND TO: "&amp;'Excercise - Al '!J185,"")</f>
        <v>MODE: Email   FROM: SimCell (LEA)   INJECTED BY: KAHL   SEND TO: JOC</v>
      </c>
      <c r="F185" s="63" t="str">
        <f>IF('Excercise - Al '!K185&lt;&gt;"","STORYLINE: "&amp;'Excercise - Al '!K185,"")&amp;IF('Excercise - Al '!M185&lt;&gt;"","   DESCRIPTION: "&amp;'Excercise - Al '!M185,"")&amp;IF('Excercise - Al '!O185&lt;&gt;"","   NOTES/REMARKS: "&amp;'Excercise - Al '!O185,"")&amp;IF('Excercise - Al '!Q185&lt;&gt;"","   BACKGROUND INFO: "&amp;'Excercise - Al '!Q185,"")</f>
        <v xml:space="preserve">   DESCRIPTION: Door to Door SAR Requesr   BACKGROUND INFO: Refer request to state, PAO may be invovled to prepare a response in advance for the media</v>
      </c>
      <c r="G185" s="63" t="str">
        <f>IF('Excercise - Al '!P185&lt;&gt;"","IMPLEMENTER: "&amp;'Excercise - Al '!P185,"")</f>
        <v>IMPLEMENTER: Mayor wants a National Guard presence in a low impacted area Sees national guard in all the cities but hers</v>
      </c>
      <c r="H185" s="63" t="str">
        <f>IF('Excercise - Al '!N185&lt;&gt;"","EXPECTED ACTIONS: "&amp;'Excercise - Al '!N185,"")</f>
        <v/>
      </c>
      <c r="I185" s="63" t="str">
        <f>'Excercise - Al '!R185</f>
        <v>Kahl</v>
      </c>
    </row>
    <row r="186" spans="1:9" s="24" customFormat="1" ht="67.5">
      <c r="A186" s="63">
        <f>'Excercise - Al '!A186</f>
        <v>185</v>
      </c>
      <c r="B186" s="63"/>
      <c r="C186" s="64">
        <f>'Excercise - Al '!E186</f>
        <v>40304.354166666664</v>
      </c>
      <c r="D186" s="63" t="str">
        <f>IF('Excercise - Al '!F186&lt;&gt;0,'Excercise - Al '!F186,"")</f>
        <v>INFO</v>
      </c>
      <c r="E186" s="63" t="str">
        <f>IF('Excercise - Al '!G186&lt;&gt;"","MODE: "&amp;'Excercise - Al '!G186,"")&amp;IF('Excercise - Al '!H186&lt;&gt;"","   FROM: "&amp;'Excercise - Al '!H186,"")&amp;IF('Excercise - Al '!I186&lt;&gt;"","   INJECTED BY: "&amp;'Excercise - Al '!I186,"")&amp;IF('Excercise - Al '!J186&lt;&gt;"","   SEND TO: "&amp;'Excercise - Al '!J186,"")</f>
        <v xml:space="preserve">   INJECTED BY: PERRY MCDONALD   SEND TO: JOC</v>
      </c>
      <c r="F186" s="63" t="str">
        <f>IF('Excercise - Al '!K186&lt;&gt;"","STORYLINE: "&amp;'Excercise - Al '!K186,"")&amp;IF('Excercise - Al '!M186&lt;&gt;"","   DESCRIPTION: "&amp;'Excercise - Al '!M186,"")&amp;IF('Excercise - Al '!O186&lt;&gt;"","   NOTES/REMARKS: "&amp;'Excercise - Al '!O186,"")&amp;IF('Excercise - Al '!Q186&lt;&gt;"","   BACKGROUND INFO: "&amp;'Excercise - Al '!Q186,"")</f>
        <v xml:space="preserve">   DESCRIPTION: News agency reports flooding   NOTES/REMARKS: WJXT, Channel 25, NBC Affiliate for Birmingham, News Anchor Alan Genae sent a fax to the JFHQ requesting to know "Where is the National Guard?"</v>
      </c>
      <c r="G186" s="63" t="str">
        <f>IF('Excercise - Al '!P186&lt;&gt;"","IMPLEMENTER: "&amp;'Excercise - Al '!P186,"")</f>
        <v>IMPLEMENTER: A news station reports that additional flooding and power outages continue to plague the city. At this time, police  and deputy sheriffs are evacuating residents from flooded areas to designated shelters.</v>
      </c>
      <c r="H186" s="63" t="str">
        <f>IF('Excercise - Al '!N186&lt;&gt;"","EXPECTED ACTIONS: "&amp;'Excercise - Al '!N186,"")</f>
        <v/>
      </c>
      <c r="I186" s="63" t="str">
        <f>'Excercise - Al '!R186</f>
        <v>P McDonald</v>
      </c>
    </row>
    <row r="187" spans="1:9" s="24" customFormat="1" ht="78.75">
      <c r="A187" s="63">
        <f>'Excercise - Al '!A187</f>
        <v>186</v>
      </c>
      <c r="B187" s="63"/>
      <c r="C187" s="64">
        <f>'Excercise - Al '!E187</f>
        <v>40304.361111111109</v>
      </c>
      <c r="D187" s="63" t="str">
        <f>IF('Excercise - Al '!F187&lt;&gt;0,'Excercise - Al '!F187,"")</f>
        <v>INFO</v>
      </c>
      <c r="E187" s="63" t="str">
        <f>IF('Excercise - Al '!G187&lt;&gt;"","MODE: "&amp;'Excercise - Al '!G187,"")&amp;IF('Excercise - Al '!H187&lt;&gt;"","   FROM: "&amp;'Excercise - Al '!H187,"")&amp;IF('Excercise - Al '!I187&lt;&gt;"","   INJECTED BY: "&amp;'Excercise - Al '!I187,"")&amp;IF('Excercise - Al '!J187&lt;&gt;"","   SEND TO: "&amp;'Excercise - Al '!J187,"")</f>
        <v>MODE: Phone   FROM: SimCell                             (NEWS Agency)   INJECTED BY: TOMBERLIN   SEND TO: JOC</v>
      </c>
      <c r="F187" s="63" t="str">
        <f>IF('Excercise - Al '!K187&lt;&gt;"","STORYLINE: "&amp;'Excercise - Al '!K187,"")&amp;IF('Excercise - Al '!M187&lt;&gt;"","   DESCRIPTION: "&amp;'Excercise - Al '!M187,"")&amp;IF('Excercise - Al '!O187&lt;&gt;"","   NOTES/REMARKS: "&amp;'Excercise - Al '!O187,"")&amp;IF('Excercise - Al '!Q187&lt;&gt;"","   BACKGROUND INFO: "&amp;'Excercise - Al '!Q187,"")</f>
        <v xml:space="preserve">   DESCRIPTION: HMMWV Roll over Report</v>
      </c>
      <c r="G187" s="63" t="str">
        <f>IF('Excercise - Al '!P187&lt;&gt;"","IMPLEMENTER: "&amp;'Excercise - Al '!P187,"")</f>
        <v>IMPLEMENTER: Accident of HMMWV and ask if trend due to second accident</v>
      </c>
      <c r="H187" s="63" t="str">
        <f>IF('Excercise - Al '!N187&lt;&gt;"","EXPECTED ACTIONS: "&amp;'Excercise - Al '!N187,"")</f>
        <v/>
      </c>
      <c r="I187" s="63" t="str">
        <f>'Excercise - Al '!R187</f>
        <v>Kahl</v>
      </c>
    </row>
    <row r="188" spans="1:9" s="24" customFormat="1" ht="45">
      <c r="A188" s="63">
        <f>'Excercise - Al '!A188</f>
        <v>187</v>
      </c>
      <c r="B188" s="63"/>
      <c r="C188" s="64">
        <f>'Excercise - Al '!E188</f>
        <v>40304.375</v>
      </c>
      <c r="D188" s="63" t="str">
        <f>IF('Excercise - Al '!F188&lt;&gt;0,'Excercise - Al '!F188,"")</f>
        <v>INFO</v>
      </c>
      <c r="E188" s="63" t="str">
        <f>IF('Excercise - Al '!G188&lt;&gt;"","MODE: "&amp;'Excercise - Al '!G188,"")&amp;IF('Excercise - Al '!H188&lt;&gt;"","   FROM: "&amp;'Excercise - Al '!H188,"")&amp;IF('Excercise - Al '!I188&lt;&gt;"","   INJECTED BY: "&amp;'Excercise - Al '!I188,"")&amp;IF('Excercise - Al '!J188&lt;&gt;"","   SEND TO: "&amp;'Excercise - Al '!J188,"")</f>
        <v xml:space="preserve">   INJECTED BY: PERRY MCDONALD   SEND TO: JOC</v>
      </c>
      <c r="F188" s="63" t="str">
        <f>IF('Excercise - Al '!K188&lt;&gt;"","STORYLINE: "&amp;'Excercise - Al '!K188,"")&amp;IF('Excercise - Al '!M188&lt;&gt;"","   DESCRIPTION: "&amp;'Excercise - Al '!M188,"")&amp;IF('Excercise - Al '!O188&lt;&gt;"","   NOTES/REMARKS: "&amp;'Excercise - Al '!O188,"")&amp;IF('Excercise - Al '!Q188&lt;&gt;"","   BACKGROUND INFO: "&amp;'Excercise - Al '!Q188,"")</f>
        <v xml:space="preserve">   DESCRIPTION: News agency reports flooding</v>
      </c>
      <c r="G188" s="63" t="str">
        <f>IF('Excercise - Al '!P188&lt;&gt;"","IMPLEMENTER: "&amp;'Excercise - Al '!P188,"")</f>
        <v>IMPLEMENTER: Multiple news stations summarize the events occurring in the area during the storm (water shortage, evacuation, flooding, power outages, etc.).</v>
      </c>
      <c r="H188" s="63" t="str">
        <f>IF('Excercise - Al '!N188&lt;&gt;"","EXPECTED ACTIONS: "&amp;'Excercise - Al '!N188,"")</f>
        <v/>
      </c>
      <c r="I188" s="63" t="str">
        <f>'Excercise - Al '!R188</f>
        <v>P McDonald</v>
      </c>
    </row>
    <row r="189" spans="1:9" s="24" customFormat="1" ht="67.5">
      <c r="A189" s="63">
        <f>'Excercise - Al '!A189</f>
        <v>188</v>
      </c>
      <c r="B189" s="63"/>
      <c r="C189" s="64">
        <f>'Excercise - Al '!E189</f>
        <v>40304.381944444445</v>
      </c>
      <c r="D189" s="63" t="str">
        <f>IF('Excercise - Al '!F189&lt;&gt;0,'Excercise - Al '!F189,"")</f>
        <v>RFI</v>
      </c>
      <c r="E189" s="63" t="str">
        <f>IF('Excercise - Al '!G189&lt;&gt;"","MODE: "&amp;'Excercise - Al '!G189,"")&amp;IF('Excercise - Al '!H189&lt;&gt;"","   FROM: "&amp;'Excercise - Al '!H189,"")&amp;IF('Excercise - Al '!I189&lt;&gt;"","   INJECTED BY: "&amp;'Excercise - Al '!I189,"")&amp;IF('Excercise - Al '!J189&lt;&gt;"","   SEND TO: "&amp;'Excercise - Al '!J189,"")</f>
        <v xml:space="preserve">   INJECTED BY: PERRY MCDONALD   SEND TO: JOC</v>
      </c>
      <c r="F189" s="63" t="str">
        <f>IF('Excercise - Al '!K189&lt;&gt;"","STORYLINE: "&amp;'Excercise - Al '!K189,"")&amp;IF('Excercise - Al '!M189&lt;&gt;"","   DESCRIPTION: "&amp;'Excercise - Al '!M189,"")&amp;IF('Excercise - Al '!O189&lt;&gt;"","   NOTES/REMARKS: "&amp;'Excercise - Al '!O189,"")&amp;IF('Excercise - Al '!Q189&lt;&gt;"","   BACKGROUND INFO: "&amp;'Excercise - Al '!Q189,"")</f>
        <v xml:space="preserve">   DESCRIPTION: Generator Request</v>
      </c>
      <c r="G189" s="63" t="str">
        <f>IF('Excercise - Al '!P189&lt;&gt;"","IMPLEMENTER: "&amp;'Excercise - Al '!P189,"")</f>
        <v>IMPLEMENTER: A second phone call from the WWTP superintendent to the EM Director is made. The generator parts supplier was called but they do not have the generator part in stock. Due to the storm, the delivery time will be delayed by at least 1-2 days.</v>
      </c>
      <c r="H189" s="63" t="str">
        <f>IF('Excercise - Al '!N189&lt;&gt;"","EXPECTED ACTIONS: "&amp;'Excercise - Al '!N189,"")</f>
        <v/>
      </c>
      <c r="I189" s="63" t="str">
        <f>'Excercise - Al '!R189</f>
        <v>P McDonald</v>
      </c>
    </row>
    <row r="190" spans="1:9" s="24" customFormat="1" ht="146.25">
      <c r="A190" s="63">
        <f>'Excercise - Al '!A190</f>
        <v>189</v>
      </c>
      <c r="B190" s="63"/>
      <c r="C190" s="64">
        <f>'Excercise - Al '!E190</f>
        <v>40304.385416666664</v>
      </c>
      <c r="D190" s="63" t="str">
        <f>IF('Excercise - Al '!F190&lt;&gt;0,'Excercise - Al '!F190,"")</f>
        <v>INFO</v>
      </c>
      <c r="E190" s="63" t="str">
        <f>IF('Excercise - Al '!G190&lt;&gt;"","MODE: "&amp;'Excercise - Al '!G190,"")&amp;IF('Excercise - Al '!H190&lt;&gt;"","   FROM: "&amp;'Excercise - Al '!H190,"")&amp;IF('Excercise - Al '!I190&lt;&gt;"","   INJECTED BY: "&amp;'Excercise - Al '!I190,"")&amp;IF('Excercise - Al '!J190&lt;&gt;"","   SEND TO: "&amp;'Excercise - Al '!J190,"")</f>
        <v>MODE: RFI/Phone   FROM: Whitecell-JTF South   INJECTED BY: NAPIER   SEND TO: JTF South</v>
      </c>
      <c r="F190" s="63" t="str">
        <f>IF('Excercise - Al '!K190&lt;&gt;"","STORYLINE: "&amp;'Excercise - Al '!K190,"")&amp;IF('Excercise - Al '!M190&lt;&gt;"","   DESCRIPTION: "&amp;'Excercise - Al '!M190,"")&amp;IF('Excercise - Al '!O190&lt;&gt;"","   NOTES/REMARKS: "&amp;'Excercise - Al '!O190,"")&amp;IF('Excercise - Al '!Q190&lt;&gt;"","   BACKGROUND INFO: "&amp;'Excercise - Al '!Q190,"")</f>
        <v xml:space="preserve">   DESCRIPTION: Armory damage reported.   NOTES/REMARKS: Admin NCO for Det 1, 1165 MP Co reports wind and tree damage to Armory. States there is a partially collapsed wall which is leaving the armory unsecure. Requests guidance about staying in the armory through the storm.</v>
      </c>
      <c r="G190" s="63" t="str">
        <f>IF('Excercise - Al '!P190&lt;&gt;"","IMPLEMENTER: "&amp;'Excercise - Al '!P190,"")</f>
        <v>IMPLEMENTER: SSG Ronald, I just arrived at my Armory in Brewton after receiving a phone call from the Baldwin County Sheriff's Office and a tree has fallen over on our south wall. There is a gaping hole now in our armory about 4'X6' wide and it is leaving the armory unsecure. I'm requesting guidance on what I need to do because the storm is really getting bad out here? Do I need to stay in the armory and secure it. Sherriff's office stated it is going to be impossible to provide an extra patrol with all that is happing.</v>
      </c>
      <c r="H190" s="63" t="str">
        <f>IF('Excercise - Al '!N190&lt;&gt;"","EXPECTED ACTIONS: "&amp;'Excercise - Al '!N190,"")</f>
        <v/>
      </c>
      <c r="I190" s="63" t="str">
        <f>'Excercise - Al '!R190</f>
        <v>Wheeler</v>
      </c>
    </row>
    <row r="191" spans="1:9" s="24" customFormat="1" ht="67.5">
      <c r="A191" s="63">
        <f>'Excercise - Al '!A191</f>
        <v>190</v>
      </c>
      <c r="B191" s="63"/>
      <c r="C191" s="64">
        <f>'Excercise - Al '!E191</f>
        <v>40304.388888888891</v>
      </c>
      <c r="D191" s="63" t="str">
        <f>IF('Excercise - Al '!F191&lt;&gt;0,'Excercise - Al '!F191,"")</f>
        <v>RFI</v>
      </c>
      <c r="E191" s="63" t="str">
        <f>IF('Excercise - Al '!G191&lt;&gt;"","MODE: "&amp;'Excercise - Al '!G191,"")&amp;IF('Excercise - Al '!H191&lt;&gt;"","   FROM: "&amp;'Excercise - Al '!H191,"")&amp;IF('Excercise - Al '!I191&lt;&gt;"","   INJECTED BY: "&amp;'Excercise - Al '!I191,"")&amp;IF('Excercise - Al '!J191&lt;&gt;"","   SEND TO: "&amp;'Excercise - Al '!J191,"")</f>
        <v>MODE: RFA   FROM: White Cell - JTF South   INJECTED BY: POLLARD   SEND TO: JOC</v>
      </c>
      <c r="F191" s="63" t="str">
        <f>IF('Excercise - Al '!K191&lt;&gt;"","STORYLINE: "&amp;'Excercise - Al '!K191,"")&amp;IF('Excercise - Al '!M191&lt;&gt;"","   DESCRIPTION: "&amp;'Excercise - Al '!M191,"")&amp;IF('Excercise - Al '!O191&lt;&gt;"","   NOTES/REMARKS: "&amp;'Excercise - Al '!O191,"")&amp;IF('Excercise - Al '!Q191&lt;&gt;"","   BACKGROUND INFO: "&amp;'Excercise - Al '!Q191,"")</f>
        <v xml:space="preserve">   DESCRIPTION: Request for MREs</v>
      </c>
      <c r="G191" s="63" t="str">
        <f>IF('Excercise - Al '!P191&lt;&gt;"","IMPLEMENTER: "&amp;'Excercise - Al '!P191,"")</f>
        <v/>
      </c>
      <c r="H191" s="63" t="str">
        <f>IF('Excercise - Al '!N191&lt;&gt;"","EXPECTED ACTIONS: "&amp;'Excercise - Al '!N191,"")</f>
        <v/>
      </c>
      <c r="I191" s="63" t="str">
        <f>'Excercise - Al '!R191</f>
        <v>Kahl</v>
      </c>
    </row>
    <row r="192" spans="1:9" s="24" customFormat="1" ht="90">
      <c r="A192" s="63">
        <f>'Excercise - Al '!A192</f>
        <v>191</v>
      </c>
      <c r="B192" s="63"/>
      <c r="C192" s="64">
        <f>'Excercise - Al '!E192</f>
        <v>40304.395833333336</v>
      </c>
      <c r="D192" s="63" t="str">
        <f>IF('Excercise - Al '!F192&lt;&gt;0,'Excercise - Al '!F192,"")</f>
        <v>INFO</v>
      </c>
      <c r="E192" s="63" t="str">
        <f>IF('Excercise - Al '!G192&lt;&gt;"","MODE: "&amp;'Excercise - Al '!G192,"")&amp;IF('Excercise - Al '!H192&lt;&gt;"","   FROM: "&amp;'Excercise - Al '!H192,"")&amp;IF('Excercise - Al '!I192&lt;&gt;"","   INJECTED BY: "&amp;'Excercise - Al '!I192,"")&amp;IF('Excercise - Al '!J192&lt;&gt;"","   SEND TO: "&amp;'Excercise - Al '!J192,"")</f>
        <v xml:space="preserve">   INJECTED BY: PERRY MCDONALD   SEND TO: JOC</v>
      </c>
      <c r="F192" s="63" t="str">
        <f>IF('Excercise - Al '!K192&lt;&gt;"","STORYLINE: "&amp;'Excercise - Al '!K192,"")&amp;IF('Excercise - Al '!M192&lt;&gt;"","   DESCRIPTION: "&amp;'Excercise - Al '!M192,"")&amp;IF('Excercise - Al '!O192&lt;&gt;"","   NOTES/REMARKS: "&amp;'Excercise - Al '!O192,"")&amp;IF('Excercise - Al '!Q192&lt;&gt;"","   BACKGROUND INFO: "&amp;'Excercise - Al '!Q192,"")</f>
        <v xml:space="preserve">   DESCRIPTION: Hospital reports that it is completely filled</v>
      </c>
      <c r="G192" s="63" t="str">
        <f>IF('Excercise - Al '!P192&lt;&gt;"","IMPLEMENTER: "&amp;'Excercise - Al '!P192,"")</f>
        <v>IMPLEMENTER: A fax from (named) Hospital’s administrator to all hospital administrators in (named)  City notifies them that the beds are full. (named) hospital will need to redirect incoming ambulances to other hospitals, and they require help in coordinating the patient transfers. They are uncertain of road closures.</v>
      </c>
      <c r="H192" s="63" t="str">
        <f>IF('Excercise - Al '!N192&lt;&gt;"","EXPECTED ACTIONS: "&amp;'Excercise - Al '!N192,"")</f>
        <v/>
      </c>
      <c r="I192" s="63" t="str">
        <f>'Excercise - Al '!R192</f>
        <v>P McDonald</v>
      </c>
    </row>
    <row r="193" spans="1:9" s="24" customFormat="1" ht="67.5">
      <c r="A193" s="63">
        <f>'Excercise - Al '!A193</f>
        <v>192</v>
      </c>
      <c r="B193" s="63"/>
      <c r="C193" s="64">
        <f>'Excercise - Al '!E193</f>
        <v>40304.402777777781</v>
      </c>
      <c r="D193" s="63" t="str">
        <f>IF('Excercise - Al '!F193&lt;&gt;0,'Excercise - Al '!F193,"")</f>
        <v>RFI</v>
      </c>
      <c r="E193" s="63" t="str">
        <f>IF('Excercise - Al '!G193&lt;&gt;"","MODE: "&amp;'Excercise - Al '!G193,"")&amp;IF('Excercise - Al '!H193&lt;&gt;"","   FROM: "&amp;'Excercise - Al '!H193,"")&amp;IF('Excercise - Al '!I193&lt;&gt;"","   INJECTED BY: "&amp;'Excercise - Al '!I193,"")&amp;IF('Excercise - Al '!J193&lt;&gt;"","   SEND TO: "&amp;'Excercise - Al '!J193,"")</f>
        <v>MODE: RFI   FROM: SimCell                            (NEWS Agency)   SEND TO: JTF/ JOC</v>
      </c>
      <c r="F193" s="63" t="str">
        <f>IF('Excercise - Al '!K193&lt;&gt;"","STORYLINE: "&amp;'Excercise - Al '!K193,"")&amp;IF('Excercise - Al '!M193&lt;&gt;"","   DESCRIPTION: "&amp;'Excercise - Al '!M193,"")&amp;IF('Excercise - Al '!O193&lt;&gt;"","   NOTES/REMARKS: "&amp;'Excercise - Al '!O193,"")&amp;IF('Excercise - Al '!Q193&lt;&gt;"","   BACKGROUND INFO: "&amp;'Excercise - Al '!Q193,"")</f>
        <v xml:space="preserve">   DESCRIPTION: NEWS interview request</v>
      </c>
      <c r="G193" s="63" t="str">
        <f>IF('Excercise - Al '!P193&lt;&gt;"","IMPLEMENTER: "&amp;'Excercise - Al '!P193,"")</f>
        <v>IMPLEMENTER: Asking for NEWS interview/ Human intrest story</v>
      </c>
      <c r="H193" s="63" t="str">
        <f>IF('Excercise - Al '!N193&lt;&gt;"","EXPECTED ACTIONS: "&amp;'Excercise - Al '!N193,"")</f>
        <v/>
      </c>
      <c r="I193" s="63" t="str">
        <f>'Excercise - Al '!R193</f>
        <v>Kahl</v>
      </c>
    </row>
    <row r="194" spans="1:9" s="24" customFormat="1" ht="56.25">
      <c r="A194" s="63">
        <f>'Excercise - Al '!A194</f>
        <v>193</v>
      </c>
      <c r="B194" s="63"/>
      <c r="C194" s="64">
        <f>'Excercise - Al '!E194</f>
        <v>40304.40625</v>
      </c>
      <c r="D194" s="63" t="str">
        <f>IF('Excercise - Al '!F194&lt;&gt;0,'Excercise - Al '!F194,"")</f>
        <v>MISSION</v>
      </c>
      <c r="E194" s="63" t="str">
        <f>IF('Excercise - Al '!G194&lt;&gt;"","MODE: "&amp;'Excercise - Al '!G194,"")&amp;IF('Excercise - Al '!H194&lt;&gt;"","   FROM: "&amp;'Excercise - Al '!H194,"")&amp;IF('Excercise - Al '!I194&lt;&gt;"","   INJECTED BY: "&amp;'Excercise - Al '!I194,"")&amp;IF('Excercise - Al '!J194&lt;&gt;"","   SEND TO: "&amp;'Excercise - Al '!J194,"")</f>
        <v>MODE: EMITS   FROM: ESF 5   INJECTED BY: SEOC LNO   SEND TO: JTF-S</v>
      </c>
      <c r="F194" s="63" t="str">
        <f>IF('Excercise - Al '!K194&lt;&gt;"","STORYLINE: "&amp;'Excercise - Al '!K194,"")&amp;IF('Excercise - Al '!M194&lt;&gt;"","   DESCRIPTION: "&amp;'Excercise - Al '!M194,"")&amp;IF('Excercise - Al '!O194&lt;&gt;"","   NOTES/REMARKS: "&amp;'Excercise - Al '!O194,"")&amp;IF('Excercise - Al '!Q194&lt;&gt;"","   BACKGROUND INFO: "&amp;'Excercise - Al '!Q194,"")</f>
        <v xml:space="preserve">   DESCRIPTION: Generator Request</v>
      </c>
      <c r="G194" s="63" t="str">
        <f>IF('Excercise - Al '!P194&lt;&gt;"","IMPLEMENTER: "&amp;'Excercise - Al '!P194,"")</f>
        <v xml:space="preserve">IMPLEMENTER: Deploy 3ea 100KW Gen to Mobile County Hospitals, Mobile Infirmary, Mobile Womens and Childrens, Spring Hill Dialysis Center. </v>
      </c>
      <c r="H194" s="63" t="str">
        <f>IF('Excercise - Al '!N194&lt;&gt;"","EXPECTED ACTIONS: "&amp;'Excercise - Al '!N194,"")</f>
        <v/>
      </c>
      <c r="I194" s="63" t="str">
        <f>'Excercise - Al '!R194</f>
        <v>Keane</v>
      </c>
    </row>
    <row r="195" spans="1:9" s="24" customFormat="1" ht="56.25">
      <c r="A195" s="63">
        <f>'Excercise - Al '!A195</f>
        <v>194</v>
      </c>
      <c r="B195" s="63"/>
      <c r="C195" s="64">
        <f>'Excercise - Al '!E195</f>
        <v>40304.409722222219</v>
      </c>
      <c r="D195" s="63" t="str">
        <f>IF('Excercise - Al '!F195&lt;&gt;0,'Excercise - Al '!F195,"")</f>
        <v>MISSION</v>
      </c>
      <c r="E195" s="63" t="str">
        <f>IF('Excercise - Al '!G195&lt;&gt;"","MODE: "&amp;'Excercise - Al '!G195,"")&amp;IF('Excercise - Al '!H195&lt;&gt;"","   FROM: "&amp;'Excercise - Al '!H195,"")&amp;IF('Excercise - Al '!I195&lt;&gt;"","   INJECTED BY: "&amp;'Excercise - Al '!I195,"")&amp;IF('Excercise - Al '!J195&lt;&gt;"","   SEND TO: "&amp;'Excercise - Al '!J195,"")</f>
        <v>MODE: EMITS   FROM: ESF 5   INJECTED BY: SEOC LNO   SEND TO: JTF-S</v>
      </c>
      <c r="F195" s="63" t="str">
        <f>IF('Excercise - Al '!K195&lt;&gt;"","STORYLINE: "&amp;'Excercise - Al '!K195,"")&amp;IF('Excercise - Al '!M195&lt;&gt;"","   DESCRIPTION: "&amp;'Excercise - Al '!M195,"")&amp;IF('Excercise - Al '!O195&lt;&gt;"","   NOTES/REMARKS: "&amp;'Excercise - Al '!O195,"")&amp;IF('Excercise - Al '!Q195&lt;&gt;"","   BACKGROUND INFO: "&amp;'Excercise - Al '!Q195,"")</f>
        <v xml:space="preserve">   DESCRIPTION: Evacuation Assistance Request</v>
      </c>
      <c r="G195" s="63" t="str">
        <f>IF('Excercise - Al '!P195&lt;&gt;"","IMPLEMENTER: "&amp;'Excercise - Al '!P195,"")</f>
        <v>IMPLEMENTER: Provide 15 Soldiers to assist with evacuating 60 patients at Mercy Medical in Daphne due to power/water outages. Mission duration 12 hrs</v>
      </c>
      <c r="H195" s="63" t="str">
        <f>IF('Excercise - Al '!N195&lt;&gt;"","EXPECTED ACTIONS: "&amp;'Excercise - Al '!N195,"")</f>
        <v/>
      </c>
      <c r="I195" s="63" t="str">
        <f>'Excercise - Al '!R195</f>
        <v>Keane</v>
      </c>
    </row>
    <row r="196" spans="1:9" s="24" customFormat="1" ht="78.75">
      <c r="A196" s="63">
        <f>'Excercise - Al '!A196</f>
        <v>195</v>
      </c>
      <c r="B196" s="63"/>
      <c r="C196" s="64">
        <f>'Excercise - Al '!E196</f>
        <v>40304.416666666664</v>
      </c>
      <c r="D196" s="63" t="str">
        <f>IF('Excercise - Al '!F196&lt;&gt;0,'Excercise - Al '!F196,"")</f>
        <v>INFO</v>
      </c>
      <c r="E196" s="63" t="str">
        <f>IF('Excercise - Al '!G196&lt;&gt;"","MODE: "&amp;'Excercise - Al '!G196,"")&amp;IF('Excercise - Al '!H196&lt;&gt;"","   FROM: "&amp;'Excercise - Al '!H196,"")&amp;IF('Excercise - Al '!I196&lt;&gt;"","   INJECTED BY: "&amp;'Excercise - Al '!I196,"")&amp;IF('Excercise - Al '!J196&lt;&gt;"","   SEND TO: "&amp;'Excercise - Al '!J196,"")</f>
        <v>MODE: Email   INJECTED BY: HICKS</v>
      </c>
      <c r="F196" s="63" t="str">
        <f>IF('Excercise - Al '!K196&lt;&gt;"","STORYLINE: "&amp;'Excercise - Al '!K196,"")&amp;IF('Excercise - Al '!M196&lt;&gt;"","   DESCRIPTION: "&amp;'Excercise - Al '!M196,"")&amp;IF('Excercise - Al '!O196&lt;&gt;"","   NOTES/REMARKS: "&amp;'Excercise - Al '!O196,"")&amp;IF('Excercise - Al '!Q196&lt;&gt;"","   BACKGROUND INFO: "&amp;'Excercise - Al '!Q196,"")</f>
        <v>STORYLINE: CHAPLAIN &amp; UMT ACTIIVITIES</v>
      </c>
      <c r="G196" s="63" t="str">
        <f>IF('Excercise - Al '!P196&lt;&gt;"","IMPLEMENTER: "&amp;'Excercise - Al '!P196,"")</f>
        <v>IMPLEMENTER: A pre-positioned Chaplain Assistant (CA) begins uncontrollable vomiting</v>
      </c>
      <c r="H196" s="63" t="str">
        <f>IF('Excercise - Al '!N196&lt;&gt;"","EXPECTED ACTIONS: "&amp;'Excercise - Al '!N196,"")</f>
        <v>EXPECTED ACTIONS: Contact Medical and work backfill for CA</v>
      </c>
      <c r="I196" s="63" t="str">
        <f>'Excercise - Al '!R196</f>
        <v>Hicks</v>
      </c>
    </row>
    <row r="197" spans="1:9" s="24" customFormat="1" ht="258.75">
      <c r="A197" s="63">
        <f>'Excercise - Al '!A197</f>
        <v>196</v>
      </c>
      <c r="B197" s="63"/>
      <c r="C197" s="64">
        <f>'Excercise - Al '!E197</f>
        <v>40304.417361111111</v>
      </c>
      <c r="D197" s="63" t="str">
        <f>IF('Excercise - Al '!F197&lt;&gt;0,'Excercise - Al '!F197,"")</f>
        <v>INFO</v>
      </c>
      <c r="E197" s="63" t="str">
        <f>IF('Excercise - Al '!G197&lt;&gt;"","MODE: "&amp;'Excercise - Al '!G197,"")&amp;IF('Excercise - Al '!H197&lt;&gt;"","   FROM: "&amp;'Excercise - Al '!H197,"")&amp;IF('Excercise - Al '!I197&lt;&gt;"","   INJECTED BY: "&amp;'Excercise - Al '!I197,"")&amp;IF('Excercise - Al '!J197&lt;&gt;"","   SEND TO: "&amp;'Excercise - Al '!J197,"")</f>
        <v>MODE: Email   FROM: Simcell - National Hurricane Center   INJECTED BY: KEANE   SEND TO: JOC, All</v>
      </c>
      <c r="F197" s="63" t="str">
        <f>IF('Excercise - Al '!K197&lt;&gt;"","STORYLINE: "&amp;'Excercise - Al '!K197,"")&amp;IF('Excercise - Al '!M197&lt;&gt;"","   DESCRIPTION: "&amp;'Excercise - Al '!M197,"")&amp;IF('Excercise - Al '!O197&lt;&gt;"","   NOTES/REMARKS: "&amp;'Excercise - Al '!O197,"")&amp;IF('Excercise - Al '!Q197&lt;&gt;"","   BACKGROUND INFO: "&amp;'Excercise - Al '!Q197,"")</f>
        <v>STORYLINE: Tropical Storm Al Update 22   DESCRIPTION: Tropical Storm Al Update 22</v>
      </c>
      <c r="G197" s="63" t="str">
        <f>IF('Excercise - Al '!P197&lt;&gt;"","IMPLEMENTER: "&amp;'Excercise - Al '!P197,"")</f>
        <v xml:space="preserve">IMPLEMENTER: 
...HURRICANE AL SLOWS NEAR MOBILE ALABAMA...
SUMMARY OF 1100 AM EDT...1500 UTC...INFORMATION
-----------------------------------------------
LOCATION...30.9N 88.1W
ABOUT 14 MILES...23 KM...NORTH OF MOBILE ALABAMA
ABOUT 134 MILES...216 KM...NORTHEAST OF NEW ORLEANS LOUISIANA 
ABOUT 145 MILES...232 KM...SOUTHWEST OF MONTGOMERY ALABAMA
MAXIMUM SUSTAINED WINDS...115 MPH...169 KM/HR
PRESENT MOVEMENT...NORTHERLY OR 23 DEGREES AT 9 MPH...14 KM/HR
MINIMUM CENTRAL PRESSURE 962 MB...28.41 INCHES
</v>
      </c>
      <c r="H197" s="63" t="str">
        <f>IF('Excercise - Al '!N197&lt;&gt;"","EXPECTED ACTIONS: "&amp;'Excercise - Al '!N197,"")</f>
        <v/>
      </c>
      <c r="I197" s="63" t="str">
        <f>'Excercise - Al '!R197</f>
        <v>Keane</v>
      </c>
    </row>
    <row r="198" spans="1:9" s="24" customFormat="1" ht="56.25">
      <c r="A198" s="63">
        <f>'Excercise - Al '!A198</f>
        <v>197</v>
      </c>
      <c r="B198" s="63"/>
      <c r="C198" s="64">
        <f>'Excercise - Al '!E198</f>
        <v>40304.423611111109</v>
      </c>
      <c r="D198" s="63" t="str">
        <f>IF('Excercise - Al '!F198&lt;&gt;0,'Excercise - Al '!F198,"")</f>
        <v>MISSION</v>
      </c>
      <c r="E198" s="63" t="str">
        <f>IF('Excercise - Al '!G198&lt;&gt;"","MODE: "&amp;'Excercise - Al '!G198,"")&amp;IF('Excercise - Al '!H198&lt;&gt;"","   FROM: "&amp;'Excercise - Al '!H198,"")&amp;IF('Excercise - Al '!I198&lt;&gt;"","   INJECTED BY: "&amp;'Excercise - Al '!I198,"")&amp;IF('Excercise - Al '!J198&lt;&gt;"","   SEND TO: "&amp;'Excercise - Al '!J198,"")</f>
        <v>MODE: EMITS   FROM: ESF 5   INJECTED BY: SEOC LNO   SEND TO: JTF-S</v>
      </c>
      <c r="F198" s="63" t="str">
        <f>IF('Excercise - Al '!K198&lt;&gt;"","STORYLINE: "&amp;'Excercise - Al '!K198,"")&amp;IF('Excercise - Al '!M198&lt;&gt;"","   DESCRIPTION: "&amp;'Excercise - Al '!M198,"")&amp;IF('Excercise - Al '!O198&lt;&gt;"","   NOTES/REMARKS: "&amp;'Excercise - Al '!O198,"")&amp;IF('Excercise - Al '!Q198&lt;&gt;"","   BACKGROUND INFO: "&amp;'Excercise - Al '!Q198,"")</f>
        <v xml:space="preserve">   DESCRIPTION: Evacuation Assistance Request</v>
      </c>
      <c r="G198" s="63" t="str">
        <f>IF('Excercise - Al '!P198&lt;&gt;"","IMPLEMENTER: "&amp;'Excercise - Al '!P198,"")</f>
        <v>IMPLEMENTER: Provide 10 soldiers to assist with the loading and evacuation of 40 patients at South Baldwin Regional Center in Foley due to power/water outages. Mission duration is 12 hrs</v>
      </c>
      <c r="H198" s="63" t="str">
        <f>IF('Excercise - Al '!N198&lt;&gt;"","EXPECTED ACTIONS: "&amp;'Excercise - Al '!N198,"")</f>
        <v/>
      </c>
      <c r="I198" s="63" t="str">
        <f>'Excercise - Al '!R198</f>
        <v>Keane</v>
      </c>
    </row>
    <row r="199" spans="1:9" s="24" customFormat="1" ht="157.5">
      <c r="A199" s="63">
        <f>'Excercise - Al '!A199</f>
        <v>198</v>
      </c>
      <c r="B199" s="63"/>
      <c r="C199" s="64">
        <f>'Excercise - Al '!E199</f>
        <v>40304.427083333336</v>
      </c>
      <c r="D199" s="63" t="str">
        <f>IF('Excercise - Al '!F199&lt;&gt;0,'Excercise - Al '!F199,"")</f>
        <v>MISSION</v>
      </c>
      <c r="E199" s="63" t="str">
        <f>IF('Excercise - Al '!G199&lt;&gt;"","MODE: "&amp;'Excercise - Al '!G199,"")&amp;IF('Excercise - Al '!H199&lt;&gt;"","   FROM: "&amp;'Excercise - Al '!H199,"")&amp;IF('Excercise - Al '!I199&lt;&gt;"","   INJECTED BY: "&amp;'Excercise - Al '!I199,"")&amp;IF('Excercise - Al '!J199&lt;&gt;"","   SEND TO: "&amp;'Excercise - Al '!J199,"")</f>
        <v>MODE: Email/cell   FROM: AEMA   INJECTED BY: SEOC LNO   SEND TO: JOC, JTF-South, All</v>
      </c>
      <c r="F199" s="63" t="str">
        <f>IF('Excercise - Al '!K199&lt;&gt;"","STORYLINE: "&amp;'Excercise - Al '!K199,"")&amp;IF('Excercise - Al '!M199&lt;&gt;"","   DESCRIPTION: "&amp;'Excercise - Al '!M199,"")&amp;IF('Excercise - Al '!O199&lt;&gt;"","   NOTES/REMARKS: "&amp;'Excercise - Al '!O199,"")&amp;IF('Excercise - Al '!Q199&lt;&gt;"","   BACKGROUND INFO: "&amp;'Excercise - Al '!Q199,"")</f>
        <v xml:space="preserve">   DESCRIPTION: Generator Request   NOTES/REMARKS: Exterior power sources are needed to provided electricity for a Nursing House and Medical Center facilities which are approximately 35,000 square feet.   BACKGROUND INFO: 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v>
      </c>
      <c r="G199" s="63" t="str">
        <f>IF('Excercise - Al '!P199&lt;&gt;"","IMPLEMENTER: "&amp;'Excercise - Al '!P199,"")</f>
        <v>IMPLEMENTER: After Hurricane AL made landfall near the gulf coast area of Mobile. The local area Emergency Manager(EM) reported minor damage to a nursing home and a medical center in Pritchard, Alabama. Both the nursing home and medical center are without electricity. The Mobile Medical Center, and the nursing facility needs two generators each one to serve as the main power source and the other one as a backup.</v>
      </c>
      <c r="H199" s="63" t="str">
        <f>IF('Excercise - Al '!N199&lt;&gt;"","EXPECTED ACTIONS: "&amp;'Excercise - Al '!N199,"")</f>
        <v>EXPECTED ACTIONS: Ability to coordinate with neighboring states for Logistic Assistance.</v>
      </c>
      <c r="I199" s="63" t="str">
        <f>'Excercise - Al '!R199</f>
        <v>McDonald</v>
      </c>
    </row>
    <row r="200" spans="1:9" s="24" customFormat="1" ht="67.5">
      <c r="A200" s="63">
        <f>'Excercise - Al '!A200</f>
        <v>199</v>
      </c>
      <c r="B200" s="63"/>
      <c r="C200" s="64">
        <f>'Excercise - Al '!E200</f>
        <v>40304.430555555555</v>
      </c>
      <c r="D200" s="63" t="str">
        <f>IF('Excercise - Al '!F200&lt;&gt;0,'Excercise - Al '!F200,"")</f>
        <v>RFI</v>
      </c>
      <c r="E200" s="63" t="str">
        <f>IF('Excercise - Al '!G200&lt;&gt;"","MODE: "&amp;'Excercise - Al '!G200,"")&amp;IF('Excercise - Al '!H200&lt;&gt;"","   FROM: "&amp;'Excercise - Al '!H200,"")&amp;IF('Excercise - Al '!I200&lt;&gt;"","   INJECTED BY: "&amp;'Excercise - Al '!I200,"")&amp;IF('Excercise - Al '!J200&lt;&gt;"","   SEND TO: "&amp;'Excercise - Al '!J200,"")</f>
        <v>MODE: RFA   FROM: White Cell - JTF South   INJECTED BY: POLLARD   SEND TO: JOC</v>
      </c>
      <c r="F200" s="63" t="str">
        <f>IF('Excercise - Al '!K200&lt;&gt;"","STORYLINE: "&amp;'Excercise - Al '!K200,"")&amp;IF('Excercise - Al '!M200&lt;&gt;"","   DESCRIPTION: "&amp;'Excercise - Al '!M200,"")&amp;IF('Excercise - Al '!O200&lt;&gt;"","   NOTES/REMARKS: "&amp;'Excercise - Al '!O200,"")&amp;IF('Excercise - Al '!Q200&lt;&gt;"","   BACKGROUND INFO: "&amp;'Excercise - Al '!Q200,"")</f>
        <v xml:space="preserve">   DESCRIPTION: Request for NLWS for security mission</v>
      </c>
      <c r="G200" s="63" t="str">
        <f>IF('Excercise - Al '!P200&lt;&gt;"","IMPLEMENTER: "&amp;'Excercise - Al '!P200,"")</f>
        <v>IMPLEMENTER: Need NLWS for security mission</v>
      </c>
      <c r="H200" s="63" t="str">
        <f>IF('Excercise - Al '!N200&lt;&gt;"","EXPECTED ACTIONS: "&amp;'Excercise - Al '!N200,"")</f>
        <v/>
      </c>
      <c r="I200" s="63" t="str">
        <f>'Excercise - Al '!R200</f>
        <v>Kahl</v>
      </c>
    </row>
    <row r="201" spans="1:9" s="24" customFormat="1" ht="56.25">
      <c r="A201" s="63">
        <f>'Excercise - Al '!A201</f>
        <v>200</v>
      </c>
      <c r="B201" s="63"/>
      <c r="C201" s="64">
        <f>'Excercise - Al '!E201</f>
        <v>40304.4375</v>
      </c>
      <c r="D201" s="63" t="str">
        <f>IF('Excercise - Al '!F201&lt;&gt;0,'Excercise - Al '!F201,"")</f>
        <v>MISSION</v>
      </c>
      <c r="E201" s="63" t="str">
        <f>IF('Excercise - Al '!G201&lt;&gt;"","MODE: "&amp;'Excercise - Al '!G201,"")&amp;IF('Excercise - Al '!H201&lt;&gt;"","   FROM: "&amp;'Excercise - Al '!H201,"")&amp;IF('Excercise - Al '!I201&lt;&gt;"","   INJECTED BY: "&amp;'Excercise - Al '!I201,"")&amp;IF('Excercise - Al '!J201&lt;&gt;"","   SEND TO: "&amp;'Excercise - Al '!J201,"")</f>
        <v>MODE: EMITS   FROM: ESF 9   INJECTED BY: SEOC LNO   SEND TO: JTF-S</v>
      </c>
      <c r="F201" s="63" t="str">
        <f>IF('Excercise - Al '!K201&lt;&gt;"","STORYLINE: "&amp;'Excercise - Al '!K201,"")&amp;IF('Excercise - Al '!M201&lt;&gt;"","   DESCRIPTION: "&amp;'Excercise - Al '!M201,"")&amp;IF('Excercise - Al '!O201&lt;&gt;"","   NOTES/REMARKS: "&amp;'Excercise - Al '!O201,"")&amp;IF('Excercise - Al '!Q201&lt;&gt;"","   BACKGROUND INFO: "&amp;'Excercise - Al '!Q201,"")</f>
        <v xml:space="preserve">   DESCRIPTION: Water SAR Request - Baldwin County</v>
      </c>
      <c r="G201" s="63" t="str">
        <f>IF('Excercise - Al '!P201&lt;&gt;"","IMPLEMENTER: "&amp;'Excercise - Al '!P201,"")</f>
        <v>IMPLEMENTER: Baldwin County EMA Request 4 SAR boat teams to vicinity Point Clear, AL POC is Mr Raines</v>
      </c>
      <c r="H201" s="63" t="str">
        <f>IF('Excercise - Al '!N201&lt;&gt;"","EXPECTED ACTIONS: "&amp;'Excercise - Al '!N201,"")</f>
        <v/>
      </c>
      <c r="I201" s="63" t="str">
        <f>'Excercise - Al '!R201</f>
        <v>Keane</v>
      </c>
    </row>
    <row r="202" spans="1:9" s="24" customFormat="1" ht="56.25">
      <c r="A202" s="63">
        <f>'Excercise - Al '!A202</f>
        <v>201</v>
      </c>
      <c r="B202" s="63"/>
      <c r="C202" s="64">
        <f>'Excercise - Al '!E202</f>
        <v>40304.438194444447</v>
      </c>
      <c r="D202" s="63" t="str">
        <f>IF('Excercise - Al '!F202&lt;&gt;0,'Excercise - Al '!F202,"")</f>
        <v>MISSION</v>
      </c>
      <c r="E202" s="63" t="str">
        <f>IF('Excercise - Al '!G202&lt;&gt;"","MODE: "&amp;'Excercise - Al '!G202,"")&amp;IF('Excercise - Al '!H202&lt;&gt;"","   FROM: "&amp;'Excercise - Al '!H202,"")&amp;IF('Excercise - Al '!I202&lt;&gt;"","   INJECTED BY: "&amp;'Excercise - Al '!I202,"")&amp;IF('Excercise - Al '!J202&lt;&gt;"","   SEND TO: "&amp;'Excercise - Al '!J202,"")</f>
        <v>MODE: EMITS   FROM: ESF 13   INJECTED BY: SEOC LNO   SEND TO: JOC</v>
      </c>
      <c r="F202" s="63" t="str">
        <f>IF('Excercise - Al '!K202&lt;&gt;"","STORYLINE: "&amp;'Excercise - Al '!K202,"")&amp;IF('Excercise - Al '!M202&lt;&gt;"","   DESCRIPTION: "&amp;'Excercise - Al '!M202,"")&amp;IF('Excercise - Al '!O202&lt;&gt;"","   NOTES/REMARKS: "&amp;'Excercise - Al '!O202,"")&amp;IF('Excercise - Al '!Q202&lt;&gt;"","   BACKGROUND INFO: "&amp;'Excercise - Al '!Q202,"")</f>
        <v xml:space="preserve">   DESCRIPTION: Aviation Request</v>
      </c>
      <c r="G202" s="63" t="str">
        <f>IF('Excercise - Al '!P202&lt;&gt;"","IMPLEMENTER: "&amp;'Excercise - Al '!P202,"")</f>
        <v>IMPLEMENTER: Request aviation for aerial assessment of affect AO.  20 PAX</v>
      </c>
      <c r="H202" s="63" t="str">
        <f>IF('Excercise - Al '!N202&lt;&gt;"","EXPECTED ACTIONS: "&amp;'Excercise - Al '!N202,"")</f>
        <v/>
      </c>
      <c r="I202" s="63" t="str">
        <f>'Excercise - Al '!R202</f>
        <v>Keane</v>
      </c>
    </row>
    <row r="203" spans="1:9" s="24" customFormat="1" ht="56.25">
      <c r="A203" s="63">
        <f>'Excercise - Al '!A203</f>
        <v>202</v>
      </c>
      <c r="B203" s="63"/>
      <c r="C203" s="64">
        <f>'Excercise - Al '!E203</f>
        <v>40304.439583333333</v>
      </c>
      <c r="D203" s="63" t="str">
        <f>IF('Excercise - Al '!F203&lt;&gt;0,'Excercise - Al '!F203,"")</f>
        <v>MISSION</v>
      </c>
      <c r="E203" s="63" t="str">
        <f>IF('Excercise - Al '!G203&lt;&gt;"","MODE: "&amp;'Excercise - Al '!G203,"")&amp;IF('Excercise - Al '!H203&lt;&gt;"","   FROM: "&amp;'Excercise - Al '!H203,"")&amp;IF('Excercise - Al '!I203&lt;&gt;"","   INJECTED BY: "&amp;'Excercise - Al '!I203,"")&amp;IF('Excercise - Al '!J203&lt;&gt;"","   SEND TO: "&amp;'Excercise - Al '!J203,"")</f>
        <v>MODE: EMITS   FROM: ESF 5   INJECTED BY: SEOC LNO   SEND TO: JTF-S</v>
      </c>
      <c r="F203" s="63" t="str">
        <f>IF('Excercise - Al '!K203&lt;&gt;"","STORYLINE: "&amp;'Excercise - Al '!K203,"")&amp;IF('Excercise - Al '!M203&lt;&gt;"","   DESCRIPTION: "&amp;'Excercise - Al '!M203,"")&amp;IF('Excercise - Al '!O203&lt;&gt;"","   NOTES/REMARKS: "&amp;'Excercise - Al '!O203,"")&amp;IF('Excercise - Al '!Q203&lt;&gt;"","   BACKGROUND INFO: "&amp;'Excercise - Al '!Q203,"")</f>
        <v xml:space="preserve">   DESCRIPTION: Generator Request</v>
      </c>
      <c r="G203" s="63" t="str">
        <f>IF('Excercise - Al '!P203&lt;&gt;"","IMPLEMENTER: "&amp;'Excercise - Al '!P203,"")</f>
        <v xml:space="preserve">IMPLEMENTER: Deploy 3ea 100KW Gen to Baldwin County Hospital, Thomas (Fairhope), Foley (South Baldwin), Foley Dialysis Center, Foley. </v>
      </c>
      <c r="H203" s="63" t="str">
        <f>IF('Excercise - Al '!N203&lt;&gt;"","EXPECTED ACTIONS: "&amp;'Excercise - Al '!N203,"")</f>
        <v/>
      </c>
      <c r="I203" s="63" t="str">
        <f>'Excercise - Al '!R203</f>
        <v>Keane</v>
      </c>
    </row>
    <row r="204" spans="1:9" s="24" customFormat="1" ht="56.25">
      <c r="A204" s="63">
        <f>'Excercise - Al '!A204</f>
        <v>203</v>
      </c>
      <c r="B204" s="63"/>
      <c r="C204" s="64">
        <f>'Excercise - Al '!E204</f>
        <v>40304.440972222234</v>
      </c>
      <c r="D204" s="63" t="str">
        <f>IF('Excercise - Al '!F204&lt;&gt;0,'Excercise - Al '!F204,"")</f>
        <v>MISSION</v>
      </c>
      <c r="E204" s="63" t="str">
        <f>IF('Excercise - Al '!G204&lt;&gt;"","MODE: "&amp;'Excercise - Al '!G204,"")&amp;IF('Excercise - Al '!H204&lt;&gt;"","   FROM: "&amp;'Excercise - Al '!H204,"")&amp;IF('Excercise - Al '!I204&lt;&gt;"","   INJECTED BY: "&amp;'Excercise - Al '!I204,"")&amp;IF('Excercise - Al '!J204&lt;&gt;"","   SEND TO: "&amp;'Excercise - Al '!J204,"")</f>
        <v>MODE: EMITS   FROM: ESF 5   INJECTED BY: SEOC LNO   SEND TO: JTF-S</v>
      </c>
      <c r="F204" s="63" t="str">
        <f>IF('Excercise - Al '!K204&lt;&gt;"","STORYLINE: "&amp;'Excercise - Al '!K204,"")&amp;IF('Excercise - Al '!M204&lt;&gt;"","   DESCRIPTION: "&amp;'Excercise - Al '!M204,"")&amp;IF('Excercise - Al '!O204&lt;&gt;"","   NOTES/REMARKS: "&amp;'Excercise - Al '!O204,"")&amp;IF('Excercise - Al '!Q204&lt;&gt;"","   BACKGROUND INFO: "&amp;'Excercise - Al '!Q204,"")</f>
        <v xml:space="preserve">   DESCRIPTION: Evacuation Assistance Request</v>
      </c>
      <c r="G204" s="63" t="str">
        <f>IF('Excercise - Al '!P204&lt;&gt;"","IMPLEMENTER: "&amp;'Excercise - Al '!P204,"")</f>
        <v>IMPLEMENTER: Provide 25 soldiers to assist with loading and orderly evacuation 150 patients at Springhill Medical Center in Mobile due to power/water outages. Mission duration is 12 hrs</v>
      </c>
      <c r="H204" s="63" t="str">
        <f>IF('Excercise - Al '!N204&lt;&gt;"","EXPECTED ACTIONS: "&amp;'Excercise - Al '!N204,"")</f>
        <v/>
      </c>
      <c r="I204" s="63" t="str">
        <f>'Excercise - Al '!R204</f>
        <v>Keane</v>
      </c>
    </row>
    <row r="205" spans="1:9" s="24" customFormat="1" ht="78.75">
      <c r="A205" s="63">
        <f>'Excercise - Al '!A205</f>
        <v>204</v>
      </c>
      <c r="B205" s="63"/>
      <c r="C205" s="64">
        <f>'Excercise - Al '!E205</f>
        <v>40304.443055555574</v>
      </c>
      <c r="D205" s="63" t="str">
        <f>IF('Excercise - Al '!F205&lt;&gt;0,'Excercise - Al '!F205,"")</f>
        <v>MISSION</v>
      </c>
      <c r="E205" s="63" t="str">
        <f>IF('Excercise - Al '!G205&lt;&gt;"","MODE: "&amp;'Excercise - Al '!G205,"")&amp;IF('Excercise - Al '!H205&lt;&gt;"","   FROM: "&amp;'Excercise - Al '!H205,"")&amp;IF('Excercise - Al '!I205&lt;&gt;"","   INJECTED BY: "&amp;'Excercise - Al '!I205,"")&amp;IF('Excercise - Al '!J205&lt;&gt;"","   SEND TO: "&amp;'Excercise - Al '!J205,"")</f>
        <v>MODE: EMITS   FROM: ESF 1   INJECTED BY: SEOC LNO   SEND TO: JTF-S</v>
      </c>
      <c r="F205" s="63" t="str">
        <f>IF('Excercise - Al '!K205&lt;&gt;"","STORYLINE: "&amp;'Excercise - Al '!K205,"")&amp;IF('Excercise - Al '!M205&lt;&gt;"","   DESCRIPTION: "&amp;'Excercise - Al '!M205,"")&amp;IF('Excercise - Al '!O205&lt;&gt;"","   NOTES/REMARKS: "&amp;'Excercise - Al '!O205,"")&amp;IF('Excercise - Al '!Q205&lt;&gt;"","   BACKGROUND INFO: "&amp;'Excercise - Al '!Q205,"")</f>
        <v xml:space="preserve">   DESCRIPTION: LSA Support - Commodity Transportation</v>
      </c>
      <c r="G205" s="63" t="str">
        <f>IF('Excercise - Al '!P205&lt;&gt;"","IMPLEMENTER: "&amp;'Excercise - Al '!P205,"")</f>
        <v xml:space="preserve">IMPLEMENTER: Transport food, water, and ice from LSA Brookley Field to LSA's located in Mobile and Baldwin Counties.  Commodities to move are 400 Pallets of MRE, 500 Pallets of water, 100 Pallets of Ice, this will be a LOG Push mission daily.  Mission duration is TBD.    </v>
      </c>
      <c r="H205" s="63" t="str">
        <f>IF('Excercise - Al '!N205&lt;&gt;"","EXPECTED ACTIONS: "&amp;'Excercise - Al '!N205,"")</f>
        <v/>
      </c>
      <c r="I205" s="63" t="str">
        <f>'Excercise - Al '!R205</f>
        <v>Keane</v>
      </c>
    </row>
    <row r="206" spans="1:9" s="24" customFormat="1" ht="56.25">
      <c r="A206" s="63">
        <f>'Excercise - Al '!A206</f>
        <v>205</v>
      </c>
      <c r="B206" s="63"/>
      <c r="C206" s="64">
        <f>'Excercise - Al '!E206</f>
        <v>40304.44375000002</v>
      </c>
      <c r="D206" s="63" t="str">
        <f>IF('Excercise - Al '!F206&lt;&gt;0,'Excercise - Al '!F206,"")</f>
        <v>MISSION</v>
      </c>
      <c r="E206" s="63" t="str">
        <f>IF('Excercise - Al '!G206&lt;&gt;"","MODE: "&amp;'Excercise - Al '!G206,"")&amp;IF('Excercise - Al '!H206&lt;&gt;"","   FROM: "&amp;'Excercise - Al '!H206,"")&amp;IF('Excercise - Al '!I206&lt;&gt;"","   INJECTED BY: "&amp;'Excercise - Al '!I206,"")&amp;IF('Excercise - Al '!J206&lt;&gt;"","   SEND TO: "&amp;'Excercise - Al '!J206,"")</f>
        <v>MODE: EMITS   FROM: AEMA ESF 13   INJECTED BY: SEOC LNO   SEND TO: JOC</v>
      </c>
      <c r="F206" s="63" t="str">
        <f>IF('Excercise - Al '!K206&lt;&gt;"","STORYLINE: "&amp;'Excercise - Al '!K206,"")&amp;IF('Excercise - Al '!M206&lt;&gt;"","   DESCRIPTION: "&amp;'Excercise - Al '!M206,"")&amp;IF('Excercise - Al '!O206&lt;&gt;"","   NOTES/REMARKS: "&amp;'Excercise - Al '!O206,"")&amp;IF('Excercise - Al '!Q206&lt;&gt;"","   BACKGROUND INFO: "&amp;'Excercise - Al '!Q206,"")</f>
        <v xml:space="preserve">   DESCRIPTION: AEMA Request for additional Guard personnel</v>
      </c>
      <c r="G206" s="63" t="str">
        <f>IF('Excercise - Al '!P206&lt;&gt;"","IMPLEMENTER: "&amp;'Excercise - Al '!P206,"")</f>
        <v>IMPLEMENTER: AEMA requests activating 1300 additional Guardsmen for initial hurricane response force.</v>
      </c>
      <c r="H206" s="63" t="str">
        <f>IF('Excercise - Al '!N206&lt;&gt;"","EXPECTED ACTIONS: "&amp;'Excercise - Al '!N206,"")</f>
        <v/>
      </c>
      <c r="I206" s="63" t="str">
        <f>'Excercise - Al '!R206</f>
        <v>Keane</v>
      </c>
    </row>
    <row r="207" spans="1:9" s="24" customFormat="1" ht="67.5">
      <c r="A207" s="63">
        <f>'Excercise - Al '!A207</f>
        <v>206</v>
      </c>
      <c r="B207" s="63"/>
      <c r="C207" s="64">
        <f>'Excercise - Al '!E207</f>
        <v>40304.444444444445</v>
      </c>
      <c r="D207" s="63" t="str">
        <f>IF('Excercise - Al '!F207&lt;&gt;0,'Excercise - Al '!F207,"")</f>
        <v>RFI</v>
      </c>
      <c r="E207" s="63" t="str">
        <f>IF('Excercise - Al '!G207&lt;&gt;"","MODE: "&amp;'Excercise - Al '!G207,"")&amp;IF('Excercise - Al '!H207&lt;&gt;"","   FROM: "&amp;'Excercise - Al '!H207,"")&amp;IF('Excercise - Al '!I207&lt;&gt;"","   INJECTED BY: "&amp;'Excercise - Al '!I207,"")&amp;IF('Excercise - Al '!J207&lt;&gt;"","   SEND TO: "&amp;'Excercise - Al '!J207,"")</f>
        <v>MODE: Phone    FROM: White Cell - JTF South   INJECTED BY: KAHL   SEND TO: JTF South</v>
      </c>
      <c r="F207" s="63" t="str">
        <f>IF('Excercise - Al '!K207&lt;&gt;"","STORYLINE: "&amp;'Excercise - Al '!K207,"")&amp;IF('Excercise - Al '!M207&lt;&gt;"","   DESCRIPTION: "&amp;'Excercise - Al '!M207,"")&amp;IF('Excercise - Al '!O207&lt;&gt;"","   NOTES/REMARKS: "&amp;'Excercise - Al '!O207,"")&amp;IF('Excercise - Al '!Q207&lt;&gt;"","   BACKGROUND INFO: "&amp;'Excercise - Al '!Q207,"")</f>
        <v xml:space="preserve">   DESCRIPTION: Request for route clearance   BACKGROUND INFO: JTF should call in report and JOC call state EOC </v>
      </c>
      <c r="G207" s="63" t="str">
        <f>IF('Excercise - Al '!P207&lt;&gt;"","IMPLEMENTER: "&amp;'Excercise - Al '!P207,"")</f>
        <v>IMPLEMENTER: Emergency Room Entrance Blocked. Hospital Administrator askes for help to clear route</v>
      </c>
      <c r="H207" s="63" t="str">
        <f>IF('Excercise - Al '!N207&lt;&gt;"","EXPECTED ACTIONS: "&amp;'Excercise - Al '!N207,"")</f>
        <v/>
      </c>
      <c r="I207" s="63" t="str">
        <f>'Excercise - Al '!R207</f>
        <v>Kahl</v>
      </c>
    </row>
    <row r="208" spans="1:9" s="24" customFormat="1" ht="101.25">
      <c r="A208" s="63">
        <f>'Excercise - Al '!A208</f>
        <v>207</v>
      </c>
      <c r="B208" s="63"/>
      <c r="C208" s="64">
        <f>'Excercise - Al '!E208</f>
        <v>40304.444444444467</v>
      </c>
      <c r="D208" s="63" t="str">
        <f>IF('Excercise - Al '!F208&lt;&gt;0,'Excercise - Al '!F208,"")</f>
        <v>INFO</v>
      </c>
      <c r="E208" s="63" t="str">
        <f>IF('Excercise - Al '!G208&lt;&gt;"","MODE: "&amp;'Excercise - Al '!G208,"")&amp;IF('Excercise - Al '!H208&lt;&gt;"","   FROM: "&amp;'Excercise - Al '!H208,"")&amp;IF('Excercise - Al '!I208&lt;&gt;"","   INJECTED BY: "&amp;'Excercise - Al '!I208,"")&amp;IF('Excercise - Al '!J208&lt;&gt;"","   SEND TO: "&amp;'Excercise - Al '!J208,"")</f>
        <v xml:space="preserve">   INJECTED BY: PERRY MCDONALD   SEND TO: JOC</v>
      </c>
      <c r="F208" s="63" t="str">
        <f>IF('Excercise - Al '!K208&lt;&gt;"","STORYLINE: "&amp;'Excercise - Al '!K208,"")&amp;IF('Excercise - Al '!M208&lt;&gt;"","   DESCRIPTION: "&amp;'Excercise - Al '!M208,"")&amp;IF('Excercise - Al '!O208&lt;&gt;"","   NOTES/REMARKS: "&amp;'Excercise - Al '!O208,"")&amp;IF('Excercise - Al '!Q208&lt;&gt;"","   BACKGROUND INFO: "&amp;'Excercise - Al '!Q208,"")</f>
        <v xml:space="preserve">   DESCRIPTION: Report of problems at WWTP</v>
      </c>
      <c r="G208" s="63" t="str">
        <f>IF('Excercise - Al '!P208&lt;&gt;"","IMPLEMENTER: "&amp;'Excercise - Al '!P208,"")</f>
        <v>IMPLEMENTER: A Deputy Sheriff calls the water superintendent to let them know that he received a radio call from an EMS worker reporting that (named) Hospital was losing water pressure fast. He also informs the water treatment plant (WTP) that the same EMS worker also noticed that water was gushing out of a pipe under the (named) Street bridge.</v>
      </c>
      <c r="H208" s="63" t="str">
        <f>IF('Excercise - Al '!N208&lt;&gt;"","EXPECTED ACTIONS: "&amp;'Excercise - Al '!N208,"")</f>
        <v/>
      </c>
      <c r="I208" s="63" t="str">
        <f>'Excercise - Al '!R208</f>
        <v>P McDonald</v>
      </c>
    </row>
    <row r="209" spans="1:9" s="24" customFormat="1" ht="78.75">
      <c r="A209" s="63">
        <f>'Excercise - Al '!A209</f>
        <v>208</v>
      </c>
      <c r="B209" s="63"/>
      <c r="C209" s="64">
        <f>'Excercise - Al '!E209</f>
        <v>40304.447916666664</v>
      </c>
      <c r="D209" s="63" t="str">
        <f>IF('Excercise - Al '!F209&lt;&gt;0,'Excercise - Al '!F209,"")</f>
        <v>MISSION</v>
      </c>
      <c r="E209" s="63" t="str">
        <f>IF('Excercise - Al '!G209&lt;&gt;"","MODE: "&amp;'Excercise - Al '!G209,"")&amp;IF('Excercise - Al '!H209&lt;&gt;"","   FROM: "&amp;'Excercise - Al '!H209,"")&amp;IF('Excercise - Al '!I209&lt;&gt;"","   INJECTED BY: "&amp;'Excercise - Al '!I209,"")&amp;IF('Excercise - Al '!J209&lt;&gt;"","   SEND TO: "&amp;'Excercise - Al '!J209,"")</f>
        <v>MODE: EMITS   FROM: SEOC   INJECTED BY: SEOC LNO   SEND TO: JOC Message Center</v>
      </c>
      <c r="F209" s="63" t="str">
        <f>IF('Excercise - Al '!K209&lt;&gt;"","STORYLINE: "&amp;'Excercise - Al '!K209,"")&amp;IF('Excercise - Al '!M209&lt;&gt;"","   DESCRIPTION: "&amp;'Excercise - Al '!M209,"")&amp;IF('Excercise - Al '!O209&lt;&gt;"","   NOTES/REMARKS: "&amp;'Excercise - Al '!O209,"")&amp;IF('Excercise - Al '!Q209&lt;&gt;"","   BACKGROUND INFO: "&amp;'Excercise - Al '!Q209,"")</f>
        <v xml:space="preserve">   DESCRIPTION: EOC Request for Security forces   BACKGROUND INFO: JTF South sends Soldiers in vehicles or w/radio communication to each check point.</v>
      </c>
      <c r="G209" s="63" t="str">
        <f>IF('Excercise - Al '!P209&lt;&gt;"","IMPLEMENTER: "&amp;'Excercise - Al '!P209,"")</f>
        <v>IMPLEMENTER: EOC requests SAR forces for Gulf Shores, Orange Beach, Dauphin Island, and Fort Morgan. Mission is to   assist with manning  security check points. Mission request is for 200 personnel. Anticipated mission duration is 72 hours. Request units be self sustaining</v>
      </c>
      <c r="H209" s="63" t="str">
        <f>IF('Excercise - Al '!N209&lt;&gt;"","EXPECTED ACTIONS: "&amp;'Excercise - Al '!N209,"")</f>
        <v/>
      </c>
      <c r="I209" s="63" t="str">
        <f>'Excercise - Al '!R209</f>
        <v>Wheeler</v>
      </c>
    </row>
    <row r="210" spans="1:9" s="24" customFormat="1" ht="56.25">
      <c r="A210" s="63">
        <f>'Excercise - Al '!A210</f>
        <v>209</v>
      </c>
      <c r="B210" s="63"/>
      <c r="C210" s="64">
        <f>'Excercise - Al '!E210</f>
        <v>40304.448611111111</v>
      </c>
      <c r="D210" s="63" t="str">
        <f>IF('Excercise - Al '!F210&lt;&gt;0,'Excercise - Al '!F210,"")</f>
        <v>INFO</v>
      </c>
      <c r="E210" s="63" t="str">
        <f>IF('Excercise - Al '!G210&lt;&gt;"","MODE: "&amp;'Excercise - Al '!G210,"")&amp;IF('Excercise - Al '!H210&lt;&gt;"","   FROM: "&amp;'Excercise - Al '!H210,"")&amp;IF('Excercise - Al '!I210&lt;&gt;"","   INJECTED BY: "&amp;'Excercise - Al '!I210,"")&amp;IF('Excercise - Al '!J210&lt;&gt;"","   SEND TO: "&amp;'Excercise - Al '!J210,"")</f>
        <v>MODE: Email   FROM: JTF S   INJECTED BY: HOWARD   SEND TO: J3</v>
      </c>
      <c r="F210" s="63" t="str">
        <f>IF('Excercise - Al '!K210&lt;&gt;"","STORYLINE: "&amp;'Excercise - Al '!K210,"")&amp;IF('Excercise - Al '!M210&lt;&gt;"","   DESCRIPTION: "&amp;'Excercise - Al '!M210,"")&amp;IF('Excercise - Al '!O210&lt;&gt;"","   NOTES/REMARKS: "&amp;'Excercise - Al '!O210,"")&amp;IF('Excercise - Al '!Q210&lt;&gt;"","   BACKGROUND INFO: "&amp;'Excercise - Al '!Q210,"")</f>
        <v xml:space="preserve">   DESCRIPTION: Soldier is threatening another Soldier with a loaded weapon while performing POD support in Bay Minnette.  He has recently redeployed from Iraq after 13 months. </v>
      </c>
      <c r="G210" s="63" t="str">
        <f>IF('Excercise - Al '!P210&lt;&gt;"","IMPLEMENTER: "&amp;'Excercise - Al '!P210,"")</f>
        <v xml:space="preserve">IMPLEMENTER: Soldier is threatening another Soldier with a loaded weapon while performing POD support in Bay Minnette.  He has recently redeployed from Iraq after 13 months. </v>
      </c>
      <c r="H210" s="63" t="str">
        <f>IF('Excercise - Al '!N210&lt;&gt;"","EXPECTED ACTIONS: "&amp;'Excercise - Al '!N210,"")</f>
        <v/>
      </c>
      <c r="I210" s="63" t="str">
        <f>'Excercise - Al '!R210</f>
        <v>Benton</v>
      </c>
    </row>
    <row r="211" spans="1:9" s="24" customFormat="1" ht="56.25">
      <c r="A211" s="63">
        <f>'Excercise - Al '!A211</f>
        <v>210</v>
      </c>
      <c r="B211" s="63"/>
      <c r="C211" s="64">
        <f>'Excercise - Al '!E211</f>
        <v>40304.458333333336</v>
      </c>
      <c r="D211" s="63" t="str">
        <f>IF('Excercise - Al '!F211&lt;&gt;0,'Excercise - Al '!F211,"")</f>
        <v>MISSION</v>
      </c>
      <c r="E211" s="63" t="str">
        <f>IF('Excercise - Al '!G211&lt;&gt;"","MODE: "&amp;'Excercise - Al '!G211,"")&amp;IF('Excercise - Al '!H211&lt;&gt;"","   FROM: "&amp;'Excercise - Al '!H211,"")&amp;IF('Excercise - Al '!I211&lt;&gt;"","   INJECTED BY: "&amp;'Excercise - Al '!I211,"")&amp;IF('Excercise - Al '!J211&lt;&gt;"","   SEND TO: "&amp;'Excercise - Al '!J211,"")</f>
        <v>MODE: EMITS   FROM: AEMA   INJECTED BY: SEOC LNO   SEND TO: JOC</v>
      </c>
      <c r="F211" s="63" t="str">
        <f>IF('Excercise - Al '!K211&lt;&gt;"","STORYLINE: "&amp;'Excercise - Al '!K211,"")&amp;IF('Excercise - Al '!M211&lt;&gt;"","   DESCRIPTION: "&amp;'Excercise - Al '!M211,"")&amp;IF('Excercise - Al '!O211&lt;&gt;"","   NOTES/REMARKS: "&amp;'Excercise - Al '!O211,"")&amp;IF('Excercise - Al '!Q211&lt;&gt;"","   BACKGROUND INFO: "&amp;'Excercise - Al '!Q211,"")</f>
        <v xml:space="preserve">   DESCRIPTION: EMA Request for Aviation Support</v>
      </c>
      <c r="G211" s="63" t="str">
        <f>IF('Excercise - Al '!P211&lt;&gt;"","IMPLEMENTER: "&amp;'Excercise - Al '!P211,"")</f>
        <v>IMPLEMENTER: AEMA requests rotary wing assets for Governor and State Officials to observe storm damage.  Positioned NLT 1800 19 May 2009.  Duration 7 days.  Expect 12-15 pax per sortie.</v>
      </c>
      <c r="H211" s="63" t="str">
        <f>IF('Excercise - Al '!N211&lt;&gt;"","EXPECTED ACTIONS: "&amp;'Excercise - Al '!N211,"")</f>
        <v/>
      </c>
      <c r="I211" s="63" t="str">
        <f>'Excercise - Al '!R211</f>
        <v>Keane</v>
      </c>
    </row>
    <row r="212" spans="1:9" s="24" customFormat="1" ht="67.5">
      <c r="A212" s="63">
        <f>'Excercise - Al '!A212</f>
        <v>211</v>
      </c>
      <c r="B212" s="63"/>
      <c r="C212" s="64">
        <f>'Excercise - Al '!E212</f>
        <v>40304.458333333336</v>
      </c>
      <c r="D212" s="63" t="str">
        <f>IF('Excercise - Al '!F212&lt;&gt;0,'Excercise - Al '!F212,"")</f>
        <v>RFI</v>
      </c>
      <c r="E212" s="63" t="str">
        <f>IF('Excercise - Al '!G212&lt;&gt;"","MODE: "&amp;'Excercise - Al '!G212,"")&amp;IF('Excercise - Al '!H212&lt;&gt;"","   FROM: "&amp;'Excercise - Al '!H212,"")&amp;IF('Excercise - Al '!I212&lt;&gt;"","   INJECTED BY: "&amp;'Excercise - Al '!I212,"")&amp;IF('Excercise - Al '!J212&lt;&gt;"","   SEND TO: "&amp;'Excercise - Al '!J212,"")</f>
        <v>MODE: RFA   FROM: White Cell - JTF South   INJECTED BY: SEOC LNO   SEND TO: JOC</v>
      </c>
      <c r="F212" s="63" t="str">
        <f>IF('Excercise - Al '!K212&lt;&gt;"","STORYLINE: "&amp;'Excercise - Al '!K212,"")&amp;IF('Excercise - Al '!M212&lt;&gt;"","   DESCRIPTION: "&amp;'Excercise - Al '!M212,"")&amp;IF('Excercise - Al '!O212&lt;&gt;"","   NOTES/REMARKS: "&amp;'Excercise - Al '!O212,"")&amp;IF('Excercise - Al '!Q212&lt;&gt;"","   BACKGROUND INFO: "&amp;'Excercise - Al '!Q212,"")</f>
        <v xml:space="preserve">   DESCRIPTION: Sandbag Request</v>
      </c>
      <c r="G212" s="63" t="str">
        <f>IF('Excercise - Al '!P212&lt;&gt;"","IMPLEMENTER: "&amp;'Excercise - Al '!P212,"")</f>
        <v>IMPLEMENTER: Need Sandbags for damning and Road Barriers for Traffic control</v>
      </c>
      <c r="H212" s="63" t="str">
        <f>IF('Excercise - Al '!N212&lt;&gt;"","EXPECTED ACTIONS: "&amp;'Excercise - Al '!N212,"")</f>
        <v/>
      </c>
      <c r="I212" s="63" t="str">
        <f>'Excercise - Al '!R212</f>
        <v>Kahl</v>
      </c>
    </row>
    <row r="213" spans="1:9" s="24" customFormat="1" ht="168.75">
      <c r="A213" s="63">
        <f>'Excercise - Al '!A213</f>
        <v>212</v>
      </c>
      <c r="B213" s="63"/>
      <c r="C213" s="64">
        <f>'Excercise - Al '!E213</f>
        <v>40304.46875</v>
      </c>
      <c r="D213" s="63" t="str">
        <f>IF('Excercise - Al '!F213&lt;&gt;0,'Excercise - Al '!F213,"")</f>
        <v>MRE request</v>
      </c>
      <c r="E213" s="63" t="str">
        <f>IF('Excercise - Al '!G213&lt;&gt;"","MODE: "&amp;'Excercise - Al '!G213,"")&amp;IF('Excercise - Al '!H213&lt;&gt;"","   FROM: "&amp;'Excercise - Al '!H213,"")&amp;IF('Excercise - Al '!I213&lt;&gt;"","   INJECTED BY: "&amp;'Excercise - Al '!I213,"")&amp;IF('Excercise - Al '!J213&lt;&gt;"","   SEND TO: "&amp;'Excercise - Al '!J213,"")</f>
        <v>MODE: Email/cell   INJECTED BY: MCDONALD/TOMBERLIN   SEND TO: TF-South, JOC J-4</v>
      </c>
      <c r="F213" s="63" t="str">
        <f>IF('Excercise - Al '!K213&lt;&gt;"","STORYLINE: "&amp;'Excercise - Al '!K213,"")&amp;IF('Excercise - Al '!M213&lt;&gt;"","   DESCRIPTION: "&amp;'Excercise - Al '!M213,"")&amp;IF('Excercise - Al '!O213&lt;&gt;"","   NOTES/REMARKS: "&amp;'Excercise - Al '!O213,"")&amp;IF('Excercise - Al '!Q213&lt;&gt;"","   BACKGROUND INFO: "&amp;'Excercise - Al '!Q213,"")</f>
        <v>STORYLINE: Approximately 5 pallets of MRE's were scattered during Hurricane AL.   DESCRIPTION: Approximately 5 pallets of MRE's were scattered during Hurricane Al.   NOTES/REMARKS: What arrangement in accordance to DOL policy involves replacing MRE's reserve (replacement)?   BACKGROUND INFO: 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v>
      </c>
      <c r="G213" s="63" t="str">
        <f>IF('Excercise - Al '!P213&lt;&gt;"","IMPLEMENTER: "&amp;'Excercise - Al '!P213,"")</f>
        <v>IMPLEMENTER: High sustained wind from Hurricane AL damaged TF-South Warehouse facility, scattering several pallets of MRE's (approximately 5 pallets). Once TF-South request additional MRE's from DOL (J-4). The 5 ton truck transporting the MRE's to TF-South, Driver trying to avoid wildlife (deers) accidentally swerved the truck across I-65 south bound, losing a great portion of its cargo.</v>
      </c>
      <c r="H213" s="63" t="str">
        <f>IF('Excercise - Al '!N213&lt;&gt;"","EXPECTED ACTIONS: "&amp;'Excercise - Al '!N213,"")</f>
        <v>EXPECTED ACTIONS: Request from TF south thru DOL (J-4) to USPF&amp;O (Food Service section). End results - Contract local vendor for meals</v>
      </c>
      <c r="I213" s="63" t="str">
        <f>'Excercise - Al '!R213</f>
        <v>McDonald</v>
      </c>
    </row>
    <row r="214" spans="1:9" s="24" customFormat="1" ht="67.5">
      <c r="A214" s="63">
        <f>'Excercise - Al '!A214</f>
        <v>213</v>
      </c>
      <c r="B214" s="63"/>
      <c r="C214" s="64">
        <f>'Excercise - Al '!E214</f>
        <v>40304.472222222219</v>
      </c>
      <c r="D214" s="63" t="str">
        <f>IF('Excercise - Al '!F214&lt;&gt;0,'Excercise - Al '!F214,"")</f>
        <v>INFO</v>
      </c>
      <c r="E214" s="63" t="str">
        <f>IF('Excercise - Al '!G214&lt;&gt;"","MODE: "&amp;'Excercise - Al '!G214,"")&amp;IF('Excercise - Al '!H214&lt;&gt;"","   FROM: "&amp;'Excercise - Al '!H214,"")&amp;IF('Excercise - Al '!I214&lt;&gt;"","   INJECTED BY: "&amp;'Excercise - Al '!I214,"")&amp;IF('Excercise - Al '!J214&lt;&gt;"","   SEND TO: "&amp;'Excercise - Al '!J214,"")</f>
        <v>MODE: Phone / SIR   FROM: White Cell - JTF South   INJECTED BY: POLLARD   SEND TO: JOC, All</v>
      </c>
      <c r="F214" s="63" t="str">
        <f>IF('Excercise - Al '!K214&lt;&gt;"","STORYLINE: "&amp;'Excercise - Al '!K214,"")&amp;IF('Excercise - Al '!M214&lt;&gt;"","   DESCRIPTION: "&amp;'Excercise - Al '!M214,"")&amp;IF('Excercise - Al '!O214&lt;&gt;"","   NOTES/REMARKS: "&amp;'Excercise - Al '!O214,"")&amp;IF('Excercise - Al '!Q214&lt;&gt;"","   BACKGROUND INFO: "&amp;'Excercise - Al '!Q214,"")</f>
        <v xml:space="preserve">   DESCRIPTION: NG Weapon (M16) taken from soldier</v>
      </c>
      <c r="G214" s="63" t="str">
        <f>IF('Excercise - Al '!P214&lt;&gt;"","IMPLEMENTER: "&amp;'Excercise - Al '!P214,"")</f>
        <v>IMPLEMENTER: local thug at gun point forces the surrender of weapon from Private while on guard duty. No one hurt Weapon and 10 rounds taken.</v>
      </c>
      <c r="H214" s="63" t="str">
        <f>IF('Excercise - Al '!N214&lt;&gt;"","EXPECTED ACTIONS: "&amp;'Excercise - Al '!N214,"")</f>
        <v/>
      </c>
      <c r="I214" s="63" t="str">
        <f>'Excercise - Al '!R214</f>
        <v>Kahl</v>
      </c>
    </row>
    <row r="215" spans="1:9" s="24" customFormat="1" ht="56.25">
      <c r="A215" s="63">
        <f>'Excercise - Al '!A215</f>
        <v>214</v>
      </c>
      <c r="B215" s="63"/>
      <c r="C215" s="64">
        <f>'Excercise - Al '!E215</f>
        <v>40304.481944444444</v>
      </c>
      <c r="D215" s="63" t="str">
        <f>IF('Excercise - Al '!F215&lt;&gt;0,'Excercise - Al '!F215,"")</f>
        <v>MISSION</v>
      </c>
      <c r="E215" s="63" t="str">
        <f>IF('Excercise - Al '!G215&lt;&gt;"","MODE: "&amp;'Excercise - Al '!G215,"")&amp;IF('Excercise - Al '!H215&lt;&gt;"","   FROM: "&amp;'Excercise - Al '!H215,"")&amp;IF('Excercise - Al '!I215&lt;&gt;"","   INJECTED BY: "&amp;'Excercise - Al '!I215,"")&amp;IF('Excercise - Al '!J215&lt;&gt;"","   SEND TO: "&amp;'Excercise - Al '!J215,"")</f>
        <v>MODE: EMITS   FROM: ESF 5   INJECTED BY: SEOC LNO   SEND TO: JTF-S</v>
      </c>
      <c r="F215" s="63" t="str">
        <f>IF('Excercise - Al '!K215&lt;&gt;"","STORYLINE: "&amp;'Excercise - Al '!K215,"")&amp;IF('Excercise - Al '!M215&lt;&gt;"","   DESCRIPTION: "&amp;'Excercise - Al '!M215,"")&amp;IF('Excercise - Al '!O215&lt;&gt;"","   NOTES/REMARKS: "&amp;'Excercise - Al '!O215,"")&amp;IF('Excercise - Al '!Q215&lt;&gt;"","   BACKGROUND INFO: "&amp;'Excercise - Al '!Q215,"")</f>
        <v xml:space="preserve">   DESCRIPTION: Evacuation Assistance Request</v>
      </c>
      <c r="G215" s="63" t="str">
        <f>IF('Excercise - Al '!P215&lt;&gt;"","IMPLEMENTER: "&amp;'Excercise - Al '!P215,"")</f>
        <v>IMPLEMENTER: Provide 15 soldiers to assist with loading and orderly evacuation of 85 patients at Thomas Hospital in Fairhope due to power/water outages. Mission duration is 12 hrs</v>
      </c>
      <c r="H215" s="63" t="str">
        <f>IF('Excercise - Al '!N215&lt;&gt;"","EXPECTED ACTIONS: "&amp;'Excercise - Al '!N215,"")</f>
        <v/>
      </c>
      <c r="I215" s="63" t="str">
        <f>'Excercise - Al '!R215</f>
        <v>Keane</v>
      </c>
    </row>
    <row r="216" spans="1:9" s="24" customFormat="1" ht="45">
      <c r="A216" s="63">
        <f>'Excercise - Al '!A216</f>
        <v>215</v>
      </c>
      <c r="B216" s="63"/>
      <c r="C216" s="64">
        <f>'Excercise - Al '!E216</f>
        <v>40304.486111111109</v>
      </c>
      <c r="D216" s="63" t="str">
        <f>IF('Excercise - Al '!F216&lt;&gt;0,'Excercise - Al '!F216,"")</f>
        <v>INFO</v>
      </c>
      <c r="E216" s="63" t="str">
        <f>IF('Excercise - Al '!G216&lt;&gt;"","MODE: "&amp;'Excercise - Al '!G216,"")&amp;IF('Excercise - Al '!H216&lt;&gt;"","   FROM: "&amp;'Excercise - Al '!H216,"")&amp;IF('Excercise - Al '!I216&lt;&gt;"","   INJECTED BY: "&amp;'Excercise - Al '!I216,"")&amp;IF('Excercise - Al '!J216&lt;&gt;"","   SEND TO: "&amp;'Excercise - Al '!J216,"")</f>
        <v xml:space="preserve">   INJECTED BY: PERRY MCDONALD   SEND TO: JOC</v>
      </c>
      <c r="F216" s="63" t="str">
        <f>IF('Excercise - Al '!K216&lt;&gt;"","STORYLINE: "&amp;'Excercise - Al '!K216,"")&amp;IF('Excercise - Al '!M216&lt;&gt;"","   DESCRIPTION: "&amp;'Excercise - Al '!M216,"")&amp;IF('Excercise - Al '!O216&lt;&gt;"","   NOTES/REMARKS: "&amp;'Excercise - Al '!O216,"")&amp;IF('Excercise - Al '!Q216&lt;&gt;"","   BACKGROUND INFO: "&amp;'Excercise - Al '!Q216,"")</f>
        <v xml:space="preserve">   DESCRIPTION: News agency reports flooding</v>
      </c>
      <c r="G216" s="63" t="str">
        <f>IF('Excercise - Al '!P216&lt;&gt;"","IMPLEMENTER: "&amp;'Excercise - Al '!P216,"")</f>
        <v xml:space="preserve">IMPLEMENTER: A local news station reports that there are major flooding and power outages throughout the (named) city.  </v>
      </c>
      <c r="H216" s="63" t="str">
        <f>IF('Excercise - Al '!N216&lt;&gt;"","EXPECTED ACTIONS: "&amp;'Excercise - Al '!N216,"")</f>
        <v/>
      </c>
      <c r="I216" s="63" t="str">
        <f>'Excercise - Al '!R216</f>
        <v>P McDonald</v>
      </c>
    </row>
    <row r="217" spans="1:9" s="24" customFormat="1" ht="123.75">
      <c r="A217" s="63">
        <f>'Excercise - Al '!A217</f>
        <v>216</v>
      </c>
      <c r="B217" s="63"/>
      <c r="C217" s="64">
        <f>'Excercise - Al '!E217</f>
        <v>40304.499305555553</v>
      </c>
      <c r="D217" s="63" t="str">
        <f>IF('Excercise - Al '!F217&lt;&gt;0,'Excercise - Al '!F217,"")</f>
        <v>INFO</v>
      </c>
      <c r="E217" s="63" t="str">
        <f>IF('Excercise - Al '!G217&lt;&gt;"","MODE: "&amp;'Excercise - Al '!G217,"")&amp;IF('Excercise - Al '!H217&lt;&gt;"","   FROM: "&amp;'Excercise - Al '!H217,"")&amp;IF('Excercise - Al '!I217&lt;&gt;"","   INJECTED BY: "&amp;'Excercise - Al '!I217,"")&amp;IF('Excercise - Al '!J217&lt;&gt;"","   SEND TO: "&amp;'Excercise - Al '!J217,"")</f>
        <v xml:space="preserve">   INJECTED BY: PERRY MCDONALD   SEND TO: JOC</v>
      </c>
      <c r="F217" s="63" t="str">
        <f>IF('Excercise - Al '!K217&lt;&gt;"","STORYLINE: "&amp;'Excercise - Al '!K217,"")&amp;IF('Excercise - Al '!M217&lt;&gt;"","   DESCRIPTION: "&amp;'Excercise - Al '!M217,"")&amp;IF('Excercise - Al '!O217&lt;&gt;"","   NOTES/REMARKS: "&amp;'Excercise - Al '!O217,"")&amp;IF('Excercise - Al '!Q217&lt;&gt;"","   BACKGROUND INFO: "&amp;'Excercise - Al '!Q217,"")</f>
        <v xml:space="preserve">   DESCRIPTION: Problems reported at Waste Water Treatment Plant</v>
      </c>
      <c r="G217" s="63" t="str">
        <f>IF('Excercise - Al '!P217&lt;&gt;"","IMPLEMENTER: "&amp;'Excercise - Al '!P217,"")</f>
        <v>IMPLEMENTER: A phone call from the wastewater treatment plant (WWTP) superintendent to the public works manager is made. The backup generator has just failed at the WWTP, and upon inspection, a new main rotor is required. He will put a call in to the supplier. In the meantime, the equalization basin is starting to become full and raw sewage will need to be discharged to the river. Superintendent calls local EM Director to advise.</v>
      </c>
      <c r="H217" s="63" t="str">
        <f>IF('Excercise - Al '!N217&lt;&gt;"","EXPECTED ACTIONS: "&amp;'Excercise - Al '!N217,"")</f>
        <v/>
      </c>
      <c r="I217" s="63" t="str">
        <f>'Excercise - Al '!R217</f>
        <v>P McDonald</v>
      </c>
    </row>
    <row r="218" spans="1:9" s="24" customFormat="1" ht="101.25">
      <c r="A218" s="63">
        <f>'Excercise - Al '!A218</f>
        <v>217</v>
      </c>
      <c r="B218" s="63"/>
      <c r="C218" s="64">
        <f>'Excercise - Al '!E218</f>
        <v>40304.5</v>
      </c>
      <c r="D218" s="63" t="str">
        <f>IF('Excercise - Al '!F218&lt;&gt;0,'Excercise - Al '!F218,"")</f>
        <v>RFI</v>
      </c>
      <c r="E218" s="63" t="str">
        <f>IF('Excercise - Al '!G218&lt;&gt;"","MODE: "&amp;'Excercise - Al '!G218,"")&amp;IF('Excercise - Al '!H218&lt;&gt;"","   FROM: "&amp;'Excercise - Al '!H218,"")&amp;IF('Excercise - Al '!I218&lt;&gt;"","   INJECTED BY: "&amp;'Excercise - Al '!I218,"")&amp;IF('Excercise - Al '!J218&lt;&gt;"","   SEND TO: "&amp;'Excercise - Al '!J218,"")</f>
        <v>MODE: Email   FROM: Each Task Force   INJECTED BY: TF S2   SEND TO: JOC, J2</v>
      </c>
      <c r="F218" s="63" t="str">
        <f>IF('Excercise - Al '!K218&lt;&gt;"","STORYLINE: "&amp;'Excercise - Al '!K218,"")&amp;IF('Excercise - Al '!M218&lt;&gt;"","   DESCRIPTION: "&amp;'Excercise - Al '!M218,"")&amp;IF('Excercise - Al '!O218&lt;&gt;"","   NOTES/REMARKS: "&amp;'Excercise - Al '!O218,"")&amp;IF('Excercise - Al '!Q218&lt;&gt;"","   BACKGROUND INFO: "&amp;'Excercise - Al '!Q218,"")</f>
        <v xml:space="preserve">   DESCRIPTION: Weather Update/Storm Track</v>
      </c>
      <c r="G218" s="63" t="str">
        <f>IF('Excercise - Al '!P218&lt;&gt;"","IMPLEMENTER: "&amp;'Excercise - Al '!P218,"")</f>
        <v>IMPLEMENTER: Weather RFI from Task Force to J2</v>
      </c>
      <c r="H218" s="63" t="str">
        <f>IF('Excercise - Al '!N218&lt;&gt;"","EXPECTED ACTIONS: "&amp;'Excercise - Al '!N218,"")</f>
        <v>EXPECTED ACTIONS: J2 Provides latest Weather and Storm Track to the TFs</v>
      </c>
      <c r="I218" s="63" t="str">
        <f>'Excercise - Al '!R218</f>
        <v>Houlton</v>
      </c>
    </row>
    <row r="219" spans="1:9" s="24" customFormat="1" ht="101.25">
      <c r="A219" s="63">
        <f>'Excercise - Al '!A219</f>
        <v>218</v>
      </c>
      <c r="B219" s="63"/>
      <c r="C219" s="64">
        <f>'Excercise - Al '!E219</f>
        <v>40304.500694444447</v>
      </c>
      <c r="D219" s="63" t="str">
        <f>IF('Excercise - Al '!F219&lt;&gt;0,'Excercise - Al '!F219,"")</f>
        <v>RFI</v>
      </c>
      <c r="E219" s="63" t="str">
        <f>IF('Excercise - Al '!G219&lt;&gt;"","MODE: "&amp;'Excercise - Al '!G219,"")&amp;IF('Excercise - Al '!H219&lt;&gt;"","   FROM: "&amp;'Excercise - Al '!H219,"")&amp;IF('Excercise - Al '!I219&lt;&gt;"","   INJECTED BY: "&amp;'Excercise - Al '!I219,"")&amp;IF('Excercise - Al '!J219&lt;&gt;"","   SEND TO: "&amp;'Excercise - Al '!J219,"")</f>
        <v>MODE: Email   FROM: Each Task Force   INJECTED BY: TF S2   SEND TO: JOC, J2</v>
      </c>
      <c r="F219" s="63" t="str">
        <f>IF('Excercise - Al '!K219&lt;&gt;"","STORYLINE: "&amp;'Excercise - Al '!K219,"")&amp;IF('Excercise - Al '!M219&lt;&gt;"","   DESCRIPTION: "&amp;'Excercise - Al '!M219,"")&amp;IF('Excercise - Al '!O219&lt;&gt;"","   NOTES/REMARKS: "&amp;'Excercise - Al '!O219,"")&amp;IF('Excercise - Al '!Q219&lt;&gt;"","   BACKGROUND INFO: "&amp;'Excercise - Al '!Q219,"")</f>
        <v xml:space="preserve">   DESCRIPTION: Weather Update/Storm Track</v>
      </c>
      <c r="G219" s="63" t="str">
        <f>IF('Excercise - Al '!P219&lt;&gt;"","IMPLEMENTER: "&amp;'Excercise - Al '!P219,"")</f>
        <v>IMPLEMENTER: Weather RFI from Task Force to J2</v>
      </c>
      <c r="H219" s="63" t="str">
        <f>IF('Excercise - Al '!N219&lt;&gt;"","EXPECTED ACTIONS: "&amp;'Excercise - Al '!N219,"")</f>
        <v>EXPECTED ACTIONS: J2 Provides latest Weather and Storm Track to the TFs</v>
      </c>
      <c r="I219" s="63" t="str">
        <f>'Excercise - Al '!R219</f>
        <v>Houlton</v>
      </c>
    </row>
    <row r="220" spans="1:9" s="24" customFormat="1" ht="56.25">
      <c r="A220" s="63">
        <f>'Excercise - Al '!A220</f>
        <v>219</v>
      </c>
      <c r="B220" s="63"/>
      <c r="C220" s="64">
        <f>'Excercise - Al '!E220</f>
        <v>40304.520833333336</v>
      </c>
      <c r="D220" s="63" t="str">
        <f>IF('Excercise - Al '!F220&lt;&gt;0,'Excercise - Al '!F220,"")</f>
        <v>MISSION</v>
      </c>
      <c r="E220" s="63" t="str">
        <f>IF('Excercise - Al '!G220&lt;&gt;"","MODE: "&amp;'Excercise - Al '!G220,"")&amp;IF('Excercise - Al '!H220&lt;&gt;"","   FROM: "&amp;'Excercise - Al '!H220,"")&amp;IF('Excercise - Al '!I220&lt;&gt;"","   INJECTED BY: "&amp;'Excercise - Al '!I220,"")&amp;IF('Excercise - Al '!J220&lt;&gt;"","   SEND TO: "&amp;'Excercise - Al '!J220,"")</f>
        <v>MODE: EMITS   FROM: ESF 7   INJECTED BY: SEOC LNO   SEND TO: JTF-S</v>
      </c>
      <c r="F220" s="63" t="str">
        <f>IF('Excercise - Al '!K220&lt;&gt;"","STORYLINE: "&amp;'Excercise - Al '!K220,"")&amp;IF('Excercise - Al '!M220&lt;&gt;"","   DESCRIPTION: "&amp;'Excercise - Al '!M220,"")&amp;IF('Excercise - Al '!O220&lt;&gt;"","   NOTES/REMARKS: "&amp;'Excercise - Al '!O220,"")&amp;IF('Excercise - Al '!Q220&lt;&gt;"","   BACKGROUND INFO: "&amp;'Excercise - Al '!Q220,"")</f>
        <v xml:space="preserve">   DESCRIPTION: Establish and run LSA Greyhound Park Mobile, AL </v>
      </c>
      <c r="G220" s="63" t="str">
        <f>IF('Excercise - Al '!P220&lt;&gt;"","IMPLEMENTER: "&amp;'Excercise - Al '!P220,"")</f>
        <v xml:space="preserve">IMPLEMENTER: Establish and run LSA Greyhound Park Mobile, AL </v>
      </c>
      <c r="H220" s="63" t="str">
        <f>IF('Excercise - Al '!N220&lt;&gt;"","EXPECTED ACTIONS: "&amp;'Excercise - Al '!N220,"")</f>
        <v/>
      </c>
      <c r="I220" s="63" t="str">
        <f>'Excercise - Al '!R220</f>
        <v>Keane</v>
      </c>
    </row>
    <row r="221" spans="1:9" s="24" customFormat="1" ht="56.25">
      <c r="A221" s="63">
        <f>'Excercise - Al '!A221</f>
        <v>220</v>
      </c>
      <c r="B221" s="63"/>
      <c r="C221" s="64">
        <f>'Excercise - Al '!E221</f>
        <v>40304.521527777775</v>
      </c>
      <c r="D221" s="63" t="str">
        <f>IF('Excercise - Al '!F221&lt;&gt;0,'Excercise - Al '!F221,"")</f>
        <v>MISSION</v>
      </c>
      <c r="E221" s="63" t="str">
        <f>IF('Excercise - Al '!G221&lt;&gt;"","MODE: "&amp;'Excercise - Al '!G221,"")&amp;IF('Excercise - Al '!H221&lt;&gt;"","   FROM: "&amp;'Excercise - Al '!H221,"")&amp;IF('Excercise - Al '!I221&lt;&gt;"","   INJECTED BY: "&amp;'Excercise - Al '!I221,"")&amp;IF('Excercise - Al '!J221&lt;&gt;"","   SEND TO: "&amp;'Excercise - Al '!J221,"")</f>
        <v>MODE: EMITS   FROM: ESF 13   INJECTED BY: SEOC LNO   SEND TO: JOC</v>
      </c>
      <c r="F221" s="63" t="str">
        <f>IF('Excercise - Al '!K221&lt;&gt;"","STORYLINE: "&amp;'Excercise - Al '!K221,"")&amp;IF('Excercise - Al '!M221&lt;&gt;"","   DESCRIPTION: "&amp;'Excercise - Al '!M221,"")&amp;IF('Excercise - Al '!O221&lt;&gt;"","   NOTES/REMARKS: "&amp;'Excercise - Al '!O221,"")&amp;IF('Excercise - Al '!Q221&lt;&gt;"","   BACKGROUND INFO: "&amp;'Excercise - Al '!Q221,"")</f>
        <v xml:space="preserve">   DESCRIPTION: AEMA request NG assistance in providing fuel trucks, and recovery vehicles to assist stranded evacuees along Hwy 43 between Salco and Jackson.</v>
      </c>
      <c r="G221" s="63" t="str">
        <f>IF('Excercise - Al '!P221&lt;&gt;"","IMPLEMENTER: "&amp;'Excercise - Al '!P221,"")</f>
        <v>IMPLEMENTER: AEMA request NG assistance in providing fuel trucks, and recovery vehicles to assist stranded evacuees along Hwy 43 between Salco and Jackson.</v>
      </c>
      <c r="H221" s="63" t="str">
        <f>IF('Excercise - Al '!N221&lt;&gt;"","EXPECTED ACTIONS: "&amp;'Excercise - Al '!N221,"")</f>
        <v/>
      </c>
      <c r="I221" s="63" t="str">
        <f>'Excercise - Al '!R221</f>
        <v>Keane</v>
      </c>
    </row>
    <row r="222" spans="1:9" s="24" customFormat="1" ht="135">
      <c r="A222" s="63">
        <f>'Excercise - Al '!A222</f>
        <v>221</v>
      </c>
      <c r="B222" s="63"/>
      <c r="C222" s="64">
        <f>'Excercise - Al '!E222</f>
        <v>40304.541666666664</v>
      </c>
      <c r="D222" s="63" t="str">
        <f>IF('Excercise - Al '!F222&lt;&gt;0,'Excercise - Al '!F222,"")</f>
        <v>RFI</v>
      </c>
      <c r="E222" s="63" t="str">
        <f>IF('Excercise - Al '!G222&lt;&gt;"","MODE: "&amp;'Excercise - Al '!G222,"")&amp;IF('Excercise - Al '!H222&lt;&gt;"","   FROM: "&amp;'Excercise - Al '!H222,"")&amp;IF('Excercise - Al '!I222&lt;&gt;"","   INJECTED BY: "&amp;'Excercise - Al '!I222,"")&amp;IF('Excercise - Al '!J222&lt;&gt;"","   SEND TO: "&amp;'Excercise - Al '!J222,"")</f>
        <v>MODE: Email   INJECTED BY: HICKS</v>
      </c>
      <c r="F222" s="63" t="str">
        <f>IF('Excercise - Al '!K222&lt;&gt;"","STORYLINE: "&amp;'Excercise - Al '!K222,"")&amp;IF('Excercise - Al '!M222&lt;&gt;"","   DESCRIPTION: "&amp;'Excercise - Al '!M222,"")&amp;IF('Excercise - Al '!O222&lt;&gt;"","   NOTES/REMARKS: "&amp;'Excercise - Al '!O222,"")&amp;IF('Excercise - Al '!Q222&lt;&gt;"","   BACKGROUND INFO: "&amp;'Excercise - Al '!Q222,"")</f>
        <v>STORYLINE: CHAPLAIN &amp; UMT ACTIIVITIES</v>
      </c>
      <c r="G222" s="63" t="str">
        <f>IF('Excercise - Al '!P222&lt;&gt;"","IMPLEMENTER: "&amp;'Excercise - Al '!P222,"")</f>
        <v>IMPLEMENTER: An Air Force Active Duty Chaplain is stranded in a shelter and volunteers to offer his assistance to the Guard in the hurricane aftermath. Can he be used?</v>
      </c>
      <c r="H222" s="63" t="str">
        <f>IF('Excercise - Al '!N222&lt;&gt;"","EXPECTED ACTIONS: "&amp;'Excercise - Al '!N222,"")</f>
        <v xml:space="preserve">EXPECTED ACTIONS: JF Chaplain deny his help and refer him to his own
  base and chain of command.
</v>
      </c>
      <c r="I222" s="63" t="str">
        <f>'Excercise - Al '!R222</f>
        <v>Hicks</v>
      </c>
    </row>
    <row r="223" spans="1:9" s="24" customFormat="1" ht="112.5">
      <c r="A223" s="63">
        <f>'Excercise - Al '!A223</f>
        <v>222</v>
      </c>
      <c r="B223" s="63"/>
      <c r="C223" s="64">
        <f>'Excercise - Al '!E223</f>
        <v>40304.552083333336</v>
      </c>
      <c r="D223" s="63" t="str">
        <f>IF('Excercise - Al '!F223&lt;&gt;0,'Excercise - Al '!F223,"")</f>
        <v>RFI</v>
      </c>
      <c r="E223" s="63" t="str">
        <f>IF('Excercise - Al '!G223&lt;&gt;"","MODE: "&amp;'Excercise - Al '!G223,"")&amp;IF('Excercise - Al '!H223&lt;&gt;"","   FROM: "&amp;'Excercise - Al '!H223,"")&amp;IF('Excercise - Al '!I223&lt;&gt;"","   INJECTED BY: "&amp;'Excercise - Al '!I223,"")&amp;IF('Excercise - Al '!J223&lt;&gt;"","   SEND TO: "&amp;'Excercise - Al '!J223,"")</f>
        <v>MODE: Email/cell   FROM: AEMA   INJECTED BY: SEOC LNO   SEND TO: JOC J-4</v>
      </c>
      <c r="F223" s="63" t="str">
        <f>IF('Excercise - Al '!K223&lt;&gt;"","STORYLINE: "&amp;'Excercise - Al '!K223,"")&amp;IF('Excercise - Al '!M223&lt;&gt;"","   DESCRIPTION: "&amp;'Excercise - Al '!M223,"")&amp;IF('Excercise - Al '!O223&lt;&gt;"","   NOTES/REMARKS: "&amp;'Excercise - Al '!O223,"")&amp;IF('Excercise - Al '!Q223&lt;&gt;"","   BACKGROUND INFO: "&amp;'Excercise - Al '!Q223,"")</f>
        <v xml:space="preserve">   DESCRIPTION: Request for chainsaws to clearance debris for route clearance   BACKGROUND INFO: 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v>
      </c>
      <c r="G223" s="63" t="str">
        <f>IF('Excercise - Al '!P223&lt;&gt;"","IMPLEMENTER: "&amp;'Excercise - Al '!P223,"")</f>
        <v>IMPLEMENTER: The local area Emergency Manager (EM), Fire Department and local police Department reported due to the high wind sustained by Hurricane AL many trees, and other debris has hindered many routes in Southwest Alabama. EM requested engineering support. EM is requesting an additional 50 chainsaws.</v>
      </c>
      <c r="H223" s="63" t="str">
        <f>IF('Excercise - Al '!N223&lt;&gt;"","EXPECTED ACTIONS: "&amp;'Excercise - Al '!N223,"")</f>
        <v xml:space="preserve">EXPECTED ACTIONS: DOL (J-4), utilizes available asset, before buying from local vendor. </v>
      </c>
      <c r="I223" s="63" t="str">
        <f>'Excercise - Al '!R223</f>
        <v>McDonald</v>
      </c>
    </row>
    <row r="224" spans="1:9" s="24" customFormat="1" ht="180">
      <c r="A224" s="63">
        <f>'Excercise - Al '!A224</f>
        <v>223</v>
      </c>
      <c r="B224" s="63"/>
      <c r="C224" s="64">
        <f>'Excercise - Al '!E224</f>
        <v>40304.59375</v>
      </c>
      <c r="D224" s="63" t="str">
        <f>IF('Excercise - Al '!F224&lt;&gt;0,'Excercise - Al '!F224,"")</f>
        <v>RFI</v>
      </c>
      <c r="E224" s="63" t="str">
        <f>IF('Excercise - Al '!G224&lt;&gt;"","MODE: "&amp;'Excercise - Al '!G224,"")&amp;IF('Excercise - Al '!H224&lt;&gt;"","   FROM: "&amp;'Excercise - Al '!H224,"")&amp;IF('Excercise - Al '!I224&lt;&gt;"","   INJECTED BY: "&amp;'Excercise - Al '!I224,"")&amp;IF('Excercise - Al '!J224&lt;&gt;"","   SEND TO: "&amp;'Excercise - Al '!J224,"")</f>
        <v xml:space="preserve">MODE: Email/cell   FROM: Weather service?   INJECTED BY: SEOC LNO   SEND TO: JOC </v>
      </c>
      <c r="F224" s="63" t="str">
        <f>IF('Excercise - Al '!K224&lt;&gt;"","STORYLINE: "&amp;'Excercise - Al '!K224,"")&amp;IF('Excercise - Al '!M224&lt;&gt;"","   DESCRIPTION: "&amp;'Excercise - Al '!M224,"")&amp;IF('Excercise - Al '!O224&lt;&gt;"","   NOTES/REMARKS: "&amp;'Excercise - Al '!O224,"")&amp;IF('Excercise - Al '!Q224&lt;&gt;"","   BACKGROUND INFO: "&amp;'Excercise - Al '!Q224,"")</f>
        <v xml:space="preserve">   DESCRIPTION: Flash Flood Warning   BACKGROUND INFO: 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v>
      </c>
      <c r="G224" s="63" t="str">
        <f>IF('Excercise - Al '!P224&lt;&gt;"","IMPLEMENTER: "&amp;'Excercise - Al '!P224,"")</f>
        <v>IMPLEMENTER: After Hurricane AL made land fall near the Gulf Coast area of Mobile. The local weather advisory reported a Flash Flood Warning for Escambia County Alabama. The Burnt Corn Creek between HWY 41 and 49 near the town of Brewton, is forecasted to crest nearly two feet above flood stage. The Emergency Manager (EM) is asking for Class II (50 shovels), IV half million sand bags and VII Engineer equipment (two retrograde, two backhoes, ten dump trucks). Hundreds of homes and businesses are located within the possible flood zone. Berms and Barriers are needed to run alongside the creek bank for additional support.</v>
      </c>
      <c r="H224" s="63" t="str">
        <f>IF('Excercise - Al '!N224&lt;&gt;"","EXPECTED ACTIONS: "&amp;'Excercise - Al '!N224,"")</f>
        <v>EXPECTED ACTIONS: How the J-4 DOL respond to bulk product?</v>
      </c>
      <c r="I224" s="63" t="str">
        <f>'Excercise - Al '!R224</f>
        <v>McDonald</v>
      </c>
    </row>
    <row r="225" spans="1:9" s="24" customFormat="1" ht="33.75">
      <c r="A225" s="63">
        <f>'Excercise - Al '!A225</f>
        <v>224</v>
      </c>
      <c r="B225" s="63"/>
      <c r="C225" s="64">
        <f>'Excercise - Al '!E225</f>
        <v>40304.635416666664</v>
      </c>
      <c r="D225" s="63" t="str">
        <f>IF('Excercise - Al '!F225&lt;&gt;0,'Excercise - Al '!F225,"")</f>
        <v>RFI</v>
      </c>
      <c r="E225" s="63" t="str">
        <f>IF('Excercise - Al '!G225&lt;&gt;"","MODE: "&amp;'Excercise - Al '!G225,"")&amp;IF('Excercise - Al '!H225&lt;&gt;"","   FROM: "&amp;'Excercise - Al '!H225,"")&amp;IF('Excercise - Al '!I225&lt;&gt;"","   INJECTED BY: "&amp;'Excercise - Al '!I225,"")&amp;IF('Excercise - Al '!J225&lt;&gt;"","   SEND TO: "&amp;'Excercise - Al '!J225,"")</f>
        <v>MODE: Email   FROM: JTF S   SEND TO: J4</v>
      </c>
      <c r="F225" s="63" t="str">
        <f>IF('Excercise - Al '!K225&lt;&gt;"","STORYLINE: "&amp;'Excercise - Al '!K225,"")&amp;IF('Excercise - Al '!M225&lt;&gt;"","   DESCRIPTION: "&amp;'Excercise - Al '!M225,"")&amp;IF('Excercise - Al '!O225&lt;&gt;"","   NOTES/REMARKS: "&amp;'Excercise - Al '!O225,"")&amp;IF('Excercise - Al '!Q225&lt;&gt;"","   BACKGROUND INFO: "&amp;'Excercise - Al '!Q225,"")</f>
        <v xml:space="preserve">   DESCRIPTION: JTF-S (TF Med) request resupply of CL VIII supplies (IV Fluids, bandages, and pharmaceutical 6505 items).  </v>
      </c>
      <c r="G225" s="63" t="str">
        <f>IF('Excercise - Al '!P225&lt;&gt;"","IMPLEMENTER: "&amp;'Excercise - Al '!P225,"")</f>
        <v xml:space="preserve">IMPLEMENTER: JTF-S (TF Med) request resupply of CL VIII supplies (IV Fluids, bandages, and pharmaceutical 6505 items).  </v>
      </c>
      <c r="H225" s="63" t="str">
        <f>IF('Excercise - Al '!N225&lt;&gt;"","EXPECTED ACTIONS: "&amp;'Excercise - Al '!N225,"")</f>
        <v/>
      </c>
      <c r="I225" s="63" t="str">
        <f>'Excercise - Al '!R225</f>
        <v>Benton</v>
      </c>
    </row>
    <row r="226" spans="1:9" s="24" customFormat="1" ht="281.25">
      <c r="A226" s="63">
        <f>'Excercise - Al '!A226</f>
        <v>225</v>
      </c>
      <c r="B226" s="63"/>
      <c r="C226" s="64">
        <f>'Excercise - Al '!E226</f>
        <v>40304.666666666664</v>
      </c>
      <c r="D226" s="63" t="str">
        <f>IF('Excercise - Al '!F226&lt;&gt;0,'Excercise - Al '!F226,"")</f>
        <v>INFO</v>
      </c>
      <c r="E226" s="63" t="str">
        <f>IF('Excercise - Al '!G226&lt;&gt;"","MODE: "&amp;'Excercise - Al '!G226,"")&amp;IF('Excercise - Al '!H226&lt;&gt;"","   FROM: "&amp;'Excercise - Al '!H226,"")&amp;IF('Excercise - Al '!I226&lt;&gt;"","   INJECTED BY: "&amp;'Excercise - Al '!I226,"")&amp;IF('Excercise - Al '!J226&lt;&gt;"","   SEND TO: "&amp;'Excercise - Al '!J226,"")</f>
        <v>MODE: Email   FROM: Simcell - National Hurricane Center   INJECTED BY: KEANE   SEND TO: JOC, All</v>
      </c>
      <c r="F226" s="63" t="str">
        <f>IF('Excercise - Al '!K226&lt;&gt;"","STORYLINE: "&amp;'Excercise - Al '!K226,"")&amp;IF('Excercise - Al '!M226&lt;&gt;"","   DESCRIPTION: "&amp;'Excercise - Al '!M226,"")&amp;IF('Excercise - Al '!O226&lt;&gt;"","   NOTES/REMARKS: "&amp;'Excercise - Al '!O226,"")&amp;IF('Excercise - Al '!Q226&lt;&gt;"","   BACKGROUND INFO: "&amp;'Excercise - Al '!Q226,"")</f>
        <v>STORYLINE: Tropical Storm Al Update 23   DESCRIPTION: Tropical Storm Al Update 23</v>
      </c>
      <c r="G226" s="63" t="str">
        <f>IF('Excercise - Al '!P226&lt;&gt;"","IMPLEMENTER: "&amp;'Excercise - Al '!P226,"")</f>
        <v xml:space="preserve">IMPLEMENTER: 
...HURRICANE AL REMAINS A CATEGORY ONE HURRICANE...OVER SOUTHERN ALABAMA AND THE FLORIDA PANHANDLE...
SUMMARY OF 500 PM EDT...2100 UTC...INFORMATION
-----------------------------------------------
LOCATION...31.7N 87.6W
ABOUT 78 MILES...126 KM...NORTH-NORTHEAST OF MOBILE ALABAMA
ABOUT 87 MILES...140 KM...SOUTHWEST OF MONTGOMERY ALABAMA
ABOUT 132 MILES...213 KM...SOUTHEAST OF BIRMINGHAM ALABAMA 
MAXIMUM SUSTAINED WINDS...85 MPH...169 KM/HR
PRESENT MOVEMENT...NORTHERLY OR 39 DEGREES AT 9 MPH...14 KM/HR
MINIMUM CENTRAL PRESSURE 982 MB...29.0 INCHES
</v>
      </c>
      <c r="H226" s="63" t="str">
        <f>IF('Excercise - Al '!N226&lt;&gt;"","EXPECTED ACTIONS: "&amp;'Excercise - Al '!N226,"")</f>
        <v/>
      </c>
      <c r="I226" s="63" t="str">
        <f>'Excercise - Al '!R226</f>
        <v>Keane</v>
      </c>
    </row>
    <row r="227" spans="1:9" s="24" customFormat="1">
      <c r="A227" s="63">
        <f>'Excercise - Al '!A227</f>
        <v>226</v>
      </c>
      <c r="B227" s="63"/>
      <c r="C227" s="64">
        <f>'Excercise - Al '!E227</f>
        <v>40304.666666666664</v>
      </c>
      <c r="D227" s="63" t="str">
        <f>IF('Excercise - Al '!F227&lt;&gt;0,'Excercise - Al '!F227,"")</f>
        <v/>
      </c>
      <c r="E227" s="63" t="str">
        <f>IF('Excercise - Al '!G227&lt;&gt;"","MODE: "&amp;'Excercise - Al '!G227,"")&amp;IF('Excercise - Al '!H227&lt;&gt;"","   FROM: "&amp;'Excercise - Al '!H227,"")&amp;IF('Excercise - Al '!I227&lt;&gt;"","   INJECTED BY: "&amp;'Excercise - Al '!I227,"")&amp;IF('Excercise - Al '!J227&lt;&gt;"","   SEND TO: "&amp;'Excercise - Al '!J227,"")</f>
        <v/>
      </c>
      <c r="F227" s="63" t="str">
        <f>IF('Excercise - Al '!K227&lt;&gt;"","STORYLINE: "&amp;'Excercise - Al '!K227,"")&amp;IF('Excercise - Al '!M227&lt;&gt;"","   DESCRIPTION: "&amp;'Excercise - Al '!M227,"")&amp;IF('Excercise - Al '!O227&lt;&gt;"","   NOTES/REMARKS: "&amp;'Excercise - Al '!O227,"")&amp;IF('Excercise - Al '!Q227&lt;&gt;"","   BACKGROUND INFO: "&amp;'Excercise - Al '!Q227,"")</f>
        <v/>
      </c>
      <c r="G227" s="63" t="str">
        <f>IF('Excercise - Al '!P227&lt;&gt;"","IMPLEMENTER: "&amp;'Excercise - Al '!P227,"")</f>
        <v>IMPLEMENTER: ENDEX</v>
      </c>
      <c r="H227" s="63" t="str">
        <f>IF('Excercise - Al '!N227&lt;&gt;"","EXPECTED ACTIONS: "&amp;'Excercise - Al '!N227,"")</f>
        <v/>
      </c>
      <c r="I227" s="63" t="str">
        <f>'Excercise - Al '!R227</f>
        <v>Keane</v>
      </c>
    </row>
    <row r="228" spans="1:9" s="24" customFormat="1" ht="33.75">
      <c r="A228" s="63">
        <f>'Excercise - Al '!A228</f>
        <v>227</v>
      </c>
      <c r="B228" s="63"/>
      <c r="C228" s="64">
        <f>'Excercise - Al '!E228</f>
        <v>40304.708333333336</v>
      </c>
      <c r="D228" s="63" t="str">
        <f>IF('Excercise - Al '!F228&lt;&gt;0,'Excercise - Al '!F228,"")</f>
        <v>31st CHEM BDE - JTF-AL goes to REDCON2</v>
      </c>
      <c r="E228" s="63" t="str">
        <f>IF('Excercise - Al '!G228&lt;&gt;"","MODE: "&amp;'Excercise - Al '!G228,"")&amp;IF('Excercise - Al '!H228&lt;&gt;"","   FROM: "&amp;'Excercise - Al '!H228,"")&amp;IF('Excercise - Al '!I228&lt;&gt;"","   INJECTED BY: "&amp;'Excercise - Al '!I228,"")&amp;IF('Excercise - Al '!J228&lt;&gt;"","   SEND TO: "&amp;'Excercise - Al '!J228,"")</f>
        <v>MODE: Not Injected</v>
      </c>
      <c r="F228" s="63" t="str">
        <f>IF('Excercise - Al '!K228&lt;&gt;"","STORYLINE: "&amp;'Excercise - Al '!K228,"")&amp;IF('Excercise - Al '!M228&lt;&gt;"","   DESCRIPTION: "&amp;'Excercise - Al '!M228,"")&amp;IF('Excercise - Al '!O228&lt;&gt;"","   NOTES/REMARKS: "&amp;'Excercise - Al '!O228,"")&amp;IF('Excercise - Al '!Q228&lt;&gt;"","   BACKGROUND INFO: "&amp;'Excercise - Al '!Q228,"")</f>
        <v/>
      </c>
      <c r="G228" s="63" t="str">
        <f>IF('Excercise - Al '!P228&lt;&gt;"","IMPLEMENTER: "&amp;'Excercise - Al '!P228,"")</f>
        <v/>
      </c>
      <c r="H228" s="63" t="str">
        <f>IF('Excercise - Al '!N228&lt;&gt;"","EXPECTED ACTIONS: "&amp;'Excercise - Al '!N228,"")</f>
        <v/>
      </c>
      <c r="I228" s="63" t="str">
        <f>'Excercise - Al '!R228</f>
        <v>Napier</v>
      </c>
    </row>
    <row r="229" spans="1:9" s="24" customFormat="1" ht="45">
      <c r="A229" s="63">
        <f>'Excercise - Al '!A229</f>
        <v>228</v>
      </c>
      <c r="B229" s="63"/>
      <c r="C229" s="64">
        <f>'Excercise - Al '!E229</f>
        <v>40304.75</v>
      </c>
      <c r="D229" s="63" t="str">
        <f>IF('Excercise - Al '!F229&lt;&gt;0,'Excercise - Al '!F229,"")</f>
        <v/>
      </c>
      <c r="E229" s="63" t="str">
        <f>IF('Excercise - Al '!G229&lt;&gt;"","MODE: "&amp;'Excercise - Al '!G229,"")&amp;IF('Excercise - Al '!H229&lt;&gt;"","   FROM: "&amp;'Excercise - Al '!H229,"")&amp;IF('Excercise - Al '!I229&lt;&gt;"","   INJECTED BY: "&amp;'Excercise - Al '!I229,"")&amp;IF('Excercise - Al '!J229&lt;&gt;"","   SEND TO: "&amp;'Excercise - Al '!J229,"")</f>
        <v/>
      </c>
      <c r="F229" s="63" t="str">
        <f>IF('Excercise - Al '!K229&lt;&gt;"","STORYLINE: "&amp;'Excercise - Al '!K229,"")&amp;IF('Excercise - Al '!M229&lt;&gt;"","   DESCRIPTION: "&amp;'Excercise - Al '!M229,"")&amp;IF('Excercise - Al '!O229&lt;&gt;"","   NOTES/REMARKS: "&amp;'Excercise - Al '!O229,"")&amp;IF('Excercise - Al '!Q229&lt;&gt;"","   BACKGROUND INFO: "&amp;'Excercise - Al '!Q229,"")</f>
        <v>STORYLINE: AEMA Director issues a press release about the evacuation progress along I-65…."traffic is heavily congested, and moving along slowly".</v>
      </c>
      <c r="G229" s="63" t="str">
        <f>IF('Excercise - Al '!P229&lt;&gt;"","IMPLEMENTER: "&amp;'Excercise - Al '!P229,"")</f>
        <v>IMPLEMENTER: AEMA Director issues a press release about the evacuation progress along I-65…."traffic is heavily congested, and moving along slowly".</v>
      </c>
      <c r="H229" s="63" t="str">
        <f>IF('Excercise - Al '!N229&lt;&gt;"","EXPECTED ACTIONS: "&amp;'Excercise - Al '!N229,"")</f>
        <v/>
      </c>
      <c r="I229" s="63">
        <f>'Excercise - Al '!R229</f>
        <v>0</v>
      </c>
    </row>
    <row r="230" spans="1:9" s="24" customFormat="1" ht="78.75">
      <c r="A230" s="63">
        <f>'Excercise - Al '!A230</f>
        <v>229</v>
      </c>
      <c r="B230" s="63"/>
      <c r="C230" s="64">
        <f>'Excercise - Al '!E230</f>
        <v>40304.75</v>
      </c>
      <c r="D230" s="63" t="str">
        <f>IF('Excercise - Al '!F230&lt;&gt;0,'Excercise - Al '!F230,"")</f>
        <v/>
      </c>
      <c r="E230" s="63" t="str">
        <f>IF('Excercise - Al '!G230&lt;&gt;"","MODE: "&amp;'Excercise - Al '!G230,"")&amp;IF('Excercise - Al '!H230&lt;&gt;"","   FROM: "&amp;'Excercise - Al '!H230,"")&amp;IF('Excercise - Al '!I230&lt;&gt;"","   INJECTED BY: "&amp;'Excercise - Al '!I230,"")&amp;IF('Excercise - Al '!J230&lt;&gt;"","   SEND TO: "&amp;'Excercise - Al '!J230,"")</f>
        <v/>
      </c>
      <c r="F230" s="63" t="str">
        <f>IF('Excercise - Al '!K230&lt;&gt;"","STORYLINE: "&amp;'Excercise - Al '!K230,"")&amp;IF('Excercise - Al '!M230&lt;&gt;"","   DESCRIPTION: "&amp;'Excercise - Al '!M230,"")&amp;IF('Excercise - Al '!O230&lt;&gt;"","   NOTES/REMARKS: "&amp;'Excercise - Al '!O230,"")&amp;IF('Excercise - Al '!Q230&lt;&gt;"","   BACKGROUND INFO: "&amp;'Excercise - Al '!Q230,"")</f>
        <v xml:space="preserve">STORYLINE: AEMA receives reports Mobile Co. EOC via SATCOM advising that as best they can determine, Mobile Co. is without power.  This was verified in the City of Mobile EOC.  EMITS terminal function appears to be intermittent.  Initial damage assessments are on-going.  </v>
      </c>
      <c r="G230" s="63" t="str">
        <f>IF('Excercise - Al '!P230&lt;&gt;"","IMPLEMENTER: "&amp;'Excercise - Al '!P230,"")</f>
        <v xml:space="preserve">IMPLEMENTER: AEMA receives reports Mobile Co. EOC via SATCOM advising that as best they can determine, Mobile Co. is without power.  This was verified in the City of Mobile EOC.  EMITS terminal function appears to be intermittent.  Initial damage assessments are on-going.  </v>
      </c>
      <c r="H230" s="63" t="str">
        <f>IF('Excercise - Al '!N230&lt;&gt;"","EXPECTED ACTIONS: "&amp;'Excercise - Al '!N230,"")</f>
        <v/>
      </c>
      <c r="I230" s="63">
        <f>'Excercise - Al '!R230</f>
        <v>0</v>
      </c>
    </row>
    <row r="231" spans="1:9" s="24" customFormat="1" ht="33.75">
      <c r="A231" s="63">
        <f>'Excercise - Al '!A231</f>
        <v>230</v>
      </c>
      <c r="B231" s="63"/>
      <c r="C231" s="64">
        <f>'Excercise - Al '!E231</f>
        <v>40304.75</v>
      </c>
      <c r="D231" s="63" t="str">
        <f>IF('Excercise - Al '!F231&lt;&gt;0,'Excercise - Al '!F231,"")</f>
        <v/>
      </c>
      <c r="E231" s="63" t="str">
        <f>IF('Excercise - Al '!G231&lt;&gt;"","MODE: "&amp;'Excercise - Al '!G231,"")&amp;IF('Excercise - Al '!H231&lt;&gt;"","   FROM: "&amp;'Excercise - Al '!H231,"")&amp;IF('Excercise - Al '!I231&lt;&gt;"","   INJECTED BY: "&amp;'Excercise - Al '!I231,"")&amp;IF('Excercise - Al '!J231&lt;&gt;"","   SEND TO: "&amp;'Excercise - Al '!J231,"")</f>
        <v/>
      </c>
      <c r="F231" s="63" t="str">
        <f>IF('Excercise - Al '!K231&lt;&gt;"","STORYLINE: "&amp;'Excercise - Al '!K231,"")&amp;IF('Excercise - Al '!M231&lt;&gt;"","   DESCRIPTION: "&amp;'Excercise - Al '!M231,"")&amp;IF('Excercise - Al '!O231&lt;&gt;"","   NOTES/REMARKS: "&amp;'Excercise - Al '!O231,"")&amp;IF('Excercise - Al '!Q231&lt;&gt;"","   BACKGROUND INFO: "&amp;'Excercise - Al '!Q231,"")</f>
        <v>STORYLINE: Coordinate pay submission and pay dates for soldiers in SAD status (Wireless/LAN).</v>
      </c>
      <c r="G231" s="63" t="str">
        <f>IF('Excercise - Al '!P231&lt;&gt;"","IMPLEMENTER: "&amp;'Excercise - Al '!P231,"")</f>
        <v>IMPLEMENTER: Coordinate pay submission and pay dates for soldiers in SAD status (Wireless/LAN).</v>
      </c>
      <c r="H231" s="63" t="str">
        <f>IF('Excercise - Al '!N231&lt;&gt;"","EXPECTED ACTIONS: "&amp;'Excercise - Al '!N231,"")</f>
        <v/>
      </c>
      <c r="I231" s="63">
        <f>'Excercise - Al '!R231</f>
        <v>0</v>
      </c>
    </row>
    <row r="232" spans="1:9" s="24" customFormat="1" ht="33.75">
      <c r="A232" s="63">
        <f>'Excercise - Al '!A232</f>
        <v>231</v>
      </c>
      <c r="B232" s="63"/>
      <c r="C232" s="64">
        <f>'Excercise - Al '!E232</f>
        <v>40304.75</v>
      </c>
      <c r="D232" s="63" t="str">
        <f>IF('Excercise - Al '!F232&lt;&gt;0,'Excercise - Al '!F232,"")</f>
        <v/>
      </c>
      <c r="E232" s="63" t="str">
        <f>IF('Excercise - Al '!G232&lt;&gt;"","MODE: "&amp;'Excercise - Al '!G232,"")&amp;IF('Excercise - Al '!H232&lt;&gt;"","   FROM: "&amp;'Excercise - Al '!H232,"")&amp;IF('Excercise - Al '!I232&lt;&gt;"","   INJECTED BY: "&amp;'Excercise - Al '!I232,"")&amp;IF('Excercise - Al '!J232&lt;&gt;"","   SEND TO: "&amp;'Excercise - Al '!J232,"")</f>
        <v/>
      </c>
      <c r="F232" s="63" t="str">
        <f>IF('Excercise - Al '!K232&lt;&gt;"","STORYLINE: "&amp;'Excercise - Al '!K232,"")&amp;IF('Excercise - Al '!M232&lt;&gt;"","   DESCRIPTION: "&amp;'Excercise - Al '!M232,"")&amp;IF('Excercise - Al '!O232&lt;&gt;"","   NOTES/REMARKS: "&amp;'Excercise - Al '!O232,"")&amp;IF('Excercise - Al '!Q232&lt;&gt;"","   BACKGROUND INFO: "&amp;'Excercise - Al '!Q232,"")</f>
        <v>STORYLINE: Identify the GPC Cardholders within each TF and request IMPAC/GPC Convenience Checks.</v>
      </c>
      <c r="G232" s="63" t="str">
        <f>IF('Excercise - Al '!P232&lt;&gt;"","IMPLEMENTER: "&amp;'Excercise - Al '!P232,"")</f>
        <v>IMPLEMENTER: Identify the GPC Cardholders within each TF and request IMPAC/GPC Convenience Checks.</v>
      </c>
      <c r="H232" s="63" t="str">
        <f>IF('Excercise - Al '!N232&lt;&gt;"","EXPECTED ACTIONS: "&amp;'Excercise - Al '!N232,"")</f>
        <v/>
      </c>
      <c r="I232" s="63">
        <f>'Excercise - Al '!R232</f>
        <v>0</v>
      </c>
    </row>
    <row r="233" spans="1:9" s="24" customFormat="1" ht="22.5">
      <c r="A233" s="63">
        <f>'Excercise - Al '!A233</f>
        <v>232</v>
      </c>
      <c r="B233" s="63"/>
      <c r="C233" s="64">
        <f>'Excercise - Al '!E233</f>
        <v>40304.75</v>
      </c>
      <c r="D233" s="63" t="str">
        <f>IF('Excercise - Al '!F233&lt;&gt;0,'Excercise - Al '!F233,"")</f>
        <v/>
      </c>
      <c r="E233" s="63" t="str">
        <f>IF('Excercise - Al '!G233&lt;&gt;"","MODE: "&amp;'Excercise - Al '!G233,"")&amp;IF('Excercise - Al '!H233&lt;&gt;"","   FROM: "&amp;'Excercise - Al '!H233,"")&amp;IF('Excercise - Al '!I233&lt;&gt;"","   INJECTED BY: "&amp;'Excercise - Al '!I233,"")&amp;IF('Excercise - Al '!J233&lt;&gt;"","   SEND TO: "&amp;'Excercise - Al '!J233,"")</f>
        <v/>
      </c>
      <c r="F233" s="63" t="str">
        <f>IF('Excercise - Al '!K233&lt;&gt;"","STORYLINE: "&amp;'Excercise - Al '!K233,"")&amp;IF('Excercise - Al '!M233&lt;&gt;"","   DESCRIPTION: "&amp;'Excercise - Al '!M233,"")&amp;IF('Excercise - Al '!O233&lt;&gt;"","   NOTES/REMARKS: "&amp;'Excercise - Al '!O233,"")&amp;IF('Excercise - Al '!Q233&lt;&gt;"","   BACKGROUND INFO: "&amp;'Excercise - Al '!Q233,"")</f>
        <v>STORYLINE: NGB-PAO starts conference calls for updates</v>
      </c>
      <c r="G233" s="63" t="str">
        <f>IF('Excercise - Al '!P233&lt;&gt;"","IMPLEMENTER: "&amp;'Excercise - Al '!P233,"")</f>
        <v>IMPLEMENTER: NGB-PAO starts conference calls for updates</v>
      </c>
      <c r="H233" s="63" t="str">
        <f>IF('Excercise - Al '!N233&lt;&gt;"","EXPECTED ACTIONS: "&amp;'Excercise - Al '!N233,"")</f>
        <v/>
      </c>
      <c r="I233" s="63">
        <f>'Excercise - Al '!R233</f>
        <v>0</v>
      </c>
    </row>
    <row r="234" spans="1:9" s="24" customFormat="1" ht="45">
      <c r="A234" s="63">
        <f>'Excercise - Al '!A234</f>
        <v>233</v>
      </c>
      <c r="B234" s="63"/>
      <c r="C234" s="64">
        <f>'Excercise - Al '!E234</f>
        <v>40304.75</v>
      </c>
      <c r="D234" s="63" t="str">
        <f>IF('Excercise - Al '!F234&lt;&gt;0,'Excercise - Al '!F234,"")</f>
        <v/>
      </c>
      <c r="E234" s="63" t="str">
        <f>IF('Excercise - Al '!G234&lt;&gt;"","MODE: "&amp;'Excercise - Al '!G234,"")&amp;IF('Excercise - Al '!H234&lt;&gt;"","   FROM: "&amp;'Excercise - Al '!H234,"")&amp;IF('Excercise - Al '!I234&lt;&gt;"","   INJECTED BY: "&amp;'Excercise - Al '!I234,"")&amp;IF('Excercise - Al '!J234&lt;&gt;"","   SEND TO: "&amp;'Excercise - Al '!J234,"")</f>
        <v/>
      </c>
      <c r="F234" s="63" t="str">
        <f>IF('Excercise - Al '!K234&lt;&gt;"","STORYLINE: "&amp;'Excercise - Al '!K234,"")&amp;IF('Excercise - Al '!M234&lt;&gt;"","   DESCRIPTION: "&amp;'Excercise - Al '!M234,"")&amp;IF('Excercise - Al '!O234&lt;&gt;"","   NOTES/REMARKS: "&amp;'Excercise - Al '!O234,"")&amp;IF('Excercise - Al '!Q234&lt;&gt;"","   BACKGROUND INFO: "&amp;'Excercise - Al '!Q234,"")</f>
        <v>STORYLINE: Press Release:  AL Governor issues emergency proclamation for Hurricane Al, and requests federal assistance ahead of possible landfall in AL</v>
      </c>
      <c r="G234" s="63" t="str">
        <f>IF('Excercise - Al '!P234&lt;&gt;"","IMPLEMENTER: "&amp;'Excercise - Al '!P234,"")</f>
        <v>IMPLEMENTER: Press Release:  AL Governor issues emergency proclamation for Hurricane Al, and requests federal assistance ahead of possible landfall in AL</v>
      </c>
      <c r="H234" s="63" t="str">
        <f>IF('Excercise - Al '!N234&lt;&gt;"","EXPECTED ACTIONS: "&amp;'Excercise - Al '!N234,"")</f>
        <v/>
      </c>
      <c r="I234" s="63">
        <f>'Excercise - Al '!R234</f>
        <v>0</v>
      </c>
    </row>
    <row r="235" spans="1:9" s="24" customFormat="1" ht="56.25">
      <c r="A235" s="63">
        <f>'Excercise - Al '!A235</f>
        <v>234</v>
      </c>
      <c r="B235" s="63"/>
      <c r="C235" s="64">
        <f>'Excercise - Al '!E235</f>
        <v>40304.75</v>
      </c>
      <c r="D235" s="63" t="str">
        <f>IF('Excercise - Al '!F235&lt;&gt;0,'Excercise - Al '!F235,"")</f>
        <v/>
      </c>
      <c r="E235" s="63" t="str">
        <f>IF('Excercise - Al '!G235&lt;&gt;"","MODE: "&amp;'Excercise - Al '!G235,"")&amp;IF('Excercise - Al '!H235&lt;&gt;"","   FROM: "&amp;'Excercise - Al '!H235,"")&amp;IF('Excercise - Al '!I235&lt;&gt;"","   INJECTED BY: "&amp;'Excercise - Al '!I235,"")&amp;IF('Excercise - Al '!J235&lt;&gt;"","   SEND TO: "&amp;'Excercise - Al '!J235,"")</f>
        <v/>
      </c>
      <c r="F235" s="63" t="str">
        <f>IF('Excercise - Al '!K235&lt;&gt;"","STORYLINE: "&amp;'Excercise - Al '!K235,"")&amp;IF('Excercise - Al '!M235&lt;&gt;"","   DESCRIPTION: "&amp;'Excercise - Al '!M235,"")&amp;IF('Excercise - Al '!O235&lt;&gt;"","   NOTES/REMARKS: "&amp;'Excercise - Al '!O235,"")&amp;IF('Excercise - Al '!Q235&lt;&gt;"","   BACKGROUND INFO: "&amp;'Excercise - Al '!Q235,"")</f>
        <v>STORYLINE: Provide 15 soldiers to assist with loading and orderly evacuation of 85 patients at Thomas Hospital in Fairhope due to power/water outages. Mission duration is 12 hrs</v>
      </c>
      <c r="G235" s="63" t="str">
        <f>IF('Excercise - Al '!P235&lt;&gt;"","IMPLEMENTER: "&amp;'Excercise - Al '!P235,"")</f>
        <v>IMPLEMENTER: Provide 15 soldiers to assist with loading and orderly evacuation of 85 patients at Thomas Hospital in Fairhope due to power/water outages. Mission duration is 12 hrs</v>
      </c>
      <c r="H235" s="63" t="str">
        <f>IF('Excercise - Al '!N235&lt;&gt;"","EXPECTED ACTIONS: "&amp;'Excercise - Al '!N235,"")</f>
        <v/>
      </c>
      <c r="I235" s="63">
        <f>'Excercise - Al '!R235</f>
        <v>0</v>
      </c>
    </row>
    <row r="236" spans="1:9" s="24" customFormat="1" ht="22.5">
      <c r="A236" s="63">
        <f>'Excercise - Al '!A236</f>
        <v>235</v>
      </c>
      <c r="B236" s="63"/>
      <c r="C236" s="64">
        <f>'Excercise - Al '!E236</f>
        <v>40304.75</v>
      </c>
      <c r="D236" s="63" t="str">
        <f>IF('Excercise - Al '!F236&lt;&gt;0,'Excercise - Al '!F236,"")</f>
        <v/>
      </c>
      <c r="E236" s="63" t="str">
        <f>IF('Excercise - Al '!G236&lt;&gt;"","MODE: "&amp;'Excercise - Al '!G236,"")&amp;IF('Excercise - Al '!H236&lt;&gt;"","   FROM: "&amp;'Excercise - Al '!H236,"")&amp;IF('Excercise - Al '!I236&lt;&gt;"","   INJECTED BY: "&amp;'Excercise - Al '!I236,"")&amp;IF('Excercise - Al '!J236&lt;&gt;"","   SEND TO: "&amp;'Excercise - Al '!J236,"")</f>
        <v/>
      </c>
      <c r="F236" s="63" t="str">
        <f>IF('Excercise - Al '!K236&lt;&gt;"","STORYLINE: "&amp;'Excercise - Al '!K236,"")&amp;IF('Excercise - Al '!M236&lt;&gt;"","   DESCRIPTION: "&amp;'Excercise - Al '!M236,"")&amp;IF('Excercise - Al '!O236&lt;&gt;"","   NOTES/REMARKS: "&amp;'Excercise - Al '!O236,"")&amp;IF('Excercise - Al '!Q236&lt;&gt;"","   BACKGROUND INFO: "&amp;'Excercise - Al '!Q236,"")</f>
        <v>STORYLINE: Receive media inquires about support of the National Guard</v>
      </c>
      <c r="G236" s="63" t="str">
        <f>IF('Excercise - Al '!P236&lt;&gt;"","IMPLEMENTER: "&amp;'Excercise - Al '!P236,"")</f>
        <v>IMPLEMENTER: Receive media inquires about support of the National Guard</v>
      </c>
      <c r="H236" s="63" t="str">
        <f>IF('Excercise - Al '!N236&lt;&gt;"","EXPECTED ACTIONS: "&amp;'Excercise - Al '!N236,"")</f>
        <v/>
      </c>
      <c r="I236" s="63">
        <f>'Excercise - Al '!R236</f>
        <v>0</v>
      </c>
    </row>
    <row r="237" spans="1:9" s="24" customFormat="1" ht="22.5">
      <c r="A237" s="63">
        <f>'Excercise - Al '!A237</f>
        <v>236</v>
      </c>
      <c r="B237" s="63"/>
      <c r="C237" s="64">
        <f>'Excercise - Al '!E237</f>
        <v>40304.75</v>
      </c>
      <c r="D237" s="63" t="str">
        <f>IF('Excercise - Al '!F237&lt;&gt;0,'Excercise - Al '!F237,"")</f>
        <v/>
      </c>
      <c r="E237" s="63" t="str">
        <f>IF('Excercise - Al '!G237&lt;&gt;"","MODE: "&amp;'Excercise - Al '!G237,"")&amp;IF('Excercise - Al '!H237&lt;&gt;"","   FROM: "&amp;'Excercise - Al '!H237,"")&amp;IF('Excercise - Al '!I237&lt;&gt;"","   INJECTED BY: "&amp;'Excercise - Al '!I237,"")&amp;IF('Excercise - Al '!J237&lt;&gt;"","   SEND TO: "&amp;'Excercise - Al '!J237,"")</f>
        <v/>
      </c>
      <c r="F237" s="63" t="str">
        <f>IF('Excercise - Al '!K237&lt;&gt;"","STORYLINE: "&amp;'Excercise - Al '!K237,"")&amp;IF('Excercise - Al '!M237&lt;&gt;"","   DESCRIPTION: "&amp;'Excercise - Al '!M237,"")&amp;IF('Excercise - Al '!O237&lt;&gt;"","   NOTES/REMARKS: "&amp;'Excercise - Al '!O237,"")&amp;IF('Excercise - Al '!Q237&lt;&gt;"","   BACKGROUND INFO: "&amp;'Excercise - Al '!Q237,"")</f>
        <v>STORYLINE: Receive notification from Governor's press office about proclamation</v>
      </c>
      <c r="G237" s="63" t="str">
        <f>IF('Excercise - Al '!P237&lt;&gt;"","IMPLEMENTER: "&amp;'Excercise - Al '!P237,"")</f>
        <v>IMPLEMENTER: Receive notification from Governor's press office about proclamation</v>
      </c>
      <c r="H237" s="63" t="str">
        <f>IF('Excercise - Al '!N237&lt;&gt;"","EXPECTED ACTIONS: "&amp;'Excercise - Al '!N237,"")</f>
        <v/>
      </c>
      <c r="I237" s="63">
        <f>'Excercise - Al '!R237</f>
        <v>0</v>
      </c>
    </row>
    <row r="238" spans="1:9" s="24" customFormat="1" ht="33.75">
      <c r="A238" s="63">
        <f>'Excercise - Al '!A238</f>
        <v>237</v>
      </c>
      <c r="B238" s="63"/>
      <c r="C238" s="64">
        <f>'Excercise - Al '!E238</f>
        <v>40304.75</v>
      </c>
      <c r="D238" s="63" t="str">
        <f>IF('Excercise - Al '!F238&lt;&gt;0,'Excercise - Al '!F238,"")</f>
        <v/>
      </c>
      <c r="E238" s="63" t="str">
        <f>IF('Excercise - Al '!G238&lt;&gt;"","MODE: "&amp;'Excercise - Al '!G238,"")&amp;IF('Excercise - Al '!H238&lt;&gt;"","   FROM: "&amp;'Excercise - Al '!H238,"")&amp;IF('Excercise - Al '!I238&lt;&gt;"","   INJECTED BY: "&amp;'Excercise - Al '!I238,"")&amp;IF('Excercise - Al '!J238&lt;&gt;"","   SEND TO: "&amp;'Excercise - Al '!J238,"")</f>
        <v/>
      </c>
      <c r="F238" s="63" t="str">
        <f>IF('Excercise - Al '!K238&lt;&gt;"","STORYLINE: "&amp;'Excercise - Al '!K238,"")&amp;IF('Excercise - Al '!M238&lt;&gt;"","   DESCRIPTION: "&amp;'Excercise - Al '!M238,"")&amp;IF('Excercise - Al '!O238&lt;&gt;"","   NOTES/REMARKS: "&amp;'Excercise - Al '!O238,"")&amp;IF('Excercise - Al '!Q238&lt;&gt;"","   BACKGROUND INFO: "&amp;'Excercise - Al '!Q238,"")</f>
        <v>STORYLINE: Request Increase in Single Purchase Limit for TF GPC Cardholders from NGB-PARC.</v>
      </c>
      <c r="G238" s="63" t="str">
        <f>IF('Excercise - Al '!P238&lt;&gt;"","IMPLEMENTER: "&amp;'Excercise - Al '!P238,"")</f>
        <v>IMPLEMENTER: Request Increase in Single Purchase Limit for TF GPC Cardholders from NGB-PARC.</v>
      </c>
      <c r="H238" s="63" t="str">
        <f>IF('Excercise - Al '!N238&lt;&gt;"","EXPECTED ACTIONS: "&amp;'Excercise - Al '!N238,"")</f>
        <v/>
      </c>
      <c r="I238" s="63">
        <f>'Excercise - Al '!R238</f>
        <v>0</v>
      </c>
    </row>
    <row r="239" spans="1:9" s="24" customFormat="1" ht="45">
      <c r="A239" s="63">
        <f>'Excercise - Al '!A239</f>
        <v>238</v>
      </c>
      <c r="B239" s="63"/>
      <c r="C239" s="64">
        <f>'Excercise - Al '!E239</f>
        <v>40304.75</v>
      </c>
      <c r="D239" s="63" t="str">
        <f>IF('Excercise - Al '!F239&lt;&gt;0,'Excercise - Al '!F239,"")</f>
        <v/>
      </c>
      <c r="E239" s="63" t="str">
        <f>IF('Excercise - Al '!G239&lt;&gt;"","MODE: "&amp;'Excercise - Al '!G239,"")&amp;IF('Excercise - Al '!H239&lt;&gt;"","   FROM: "&amp;'Excercise - Al '!H239,"")&amp;IF('Excercise - Al '!I239&lt;&gt;"","   INJECTED BY: "&amp;'Excercise - Al '!I239,"")&amp;IF('Excercise - Al '!J239&lt;&gt;"","   SEND TO: "&amp;'Excercise - Al '!J239,"")</f>
        <v/>
      </c>
      <c r="F239" s="63" t="str">
        <f>IF('Excercise - Al '!K239&lt;&gt;"","STORYLINE: "&amp;'Excercise - Al '!K239,"")&amp;IF('Excercise - Al '!M239&lt;&gt;"","   DESCRIPTION: "&amp;'Excercise - Al '!M239,"")&amp;IF('Excercise - Al '!O239&lt;&gt;"","   NOTES/REMARKS: "&amp;'Excercise - Al '!O239,"")&amp;IF('Excercise - Al '!Q239&lt;&gt;"","   BACKGROUND INFO: "&amp;'Excercise - Al '!Q239,"")</f>
        <v xml:space="preserve">STORYLINE: The Dauphin Island EOC has transferred Dauphin Island 911 switching over to Mobile Co. EOC and staff are evacuating.  </v>
      </c>
      <c r="G239" s="63" t="str">
        <f>IF('Excercise - Al '!P239&lt;&gt;"","IMPLEMENTER: "&amp;'Excercise - Al '!P239,"")</f>
        <v xml:space="preserve">IMPLEMENTER: The Dauphin Island EOC has transferred Dauphin Island 911 switching over to Mobile Co. EOC and staff are evacuating.  </v>
      </c>
      <c r="H239" s="63" t="str">
        <f>IF('Excercise - Al '!N239&lt;&gt;"","EXPECTED ACTIONS: "&amp;'Excercise - Al '!N239,"")</f>
        <v/>
      </c>
      <c r="I239" s="63">
        <f>'Excercise - Al '!R239</f>
        <v>0</v>
      </c>
    </row>
    <row r="240" spans="1:9" s="24" customFormat="1" ht="78.75">
      <c r="A240" s="63">
        <f>'Excercise - Al '!A240</f>
        <v>239</v>
      </c>
      <c r="B240" s="63"/>
      <c r="C240" s="64">
        <f>'Excercise - Al '!E240</f>
        <v>40304.75</v>
      </c>
      <c r="D240" s="63" t="str">
        <f>IF('Excercise - Al '!F240&lt;&gt;0,'Excercise - Al '!F240,"")</f>
        <v/>
      </c>
      <c r="E240" s="63" t="str">
        <f>IF('Excercise - Al '!G240&lt;&gt;"","MODE: "&amp;'Excercise - Al '!G240,"")&amp;IF('Excercise - Al '!H240&lt;&gt;"","   FROM: "&amp;'Excercise - Al '!H240,"")&amp;IF('Excercise - Al '!I240&lt;&gt;"","   INJECTED BY: "&amp;'Excercise - Al '!I240,"")&amp;IF('Excercise - Al '!J240&lt;&gt;"","   SEND TO: "&amp;'Excercise - Al '!J240,"")</f>
        <v/>
      </c>
      <c r="F240" s="63" t="str">
        <f>IF('Excercise - Al '!K240&lt;&gt;"","STORYLINE: "&amp;'Excercise - Al '!K240,"")&amp;IF('Excercise - Al '!M240&lt;&gt;"","   DESCRIPTION: "&amp;'Excercise - Al '!M240,"")&amp;IF('Excercise - Al '!O240&lt;&gt;"","   NOTES/REMARKS: "&amp;'Excercise - Al '!O240,"")&amp;IF('Excercise - Al '!Q240&lt;&gt;"","   BACKGROUND INFO: "&amp;'Excercise - Al '!Q240,"")</f>
        <v xml:space="preserve">STORYLINE: Transport food, water, and ice from LSA Brookley Field to LSA's located in Mobile and Baldwin Counties.  Commodities to move are 400 Pallets of MRE, 500 Pallets of water, 100 Pallets of Ice, this will be a LOG Push mission daily.  Mission duration is TBD.    </v>
      </c>
      <c r="G240" s="63" t="str">
        <f>IF('Excercise - Al '!P240&lt;&gt;"","IMPLEMENTER: "&amp;'Excercise - Al '!P240,"")</f>
        <v xml:space="preserve">IMPLEMENTER: Transport food, water, and ice from LSA Brookley Field to LSA's located in Mobile and Baldwin Counties.  Commodities to move are 400 Pallets of MRE, 500 Pallets of water, 100 Pallets of Ice, this will be a LOG Push mission daily.  Mission duration is TBD.    </v>
      </c>
      <c r="H240" s="63" t="str">
        <f>IF('Excercise - Al '!N240&lt;&gt;"","EXPECTED ACTIONS: "&amp;'Excercise - Al '!N240,"")</f>
        <v/>
      </c>
      <c r="I240" s="63">
        <f>'Excercise - Al '!R240</f>
        <v>0</v>
      </c>
    </row>
  </sheetData>
  <customSheetViews>
    <customSheetView guid="{795CE737-CFBD-47E1-A5F3-F6879A411FBA}" showPageBreaks="1" topLeftCell="C1">
      <selection activeCell="E1" sqref="E1"/>
      <pageMargins left="0.3" right="0.3" top="0.75" bottom="0.5" header="0.3" footer="0.3"/>
      <pageSetup orientation="landscape" r:id="rId1"/>
    </customSheetView>
  </customSheetViews>
  <phoneticPr fontId="17" type="noConversion"/>
  <dataValidations count="1">
    <dataValidation type="list" allowBlank="1" showInputMessage="1" showErrorMessage="1" sqref="B2">
      <formula1>#REF!</formula1>
    </dataValidation>
  </dataValidations>
  <pageMargins left="0.3" right="0.3" top="0.75" bottom="0.5" header="0.3" footer="0.3"/>
  <pageSetup orientation="landscape" r:id="rId2"/>
  <headerFooter>
    <oddFooter>&amp;C&amp;"Arial,Bold"MASTER EVENTS SEQUENCE LIST    -    RW 2010   -   WHITE CELL USE ONLY  - PAGE #  &amp;P - 4/30/2010</oddFooter>
  </headerFooter>
</worksheet>
</file>

<file path=xl/worksheets/wsSortMap1.xml><?xml version="1.0" encoding="utf-8"?>
<worksheetSortMap xmlns="http://schemas.microsoft.com/office/excel/2006/main">
  <rowSortMap ref="A3:IV410" count="407">
    <row newVal="2" oldVal="160"/>
    <row newVal="3" oldVal="161"/>
    <row newVal="4" oldVal="162"/>
    <row newVal="5" oldVal="163"/>
    <row newVal="6" oldVal="164"/>
    <row newVal="7" oldVal="165"/>
    <row newVal="8" oldVal="166"/>
    <row newVal="9" oldVal="167"/>
    <row newVal="10" oldVal="168"/>
    <row newVal="11" oldVal="169"/>
    <row newVal="12" oldVal="170"/>
    <row newVal="13" oldVal="171"/>
    <row newVal="14" oldVal="172"/>
    <row newVal="15" oldVal="173"/>
    <row newVal="16" oldVal="174"/>
    <row newVal="17" oldVal="175"/>
    <row newVal="18" oldVal="176"/>
    <row newVal="19" oldVal="177"/>
    <row newVal="20" oldVal="2"/>
    <row newVal="21" oldVal="178"/>
    <row newVal="22" oldVal="179"/>
    <row newVal="23" oldVal="180"/>
    <row newVal="24" oldVal="181"/>
    <row newVal="25" oldVal="182"/>
    <row newVal="26" oldVal="183"/>
    <row newVal="27" oldVal="184"/>
    <row newVal="28" oldVal="185"/>
    <row newVal="29" oldVal="186"/>
    <row newVal="30" oldVal="187"/>
    <row newVal="31" oldVal="188"/>
    <row newVal="32" oldVal="189"/>
    <row newVal="33" oldVal="190"/>
    <row newVal="34" oldVal="191"/>
    <row newVal="35" oldVal="3"/>
    <row newVal="36" oldVal="4"/>
    <row newVal="37" oldVal="5"/>
    <row newVal="38" oldVal="6"/>
    <row newVal="39" oldVal="192"/>
    <row newVal="40" oldVal="219"/>
    <row newVal="41" oldVal="193"/>
    <row newVal="42" oldVal="194"/>
    <row newVal="43" oldVal="195"/>
    <row newVal="44" oldVal="196"/>
    <row newVal="45" oldVal="197"/>
    <row newVal="46" oldVal="198"/>
    <row newVal="47" oldVal="199"/>
    <row newVal="48" oldVal="200"/>
    <row newVal="49" oldVal="201"/>
    <row newVal="50" oldVal="202"/>
    <row newVal="51" oldVal="203"/>
    <row newVal="52" oldVal="204"/>
    <row newVal="53" oldVal="205"/>
    <row newVal="54" oldVal="206"/>
    <row newVal="55" oldVal="207"/>
    <row newVal="56" oldVal="208"/>
    <row newVal="57" oldVal="209"/>
    <row newVal="58" oldVal="210"/>
    <row newVal="59" oldVal="211"/>
    <row newVal="60" oldVal="212"/>
    <row newVal="61" oldVal="213"/>
    <row newVal="62" oldVal="214"/>
    <row newVal="63" oldVal="215"/>
    <row newVal="64" oldVal="216"/>
    <row newVal="65" oldVal="217"/>
    <row newVal="66" oldVal="218"/>
    <row newVal="67" oldVal="7"/>
    <row newVal="68" oldVal="104"/>
    <row newVal="69" oldVal="9"/>
    <row newVal="70" oldVal="10"/>
    <row newVal="71" oldVal="83"/>
    <row newVal="72" oldVal="220"/>
    <row newVal="73" oldVal="244"/>
    <row newVal="74" oldVal="221"/>
    <row newVal="75" oldVal="222"/>
    <row newVal="76" oldVal="223"/>
    <row newVal="77" oldVal="224"/>
    <row newVal="78" oldVal="225"/>
    <row newVal="79" oldVal="226"/>
    <row newVal="80" oldVal="227"/>
    <row newVal="81" oldVal="228"/>
    <row newVal="82" oldVal="229"/>
    <row newVal="83" oldVal="230"/>
    <row newVal="84" oldVal="231"/>
    <row newVal="85" oldVal="232"/>
    <row newVal="86" oldVal="233"/>
    <row newVal="87" oldVal="234"/>
    <row newVal="88" oldVal="235"/>
    <row newVal="89" oldVal="236"/>
    <row newVal="90" oldVal="237"/>
    <row newVal="91" oldVal="238"/>
    <row newVal="92" oldVal="239"/>
    <row newVal="93" oldVal="240"/>
    <row newVal="94" oldVal="241"/>
    <row newVal="95" oldVal="242"/>
    <row newVal="96" oldVal="243"/>
    <row newVal="97" oldVal="47"/>
    <row newVal="98" oldVal="82"/>
    <row newVal="99" oldVal="44"/>
    <row newVal="100" oldVal="45"/>
    <row newVal="101" oldVal="343"/>
    <row newVal="102" oldVal="40"/>
    <row newVal="103" oldVal="46"/>
    <row newVal="104" oldVal="8"/>
    <row newVal="105" oldVal="108"/>
    <row newVal="106" oldVal="107"/>
    <row newVal="107" oldVal="106"/>
    <row newVal="108" oldVal="116"/>
    <row newVal="109" oldVal="11"/>
    <row newVal="110" oldVal="140"/>
    <row newVal="112" oldVal="138"/>
    <row newVal="113" oldVal="139"/>
    <row newVal="114" oldVal="34"/>
    <row newVal="115" oldVal="84"/>
    <row newVal="116" oldVal="85"/>
    <row newVal="117" oldVal="12"/>
    <row newVal="118" oldVal="13"/>
    <row newVal="119" oldVal="14"/>
    <row newVal="120" oldVal="15"/>
    <row newVal="121" oldVal="16"/>
    <row newVal="122" oldVal="17"/>
    <row newVal="123" oldVal="18"/>
    <row newVal="124" oldVal="19"/>
    <row newVal="125" oldVal="20"/>
    <row newVal="126" oldVal="21"/>
    <row newVal="127" oldVal="22"/>
    <row newVal="128" oldVal="23"/>
    <row newVal="129" oldVal="24"/>
    <row newVal="130" oldVal="25"/>
    <row newVal="131" oldVal="26"/>
    <row newVal="132" oldVal="27"/>
    <row newVal="133" oldVal="28"/>
    <row newVal="134" oldVal="29"/>
    <row newVal="135" oldVal="30"/>
    <row newVal="136" oldVal="31"/>
    <row newVal="137" oldVal="32"/>
    <row newVal="138" oldVal="33"/>
    <row newVal="139" oldVal="86"/>
    <row newVal="140" oldVal="389"/>
    <row newVal="141" oldVal="398"/>
    <row newVal="142" oldVal="109"/>
    <row newVal="143" oldVal="87"/>
    <row newVal="144" oldVal="375"/>
    <row newVal="145" oldVal="105"/>
    <row newVal="146" oldVal="348"/>
    <row newVal="147" oldVal="110"/>
    <row newVal="148" oldVal="88"/>
    <row newVal="149" oldVal="37"/>
    <row newVal="150" oldVal="38"/>
    <row newVal="151" oldVal="39"/>
    <row newVal="152" oldVal="344"/>
    <row newVal="153" oldVal="345"/>
    <row newVal="154" oldVal="90"/>
    <row newVal="155" oldVal="346"/>
    <row newVal="156" oldVal="91"/>
    <row newVal="157" oldVal="245"/>
    <row newVal="158" oldVal="273"/>
    <row newVal="159" oldVal="246"/>
    <row newVal="160" oldVal="247"/>
    <row newVal="161" oldVal="248"/>
    <row newVal="162" oldVal="249"/>
    <row newVal="163" oldVal="250"/>
    <row newVal="164" oldVal="251"/>
    <row newVal="165" oldVal="252"/>
    <row newVal="166" oldVal="253"/>
    <row newVal="167" oldVal="254"/>
    <row newVal="168" oldVal="255"/>
    <row newVal="169" oldVal="256"/>
    <row newVal="170" oldVal="257"/>
    <row newVal="171" oldVal="258"/>
    <row newVal="172" oldVal="259"/>
    <row newVal="173" oldVal="260"/>
    <row newVal="174" oldVal="261"/>
    <row newVal="175" oldVal="262"/>
    <row newVal="176" oldVal="263"/>
    <row newVal="177" oldVal="264"/>
    <row newVal="178" oldVal="265"/>
    <row newVal="179" oldVal="266"/>
    <row newVal="180" oldVal="267"/>
    <row newVal="181" oldVal="268"/>
    <row newVal="182" oldVal="269"/>
    <row newVal="183" oldVal="270"/>
    <row newVal="184" oldVal="271"/>
    <row newVal="185" oldVal="272"/>
    <row newVal="186" oldVal="48"/>
    <row newVal="187" oldVal="347"/>
    <row newVal="188" oldVal="371"/>
    <row newVal="189" oldVal="128"/>
    <row newVal="190" oldVal="114"/>
    <row newVal="191" oldVal="112"/>
    <row newVal="192" oldVal="403"/>
    <row newVal="193" oldVal="404"/>
    <row newVal="194" oldVal="93"/>
    <row newVal="195" oldVal="367"/>
    <row newVal="196" oldVal="372"/>
    <row newVal="197" oldVal="405"/>
    <row newVal="198" oldVal="92"/>
    <row newVal="199" oldVal="113"/>
    <row newVal="200" oldVal="368"/>
    <row newVal="201" oldVal="117"/>
    <row newVal="202" oldVal="151"/>
    <row newVal="203" oldVal="406"/>
    <row newVal="204" oldVal="370"/>
    <row newVal="205" oldVal="152"/>
    <row newVal="206" oldVal="407"/>
    <row newVal="207" oldVal="153"/>
    <row newVal="208" oldVal="409"/>
    <row newVal="209" oldVal="154"/>
    <row newVal="210" oldVal="377"/>
    <row newVal="211" oldVal="155"/>
    <row newVal="212" oldVal="55"/>
    <row newVal="213" oldVal="35"/>
    <row newVal="214" oldVal="50"/>
    <row newVal="215" oldVal="52"/>
    <row newVal="216" oldVal="49"/>
    <row newVal="217" oldVal="51"/>
    <row newVal="218" oldVal="67"/>
    <row newVal="219" oldVal="36"/>
    <row newVal="220" oldVal="94"/>
    <row newVal="221" oldVal="89"/>
    <row newVal="222" oldVal="43"/>
    <row newVal="223" oldVal="274"/>
    <row newVal="224" oldVal="275"/>
    <row newVal="225" oldVal="276"/>
    <row newVal="226" oldVal="408"/>
    <row newVal="227" oldVal="277"/>
    <row newVal="228" oldVal="278"/>
    <row newVal="229" oldVal="279"/>
    <row newVal="230" oldVal="280"/>
    <row newVal="231" oldVal="281"/>
    <row newVal="232" oldVal="388"/>
    <row newVal="233" oldVal="378"/>
    <row newVal="234" oldVal="391"/>
    <row newVal="235" oldVal="95"/>
    <row newVal="236" oldVal="96"/>
    <row newVal="237" oldVal="282"/>
    <row newVal="238" oldVal="298"/>
    <row newVal="239" oldVal="283"/>
    <row newVal="240" oldVal="284"/>
    <row newVal="241" oldVal="285"/>
    <row newVal="242" oldVal="286"/>
    <row newVal="243" oldVal="287"/>
    <row newVal="244" oldVal="288"/>
    <row newVal="245" oldVal="289"/>
    <row newVal="246" oldVal="290"/>
    <row newVal="247" oldVal="291"/>
    <row newVal="248" oldVal="292"/>
    <row newVal="249" oldVal="293"/>
    <row newVal="250" oldVal="294"/>
    <row newVal="251" oldVal="295"/>
    <row newVal="252" oldVal="296"/>
    <row newVal="253" oldVal="297"/>
    <row newVal="254" oldVal="72"/>
    <row newVal="255" oldVal="359"/>
    <row newVal="256" oldVal="376"/>
    <row newVal="257" oldVal="126"/>
    <row newVal="258" oldVal="356"/>
    <row newVal="259" oldVal="71"/>
    <row newVal="260" oldVal="74"/>
    <row newVal="261" oldVal="127"/>
    <row newVal="262" oldVal="351"/>
    <row newVal="263" oldVal="402"/>
    <row newVal="264" oldVal="54"/>
    <row newVal="265" oldVal="115"/>
    <row newVal="266" oldVal="379"/>
    <row newVal="267" oldVal="122"/>
    <row newVal="268" oldVal="97"/>
    <row newVal="269" oldVal="373"/>
    <row newVal="270" oldVal="118"/>
    <row newVal="271" oldVal="119"/>
    <row newVal="272" oldVal="349"/>
    <row newVal="273" oldVal="361"/>
    <row newVal="274" oldVal="380"/>
    <row newVal="275" oldVal="387"/>
    <row newVal="276" oldVal="396"/>
    <row newVal="277" oldVal="53"/>
    <row newVal="278" oldVal="355"/>
    <row newVal="279" oldVal="73"/>
    <row newVal="280" oldVal="75"/>
    <row newVal="281" oldVal="76"/>
    <row newVal="282" oldVal="77"/>
    <row newVal="283" oldVal="78"/>
    <row newVal="284" oldVal="79"/>
    <row newVal="285" oldVal="80"/>
    <row newVal="286" oldVal="395"/>
    <row newVal="287" oldVal="42"/>
    <row newVal="288" oldVal="41"/>
    <row newVal="289" oldVal="374"/>
    <row newVal="290" oldVal="98"/>
    <row newVal="291" oldVal="362"/>
    <row newVal="292" oldVal="397"/>
    <row newVal="293" oldVal="382"/>
    <row newVal="294" oldVal="309"/>
    <row newVal="295" oldVal="299"/>
    <row newVal="296" oldVal="300"/>
    <row newVal="297" oldVal="301"/>
    <row newVal="298" oldVal="358"/>
    <row newVal="299" oldVal="302"/>
    <row newVal="300" oldVal="303"/>
    <row newVal="301" oldVal="304"/>
    <row newVal="302" oldVal="305"/>
    <row newVal="303" oldVal="306"/>
    <row newVal="304" oldVal="307"/>
    <row newVal="305" oldVal="308"/>
    <row newVal="306" oldVal="383"/>
    <row newVal="307" oldVal="384"/>
    <row newVal="308" oldVal="353"/>
    <row newVal="309" oldVal="123"/>
    <row newVal="310" oldVal="393"/>
    <row newVal="311" oldVal="392"/>
    <row newVal="312" oldVal="385"/>
    <row newVal="313" oldVal="399"/>
    <row newVal="314" oldVal="369"/>
    <row newVal="315" oldVal="99"/>
    <row newVal="316" oldVal="394"/>
    <row newVal="317" oldVal="81"/>
    <row newVal="318" oldVal="100"/>
    <row newVal="319" oldVal="310"/>
    <row newVal="320" oldVal="311"/>
    <row newVal="321" oldVal="312"/>
    <row newVal="322" oldVal="313"/>
    <row newVal="323" oldVal="314"/>
    <row newVal="324" oldVal="315"/>
    <row newVal="325" oldVal="316"/>
    <row newVal="326" oldVal="317"/>
    <row newVal="327" oldVal="318"/>
    <row newVal="328" oldVal="319"/>
    <row newVal="329" oldVal="320"/>
    <row newVal="330" oldVal="321"/>
    <row newVal="331" oldVal="322"/>
    <row newVal="332" oldVal="323"/>
    <row newVal="333" oldVal="324"/>
    <row newVal="334" oldVal="325"/>
    <row newVal="335" oldVal="326"/>
    <row newVal="336" oldVal="327"/>
    <row newVal="337" oldVal="157"/>
    <row newVal="338" oldVal="101"/>
    <row newVal="339" oldVal="352"/>
    <row newVal="340" oldVal="131"/>
    <row newVal="341" oldVal="134"/>
    <row newVal="342" oldVal="141"/>
    <row newVal="343" oldVal="124"/>
    <row newVal="344" oldVal="132"/>
    <row newVal="345" oldVal="137"/>
    <row newVal="346" oldVal="130"/>
    <row newVal="347" oldVal="133"/>
    <row newVal="348" oldVal="142"/>
    <row newVal="349" oldVal="129"/>
    <row newVal="350" oldVal="125"/>
    <row newVal="351" oldVal="136"/>
    <row newVal="352" oldVal="135"/>
    <row newVal="353" oldVal="143"/>
    <row newVal="354" oldVal="144"/>
    <row newVal="355" oldVal="328"/>
    <row newVal="356" oldVal="149"/>
    <row newVal="357" oldVal="400"/>
    <row newVal="358" oldVal="360"/>
    <row newVal="359" oldVal="147"/>
    <row newVal="360" oldVal="150"/>
    <row newVal="361" oldVal="381"/>
    <row newVal="362" oldVal="148"/>
    <row newVal="363" oldVal="354"/>
    <row newVal="364" oldVal="102"/>
    <row newVal="365" oldVal="158"/>
    <row newVal="366" oldVal="145"/>
    <row newVal="367" oldVal="366"/>
    <row newVal="368" oldVal="57"/>
    <row newVal="369" oldVal="58"/>
    <row newVal="370" oldVal="59"/>
    <row newVal="371" oldVal="60"/>
    <row newVal="372" oldVal="61"/>
    <row newVal="373" oldVal="62"/>
    <row newVal="374" oldVal="63"/>
    <row newVal="375" oldVal="64"/>
    <row newVal="376" oldVal="65"/>
    <row newVal="377" oldVal="66"/>
    <row newVal="378" oldVal="146"/>
    <row newVal="379" oldVal="386"/>
    <row newVal="380" oldVal="390"/>
    <row newVal="381" oldVal="70"/>
    <row newVal="382" oldVal="363"/>
    <row newVal="383" oldVal="120"/>
    <row newVal="384" oldVal="121"/>
    <row newVal="385" oldVal="159"/>
    <row newVal="386" oldVal="56"/>
    <row newVal="387" oldVal="68"/>
    <row newVal="388" oldVal="357"/>
    <row newVal="389" oldVal="350"/>
    <row newVal="390" oldVal="364"/>
    <row newVal="391" oldVal="365"/>
    <row newVal="392" oldVal="69"/>
    <row newVal="393" oldVal="401"/>
    <row newVal="394" oldVal="103"/>
    <row newVal="395" oldVal="156"/>
    <row newVal="396" oldVal="329"/>
    <row newVal="397" oldVal="330"/>
    <row newVal="398" oldVal="331"/>
    <row newVal="399" oldVal="332"/>
    <row newVal="400" oldVal="333"/>
    <row newVal="401" oldVal="334"/>
    <row newVal="402" oldVal="335"/>
    <row newVal="403" oldVal="336"/>
    <row newVal="404" oldVal="337"/>
    <row newVal="405" oldVal="338"/>
    <row newVal="406" oldVal="339"/>
    <row newVal="407" oldVal="340"/>
    <row newVal="408" oldVal="341"/>
    <row newVal="409" oldVal="342"/>
  </rowSortMap>
</worksheetSortMap>
</file>

<file path=xl/worksheets/wsSortMap2.xml><?xml version="1.0" encoding="utf-8"?>
<worksheetSortMap xmlns="http://schemas.microsoft.com/office/excel/2006/main">
  <rowSortMap ref="A3:IV359" count="248">
    <row newVal="2" oldVal="13"/>
    <row newVal="3" oldVal="6"/>
    <row newVal="4" oldVal="5"/>
    <row newVal="5" oldVal="9"/>
    <row newVal="6" oldVal="14"/>
    <row newVal="7" oldVal="3"/>
    <row newVal="9" oldVal="18"/>
    <row newVal="10" oldVal="2"/>
    <row newVal="11" oldVal="12"/>
    <row newVal="12" oldVal="17"/>
    <row newVal="13" oldVal="7"/>
    <row newVal="14" oldVal="10"/>
    <row newVal="15" oldVal="16"/>
    <row newVal="16" oldVal="11"/>
    <row newVal="17" oldVal="15"/>
    <row newVal="18" oldVal="4"/>
    <row newVal="21" oldVal="24"/>
    <row newVal="22" oldVal="33"/>
    <row newVal="23" oldVal="26"/>
    <row newVal="24" oldVal="23"/>
    <row newVal="25" oldVal="31"/>
    <row newVal="26" oldVal="22"/>
    <row newVal="27" oldVal="25"/>
    <row newVal="28" oldVal="34"/>
    <row newVal="29" oldVal="27"/>
    <row newVal="30" oldVal="28"/>
    <row newVal="31" oldVal="21"/>
    <row newVal="32" oldVal="29"/>
    <row newVal="33" oldVal="30"/>
    <row newVal="34" oldVal="32"/>
    <row newVal="40" oldVal="44"/>
    <row newVal="41" oldVal="46"/>
    <row newVal="42" oldVal="48"/>
    <row newVal="43" oldVal="49"/>
    <row newVal="44" oldVal="53"/>
    <row newVal="45" oldVal="57"/>
    <row newVal="46" oldVal="61"/>
    <row newVal="47" oldVal="64"/>
    <row newVal="48" oldVal="42"/>
    <row newVal="49" oldVal="51"/>
    <row newVal="50" oldVal="59"/>
    <row newVal="51" oldVal="60"/>
    <row newVal="52" oldVal="62"/>
    <row newVal="53" oldVal="63"/>
    <row newVal="54" oldVal="65"/>
    <row newVal="55" oldVal="41"/>
    <row newVal="56" oldVal="43"/>
    <row newVal="57" oldVal="54"/>
    <row newVal="58" oldVal="40"/>
    <row newVal="59" oldVal="45"/>
    <row newVal="60" oldVal="47"/>
    <row newVal="61" oldVal="50"/>
    <row newVal="62" oldVal="52"/>
    <row newVal="63" oldVal="55"/>
    <row newVal="64" oldVal="56"/>
    <row newVal="65" oldVal="58"/>
    <row newVal="76" oldVal="77"/>
    <row newVal="77" oldVal="76"/>
    <row newVal="78" oldVal="83"/>
    <row newVal="79" oldVal="84"/>
    <row newVal="80" oldVal="85"/>
    <row newVal="81" oldVal="96"/>
    <row newVal="82" oldVal="86"/>
    <row newVal="83" oldVal="87"/>
    <row newVal="84" oldVal="88"/>
    <row newVal="85" oldVal="79"/>
    <row newVal="86" oldVal="78"/>
    <row newVal="87" oldVal="82"/>
    <row newVal="88" oldVal="90"/>
    <row newVal="89" oldVal="92"/>
    <row newVal="90" oldVal="95"/>
    <row newVal="91" oldVal="89"/>
    <row newVal="92" oldVal="94"/>
    <row newVal="94" oldVal="81"/>
    <row newVal="95" oldVal="80"/>
    <row newVal="96" oldVal="91"/>
    <row newVal="100" oldVal="102"/>
    <row newVal="101" oldVal="100"/>
    <row newVal="102" oldVal="101"/>
    <row newVal="106" oldVal="107"/>
    <row newVal="107" oldVal="106"/>
    <row newVal="109" oldVal="128"/>
    <row newVal="110" oldVal="111"/>
    <row newVal="111" oldVal="138"/>
    <row newVal="112" oldVal="115"/>
    <row newVal="113" oldVal="112"/>
    <row newVal="114" oldVal="116"/>
    <row newVal="115" oldVal="137"/>
    <row newVal="116" oldVal="127"/>
    <row newVal="117" oldVal="125"/>
    <row newVal="118" oldVal="131"/>
    <row newVal="119" oldVal="110"/>
    <row newVal="120" oldVal="126"/>
    <row newVal="121" oldVal="129"/>
    <row newVal="122" oldVal="117"/>
    <row newVal="123" oldVal="133"/>
    <row newVal="124" oldVal="121"/>
    <row newVal="125" oldVal="122"/>
    <row newVal="126" oldVal="114"/>
    <row newVal="127" oldVal="109"/>
    <row newVal="128" oldVal="136"/>
    <row newVal="129" oldVal="118"/>
    <row newVal="131" oldVal="124"/>
    <row newVal="132" oldVal="119"/>
    <row newVal="133" oldVal="134"/>
    <row newVal="134" oldVal="132"/>
    <row newVal="135" oldVal="123"/>
    <row newVal="136" oldVal="120"/>
    <row newVal="137" oldVal="113"/>
    <row newVal="138" oldVal="135"/>
    <row newVal="142" oldVal="143"/>
    <row newVal="143" oldVal="142"/>
    <row newVal="149" oldVal="150"/>
    <row newVal="150" oldVal="149"/>
    <row newVal="157" oldVal="159"/>
    <row newVal="158" oldVal="162"/>
    <row newVal="159" oldVal="163"/>
    <row newVal="160" oldVal="165"/>
    <row newVal="161" oldVal="166"/>
    <row newVal="162" oldVal="167"/>
    <row newVal="163" oldVal="168"/>
    <row newVal="164" oldVal="171"/>
    <row newVal="165" oldVal="181"/>
    <row newVal="166" oldVal="160"/>
    <row newVal="167" oldVal="164"/>
    <row newVal="168" oldVal="169"/>
    <row newVal="169" oldVal="172"/>
    <row newVal="170" oldVal="173"/>
    <row newVal="171" oldVal="176"/>
    <row newVal="172" oldVal="177"/>
    <row newVal="173" oldVal="179"/>
    <row newVal="174" oldVal="182"/>
    <row newVal="175" oldVal="157"/>
    <row newVal="176" oldVal="183"/>
    <row newVal="177" oldVal="158"/>
    <row newVal="178" oldVal="184"/>
    <row newVal="179" oldVal="185"/>
    <row newVal="180" oldVal="161"/>
    <row newVal="181" oldVal="170"/>
    <row newVal="182" oldVal="174"/>
    <row newVal="183" oldVal="175"/>
    <row newVal="184" oldVal="178"/>
    <row newVal="185" oldVal="180"/>
    <row newVal="189" oldVal="191"/>
    <row newVal="191" oldVal="189"/>
    <row newVal="206" oldVal="207"/>
    <row newVal="207" oldVal="206"/>
    <row newVal="208" oldVal="209"/>
    <row newVal="209" oldVal="208"/>
    <row newVal="212" oldVal="215"/>
    <row newVal="213" oldVal="217"/>
    <row newVal="214" oldVal="212"/>
    <row newVal="215" oldVal="214"/>
    <row newVal="217" oldVal="220"/>
    <row newVal="218" oldVal="213"/>
    <row newVal="219" oldVal="218"/>
    <row newVal="220" oldVal="219"/>
    <row newVal="223" oldVal="229"/>
    <row newVal="224" oldVal="226"/>
    <row newVal="225" oldVal="228"/>
    <row newVal="226" oldVal="227"/>
    <row newVal="227" oldVal="230"/>
    <row newVal="228" oldVal="231"/>
    <row newVal="229" oldVal="225"/>
    <row newVal="230" oldVal="223"/>
    <row newVal="231" oldVal="224"/>
    <row newVal="237" oldVal="238"/>
    <row newVal="238" oldVal="240"/>
    <row newVal="239" oldVal="237"/>
    <row newVal="240" oldVal="243"/>
    <row newVal="241" oldVal="244"/>
    <row newVal="242" oldVal="239"/>
    <row newVal="243" oldVal="241"/>
    <row newVal="244" oldVal="245"/>
    <row newVal="245" oldVal="246"/>
    <row newVal="246" oldVal="247"/>
    <row newVal="247" oldVal="248"/>
    <row newVal="248" oldVal="249"/>
    <row newVal="249" oldVal="250"/>
    <row newVal="250" oldVal="251"/>
    <row newVal="251" oldVal="252"/>
    <row newVal="252" oldVal="253"/>
    <row newVal="253" oldVal="242"/>
    <row newVal="257" oldVal="260"/>
    <row newVal="258" oldVal="259"/>
    <row newVal="259" oldVal="261"/>
    <row newVal="260" oldVal="262"/>
    <row newVal="261" oldVal="258"/>
    <row newVal="262" oldVal="257"/>
    <row newVal="278" oldVal="284"/>
    <row newVal="279" oldVal="278"/>
    <row newVal="280" oldVal="279"/>
    <row newVal="281" oldVal="280"/>
    <row newVal="282" oldVal="281"/>
    <row newVal="283" oldVal="285"/>
    <row newVal="284" oldVal="282"/>
    <row newVal="285" oldVal="283"/>
    <row newVal="287" oldVal="289"/>
    <row newVal="288" oldVal="287"/>
    <row newVal="289" oldVal="288"/>
    <row newVal="294" oldVal="303"/>
    <row newVal="295" oldVal="301"/>
    <row newVal="296" oldVal="304"/>
    <row newVal="297" oldVal="305"/>
    <row newVal="298" oldVal="297"/>
    <row newVal="299" oldVal="296"/>
    <row newVal="300" oldVal="298"/>
    <row newVal="301" oldVal="300"/>
    <row newVal="303" oldVal="294"/>
    <row newVal="304" oldVal="295"/>
    <row newVal="305" oldVal="299"/>
    <row newVal="319" oldVal="332"/>
    <row newVal="320" oldVal="322"/>
    <row newVal="321" oldVal="324"/>
    <row newVal="322" oldVal="333"/>
    <row newVal="323" oldVal="334"/>
    <row newVal="324" oldVal="319"/>
    <row newVal="325" oldVal="335"/>
    <row newVal="326" oldVal="336"/>
    <row newVal="327" oldVal="323"/>
    <row newVal="328" oldVal="321"/>
    <row newVal="329" oldVal="337"/>
    <row newVal="330" oldVal="320"/>
    <row newVal="331" oldVal="325"/>
    <row newVal="332" oldVal="338"/>
    <row newVal="333" oldVal="331"/>
    <row newVal="334" oldVal="326"/>
    <row newVal="335" oldVal="327"/>
    <row newVal="336" oldVal="328"/>
    <row newVal="337" oldVal="329"/>
    <row newVal="338" oldVal="330"/>
    <row newVal="340" oldVal="343"/>
    <row newVal="341" oldVal="348"/>
    <row newVal="342" oldVal="349"/>
    <row newVal="343" oldVal="350"/>
    <row newVal="344" oldVal="351"/>
    <row newVal="345" oldVal="352"/>
    <row newVal="346" oldVal="353"/>
    <row newVal="347" oldVal="354"/>
    <row newVal="348" oldVal="340"/>
    <row newVal="349" oldVal="341"/>
    <row newVal="350" oldVal="342"/>
    <row newVal="351" oldVal="344"/>
    <row newVal="352" oldVal="345"/>
    <row newVal="353" oldVal="346"/>
    <row newVal="354" oldVal="347"/>
    <row newVal="357" oldVal="358"/>
    <row newVal="358" oldVal="357"/>
  </rowSortMap>
</worksheetSortMap>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C448033194F24BA11FEC00462322CA" ma:contentTypeVersion="0" ma:contentTypeDescription="Create a new document." ma:contentTypeScope="" ma:versionID="9569ca19d63e069219289a0eb2270de0">
  <xsd:schema xmlns:xsd="http://www.w3.org/2001/XMLSchema" xmlns:p="http://schemas.microsoft.com/office/2006/metadata/properties" targetNamespace="http://schemas.microsoft.com/office/2006/metadata/properties" ma:root="true" ma:fieldsID="4aeb20c0e3442673af7ee10786458764">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Props1.xml><?xml version="1.0" encoding="utf-8"?>
<ds:datastoreItem xmlns:ds="http://schemas.openxmlformats.org/officeDocument/2006/customXml" ds:itemID="{062104D3-57D4-4614-A552-16E99DA1244D}">
  <ds:schemaRefs>
    <ds:schemaRef ds:uri="http://schemas.microsoft.com/office/2006/metadata/properties"/>
  </ds:schemaRefs>
</ds:datastoreItem>
</file>

<file path=customXml/itemProps2.xml><?xml version="1.0" encoding="utf-8"?>
<ds:datastoreItem xmlns:ds="http://schemas.openxmlformats.org/officeDocument/2006/customXml" ds:itemID="{451D47DE-D06C-4903-A22C-BBC3B6028868}">
  <ds:schemaRefs>
    <ds:schemaRef ds:uri="http://schemas.microsoft.com/sharepoint/v3/contenttype/forms"/>
  </ds:schemaRefs>
</ds:datastoreItem>
</file>

<file path=customXml/itemProps3.xml><?xml version="1.0" encoding="utf-8"?>
<ds:datastoreItem xmlns:ds="http://schemas.openxmlformats.org/officeDocument/2006/customXml" ds:itemID="{1B285A43-7B4D-4B93-9836-EE9F7563A4E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5</vt:i4>
      </vt:variant>
    </vt:vector>
  </HeadingPairs>
  <TitlesOfParts>
    <vt:vector size="9" baseType="lpstr">
      <vt:lpstr>Excercise - Al </vt:lpstr>
      <vt:lpstr>MSEL INFO ONLY</vt:lpstr>
      <vt:lpstr>Backup</vt:lpstr>
      <vt:lpstr>PRINT_SMALL</vt:lpstr>
      <vt:lpstr>'Excercise - Al '!OLE_LINK1</vt:lpstr>
      <vt:lpstr>'MSEL INFO ONLY'!OLE_LINK1</vt:lpstr>
      <vt:lpstr>'Excercise - Al '!Print_Titles</vt:lpstr>
      <vt:lpstr>'MSEL INFO ONLY'!Print_Titles</vt:lpstr>
      <vt:lpstr>PRINT_SMALL!Print_Titles</vt:lpstr>
    </vt:vector>
  </TitlesOfParts>
  <Company>IIF Data Solutions, Inc.</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Roaring Winds 2010 MESL</dc:title>
  <dc:subject>MESL</dc:subject>
  <dc:creator>Bob Keane</dc:creator>
  <cp:lastModifiedBy>Mike Peck</cp:lastModifiedBy>
  <cp:lastPrinted>2013-02-27T18:46:44Z</cp:lastPrinted>
  <dcterms:created xsi:type="dcterms:W3CDTF">2009-04-14T17:05:29Z</dcterms:created>
  <dcterms:modified xsi:type="dcterms:W3CDTF">2013-03-07T02:50:43Z</dcterms:modified>
</cp:coreProperties>
</file>