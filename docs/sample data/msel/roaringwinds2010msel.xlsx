
<file path=[Content_Types].xml><?xml version="1.0" encoding="utf-8"?>
<Types xmlns="http://schemas.openxmlformats.org/package/2006/content-types">
  <Override PartName="/xl/comments2.xml" ContentType="application/vnd.openxmlformats-officedocument.spreadsheetml.comments+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comments4.xml" ContentType="application/vnd.openxmlformats-officedocument.spreadsheetml.comments+xml"/>
  <Override PartName="/xl/worksheets/sheet4.xml" ContentType="application/vnd.openxmlformats-officedocument.spreadsheetml.worksheet+xml"/>
  <Default Extension="xml" ContentType="application/xml"/>
  <Override PartName="/xl/worksheets/sheet6.xml" ContentType="application/vnd.openxmlformats-officedocument.spreadsheetml.worksheet+xml"/>
  <Override PartName="/docProps/app.xml" ContentType="application/vnd.openxmlformats-officedocument.extended-properties+xml"/>
  <Override PartName="/xl/workbook.xml" ContentType="application/vnd.openxmlformats-officedocument.spreadsheetml.sheet.main+xml"/>
  <Override PartName="/xl/comments1.xml" ContentType="application/vnd.openxmlformats-officedocument.spreadsheetml.comments+xml"/>
  <Override PartName="/xl/worksheets/sheet1.xml" ContentType="application/vnd.openxmlformats-officedocument.spreadsheetml.worksheet+xml"/>
  <Override PartName="/xl/calcChain.xml" ContentType="application/vnd.openxmlformats-officedocument.spreadsheetml.calcChain+xml"/>
  <Override PartName="/xl/styles.xml" ContentType="application/vnd.openxmlformats-officedocument.spreadsheetml.styles+xml"/>
  <Override PartName="/xl/comments3.xml" ContentType="application/vnd.openxmlformats-officedocument.spreadsheetml.comments+xml"/>
  <Default Extension="vml" ContentType="application/vnd.openxmlformats-officedocument.vmlDrawing"/>
  <Override PartName="/xl/worksheets/sheet3.xml" ContentType="application/vnd.openxmlformats-officedocument.spreadsheetml.worksheet+xml"/>
  <Default Extension="rels" ContentType="application/vnd.openxmlformats-package.relationships+xml"/>
  <Override PartName="/xl/worksheets/sheet5.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autoCompressPictures="0"/>
  <bookViews>
    <workbookView xWindow="0" yWindow="40" windowWidth="26400" windowHeight="14520"/>
  </bookViews>
  <sheets>
    <sheet name="Excercise - Al " sheetId="1" r:id="rId1"/>
    <sheet name="MSEL INFO ONLY" sheetId="6" r:id="rId2"/>
    <sheet name="Venue Fail Safe" sheetId="2" r:id="rId3"/>
    <sheet name="Backup" sheetId="3" r:id="rId4"/>
    <sheet name="Examples" sheetId="4" r:id="rId5"/>
    <sheet name="PRINT_SMALL" sheetId="5" r:id="rId6"/>
  </sheets>
  <definedNames>
    <definedName name="_xlnm._FilterDatabase" localSheetId="0" hidden="1">'Excercise - Al '!$A$1:$R$198</definedName>
    <definedName name="_xlnm._FilterDatabase" localSheetId="1" hidden="1">'MSEL INFO ONLY'!$A$1:$Q$401</definedName>
    <definedName name="OLE_LINK1" localSheetId="0">'Excercise - Al '!$P$59</definedName>
    <definedName name="OLE_LINK1" localSheetId="1">'MSEL INFO ONLY'!$O$147</definedName>
    <definedName name="_xlnm.Print_Titles" localSheetId="0">'Excercise - Al '!$1:$1</definedName>
    <definedName name="_xlnm.Print_Titles" localSheetId="1">'MSEL INFO ONLY'!$1:$1</definedName>
    <definedName name="_xlnm.Print_Titles" localSheetId="5">PRINT_SMALL!$1:$1</definedName>
    <definedName name="Z_21D272AB_5ED3_41C2_B2AC_DB44252878EA_.wvu.FilterData" localSheetId="0" hidden="1">'Excercise - Al '!$B$1:$R$1</definedName>
    <definedName name="Z_21D272AB_5ED3_41C2_B2AC_DB44252878EA_.wvu.FilterData" localSheetId="1" hidden="1">'MSEL INFO ONLY'!$A$1:$Q$358</definedName>
    <definedName name="Z_21D272AB_5ED3_41C2_B2AC_DB44252878EA_.wvu.PrintTitles" localSheetId="0" hidden="1">'Excercise - Al '!$1:$1</definedName>
    <definedName name="Z_21D272AB_5ED3_41C2_B2AC_DB44252878EA_.wvu.PrintTitles" localSheetId="1" hidden="1">'MSEL INFO ONLY'!$1:$1</definedName>
    <definedName name="Z_3225D158_A05E_4956_976D_0A8BB346F3CD_.wvu.FilterData" localSheetId="0" hidden="1">'Excercise - Al '!$B$1:$R$1</definedName>
    <definedName name="Z_3225D158_A05E_4956_976D_0A8BB346F3CD_.wvu.FilterData" localSheetId="1" hidden="1">'MSEL INFO ONLY'!$A$1:$Q$367</definedName>
    <definedName name="Z_3225D158_A05E_4956_976D_0A8BB346F3CD_.wvu.PrintTitles" localSheetId="0" hidden="1">'Excercise - Al '!$1:$1</definedName>
    <definedName name="Z_3225D158_A05E_4956_976D_0A8BB346F3CD_.wvu.PrintTitles" localSheetId="1" hidden="1">'MSEL INFO ONLY'!$1:$1</definedName>
    <definedName name="Z_4A631883_EA0D_4D3C_BFB3_175A24E18AC7_.wvu.FilterData" localSheetId="0" hidden="1">'Excercise - Al '!$A$1:$R$182</definedName>
    <definedName name="Z_4A631883_EA0D_4D3C_BFB3_175A24E18AC7_.wvu.FilterData" localSheetId="1" hidden="1">'MSEL INFO ONLY'!$A$1:$Q$367</definedName>
    <definedName name="Z_5BBCA58B_D765_479F_9504_1E4279142E7F_.wvu.FilterData" localSheetId="0" hidden="1">'Excercise - Al '!$B$1:$R$1</definedName>
    <definedName name="Z_5BBCA58B_D765_479F_9504_1E4279142E7F_.wvu.FilterData" localSheetId="1" hidden="1">'MSEL INFO ONLY'!$A$1:$Q$367</definedName>
    <definedName name="Z_5BBCA58B_D765_479F_9504_1E4279142E7F_.wvu.PrintTitles" localSheetId="0" hidden="1">'Excercise - Al '!$1:$1</definedName>
    <definedName name="Z_5BBCA58B_D765_479F_9504_1E4279142E7F_.wvu.PrintTitles" localSheetId="1" hidden="1">'MSEL INFO ONLY'!$1:$1</definedName>
    <definedName name="Z_6003704D_4B9F_495A_8F83_62E20FA79C25_.wvu.FilterData" localSheetId="0" hidden="1">'Excercise - Al '!$A$1:$R$38</definedName>
    <definedName name="Z_6003704D_4B9F_495A_8F83_62E20FA79C25_.wvu.FilterData" localSheetId="1" hidden="1">'MSEL INFO ONLY'!$A$1:$Q$123</definedName>
    <definedName name="Z_6D5C82C1_3F67_4DCA_9285_CC6695655904_.wvu.FilterData" localSheetId="0" hidden="1">'Excercise - Al '!$B$1:$R$1</definedName>
    <definedName name="Z_6D5C82C1_3F67_4DCA_9285_CC6695655904_.wvu.FilterData" localSheetId="1" hidden="1">'MSEL INFO ONLY'!$A$1:$Q$401</definedName>
    <definedName name="Z_6D5C82C1_3F67_4DCA_9285_CC6695655904_.wvu.PrintTitles" localSheetId="0" hidden="1">'Excercise - Al '!$1:$1</definedName>
    <definedName name="Z_6D5C82C1_3F67_4DCA_9285_CC6695655904_.wvu.PrintTitles" localSheetId="1" hidden="1">'MSEL INFO ONLY'!$1:$1</definedName>
    <definedName name="Z_707C9EA7_E5DB_425C_A86E_CE4B9351AA86_.wvu.FilterData" localSheetId="0" hidden="1">'Excercise - Al '!$A$1:$R$182</definedName>
    <definedName name="Z_707C9EA7_E5DB_425C_A86E_CE4B9351AA86_.wvu.FilterData" localSheetId="1" hidden="1">'MSEL INFO ONLY'!$A$1:$Q$367</definedName>
    <definedName name="Z_795CE737_CFBD_47E1_A5F3_F6879A411FBA_.wvu.FilterData" localSheetId="0" hidden="1">'Excercise - Al '!$B$1:$R$1</definedName>
    <definedName name="Z_795CE737_CFBD_47E1_A5F3_F6879A411FBA_.wvu.FilterData" localSheetId="1" hidden="1">'MSEL INFO ONLY'!$A$1:$Q$401</definedName>
    <definedName name="Z_795CE737_CFBD_47E1_A5F3_F6879A411FBA_.wvu.PrintTitles" localSheetId="0" hidden="1">'Excercise - Al '!$1:$1</definedName>
    <definedName name="Z_795CE737_CFBD_47E1_A5F3_F6879A411FBA_.wvu.PrintTitles" localSheetId="1" hidden="1">'MSEL INFO ONLY'!$1:$1</definedName>
    <definedName name="Z_A498B268_D83C_4AF5_B7F3_83F16D3C0FA5_.wvu.FilterData" localSheetId="0" hidden="1">'Excercise - Al '!$A$1:$R$182</definedName>
    <definedName name="Z_A498B268_D83C_4AF5_B7F3_83F16D3C0FA5_.wvu.FilterData" localSheetId="1" hidden="1">'MSEL INFO ONLY'!$A$1:$Q$367</definedName>
    <definedName name="Z_C75FF036_91FF_4E44_9156_54230F8F355B_.wvu.FilterData" localSheetId="0" hidden="1">'Excercise - Al '!$B$1:$R$1</definedName>
    <definedName name="Z_C75FF036_91FF_4E44_9156_54230F8F355B_.wvu.FilterData" localSheetId="1" hidden="1">'MSEL INFO ONLY'!$A$1:$Q$358</definedName>
    <definedName name="Z_C75FF036_91FF_4E44_9156_54230F8F355B_.wvu.PrintTitles" localSheetId="0" hidden="1">'Excercise - Al '!$1:$1</definedName>
    <definedName name="Z_C75FF036_91FF_4E44_9156_54230F8F355B_.wvu.PrintTitles" localSheetId="1" hidden="1">'MSEL INFO ONLY'!$1:$1</definedName>
    <definedName name="Z_F5EBF6D5_E107_4B41_B3A9_DAA6D1B9A5D4_.wvu.FilterData" localSheetId="0" hidden="1">'Excercise - Al '!$B$1:$Q$1</definedName>
    <definedName name="Z_F5EBF6D5_E107_4B41_B3A9_DAA6D1B9A5D4_.wvu.FilterData" localSheetId="1" hidden="1">'MSEL INFO ONLY'!$A$1:$Q$123</definedName>
  </definedNames>
  <calcPr calcId="125725" concurrentCalc="0"/>
  <customWorkbookViews>
    <customWorkbookView name="michael.jenne - Personal View" guid="{795CE737-CFBD-47E1-A5F3-F6879A411FBA}" mergeInterval="0" personalView="1" maximized="1" xWindow="1" yWindow="1" windowWidth="796" windowHeight="382" activeSheetId="5"/>
    <customWorkbookView name="Bob Keane - Personal View" guid="{6D5C82C1-3F67-4DCA-9285-CC6695655904}" mergeInterval="0" personalView="1" maximized="1" xWindow="1" yWindow="1" windowWidth="1680" windowHeight="799" activeSheetId="1" showComments="commIndAndComment"/>
    <customWorkbookView name="Robert Keane - Personal View" guid="{3225D158-A05E-4956-976D-0A8BB346F3CD}" mergeInterval="0" personalView="1" maximized="1" xWindow="1" yWindow="1" windowWidth="1020" windowHeight="517" activeSheetId="1" showComments="commIndAndComment"/>
    <customWorkbookView name="DOMS - Personal View" guid="{F5EBF6D5-E107-4B41-B3A9-DAA6D1B9A5D4}" mergeInterval="0" personalView="1" maximized="1" xWindow="1" yWindow="1" windowWidth="1276" windowHeight="804" activeSheetId="1"/>
    <customWorkbookView name="Bob Keane - Personal View (2)" guid="{5BBCA58B-D765-479F-9504-1E4279142E7F}" mergeInterval="0" personalView="1" maximized="1" xWindow="1" yWindow="1" windowWidth="1252" windowHeight="523" activeSheetId="1"/>
    <customWorkbookView name="matthew.lee.lambert - Personal View" guid="{C75FF036-91FF-4E44-9156-54230F8F355B}" mergeInterval="0" personalView="1" maximized="1" xWindow="1" yWindow="1" windowWidth="1020" windowHeight="508" activeSheetId="1"/>
    <customWorkbookView name="todd.w.wheeler - Personal View" guid="{21D272AB-5ED3-41C2-B2AC-DB44252878EA}" mergeInterval="0" personalView="1" maximized="1" xWindow="1" yWindow="1" windowWidth="1916" windowHeight="982" activeSheetId="1"/>
  </customWorkbookViews>
  <extLst>
    <ext xmlns:mx="http://schemas.microsoft.com/office/mac/excel/2008/main" uri="http://schemas.microsoft.com/office/mac/excel/2008/main">
      <mx:ArchID Flags="2"/>
    </ext>
  </extLst>
</workbook>
</file>

<file path=xl/calcChain.xml><?xml version="1.0" encoding="utf-8"?>
<calcChain xmlns="http://schemas.openxmlformats.org/spreadsheetml/2006/main">
  <c r="D216" i="6"/>
  <c r="D217"/>
  <c r="D218"/>
  <c r="D219"/>
  <c r="D220"/>
  <c r="D221"/>
  <c r="D222"/>
  <c r="D223"/>
  <c r="P401"/>
  <c r="I240" i="5"/>
  <c r="H240"/>
  <c r="G240"/>
  <c r="F240"/>
  <c r="E240"/>
  <c r="D240"/>
  <c r="C240"/>
  <c r="A240"/>
  <c r="I239"/>
  <c r="H239"/>
  <c r="G239"/>
  <c r="F239"/>
  <c r="E239"/>
  <c r="D239"/>
  <c r="C239"/>
  <c r="A239"/>
  <c r="I238"/>
  <c r="H238"/>
  <c r="G238"/>
  <c r="F238"/>
  <c r="E238"/>
  <c r="D238"/>
  <c r="C238"/>
  <c r="A238"/>
  <c r="I237"/>
  <c r="H237"/>
  <c r="G237"/>
  <c r="F237"/>
  <c r="E237"/>
  <c r="D237"/>
  <c r="C237"/>
  <c r="A237"/>
  <c r="I236"/>
  <c r="H236"/>
  <c r="G236"/>
  <c r="F236"/>
  <c r="E236"/>
  <c r="D236"/>
  <c r="C236"/>
  <c r="A236"/>
  <c r="I235"/>
  <c r="H235"/>
  <c r="G235"/>
  <c r="F235"/>
  <c r="E235"/>
  <c r="D235"/>
  <c r="C235"/>
  <c r="A235"/>
  <c r="I234"/>
  <c r="H234"/>
  <c r="G234"/>
  <c r="F234"/>
  <c r="E234"/>
  <c r="D234"/>
  <c r="C234"/>
  <c r="A234"/>
  <c r="I233"/>
  <c r="H233"/>
  <c r="G233"/>
  <c r="F233"/>
  <c r="E233"/>
  <c r="D233"/>
  <c r="C233"/>
  <c r="A233"/>
  <c r="I232"/>
  <c r="H232"/>
  <c r="G232"/>
  <c r="F232"/>
  <c r="E232"/>
  <c r="D232"/>
  <c r="C232"/>
  <c r="A232"/>
  <c r="I231"/>
  <c r="H231"/>
  <c r="G231"/>
  <c r="F231"/>
  <c r="E231"/>
  <c r="D231"/>
  <c r="C231"/>
  <c r="A231"/>
  <c r="I230"/>
  <c r="H230"/>
  <c r="G230"/>
  <c r="F230"/>
  <c r="E230"/>
  <c r="D230"/>
  <c r="C230"/>
  <c r="A230"/>
  <c r="I229"/>
  <c r="H229"/>
  <c r="G229"/>
  <c r="F229"/>
  <c r="E229"/>
  <c r="D229"/>
  <c r="C229"/>
  <c r="A229"/>
  <c r="I228"/>
  <c r="H228"/>
  <c r="G228"/>
  <c r="F228"/>
  <c r="E228"/>
  <c r="D228"/>
  <c r="C228"/>
  <c r="A228"/>
  <c r="I227"/>
  <c r="H227"/>
  <c r="G227"/>
  <c r="F227"/>
  <c r="E227"/>
  <c r="D227"/>
  <c r="C227"/>
  <c r="A227"/>
  <c r="I226"/>
  <c r="H226"/>
  <c r="G226"/>
  <c r="F226"/>
  <c r="E226"/>
  <c r="D226"/>
  <c r="C226"/>
  <c r="A226"/>
  <c r="I225"/>
  <c r="H225"/>
  <c r="G225"/>
  <c r="F225"/>
  <c r="E225"/>
  <c r="D225"/>
  <c r="C225"/>
  <c r="A225"/>
  <c r="I224"/>
  <c r="H224"/>
  <c r="G224"/>
  <c r="F224"/>
  <c r="E224"/>
  <c r="D224"/>
  <c r="C224"/>
  <c r="A224"/>
  <c r="I223"/>
  <c r="H223"/>
  <c r="G223"/>
  <c r="F223"/>
  <c r="E223"/>
  <c r="D223"/>
  <c r="C223"/>
  <c r="A223"/>
  <c r="I222"/>
  <c r="H222"/>
  <c r="G222"/>
  <c r="F222"/>
  <c r="E222"/>
  <c r="D222"/>
  <c r="C222"/>
  <c r="A222"/>
  <c r="I221"/>
  <c r="H221"/>
  <c r="G221"/>
  <c r="F221"/>
  <c r="E221"/>
  <c r="D221"/>
  <c r="C221"/>
  <c r="A221"/>
  <c r="I220"/>
  <c r="H220"/>
  <c r="G220"/>
  <c r="F220"/>
  <c r="E220"/>
  <c r="D220"/>
  <c r="C220"/>
  <c r="A220"/>
  <c r="I219"/>
  <c r="H219"/>
  <c r="G219"/>
  <c r="F219"/>
  <c r="E219"/>
  <c r="D219"/>
  <c r="C219"/>
  <c r="A219"/>
  <c r="I218"/>
  <c r="H218"/>
  <c r="G218"/>
  <c r="F218"/>
  <c r="E218"/>
  <c r="D218"/>
  <c r="C218"/>
  <c r="A218"/>
  <c r="I217"/>
  <c r="H217"/>
  <c r="G217"/>
  <c r="F217"/>
  <c r="E217"/>
  <c r="D217"/>
  <c r="C217"/>
  <c r="A217"/>
  <c r="I216"/>
  <c r="H216"/>
  <c r="G216"/>
  <c r="F216"/>
  <c r="E216"/>
  <c r="D216"/>
  <c r="C216"/>
  <c r="A216"/>
  <c r="I215"/>
  <c r="H215"/>
  <c r="G215"/>
  <c r="F215"/>
  <c r="E215"/>
  <c r="D215"/>
  <c r="C215"/>
  <c r="A215"/>
  <c r="I214"/>
  <c r="H214"/>
  <c r="G214"/>
  <c r="F214"/>
  <c r="E214"/>
  <c r="D214"/>
  <c r="C214"/>
  <c r="A214"/>
  <c r="I213"/>
  <c r="H213"/>
  <c r="G213"/>
  <c r="F213"/>
  <c r="E213"/>
  <c r="D213"/>
  <c r="C213"/>
  <c r="A213"/>
  <c r="I212"/>
  <c r="H212"/>
  <c r="G212"/>
  <c r="F212"/>
  <c r="E212"/>
  <c r="D212"/>
  <c r="C212"/>
  <c r="A212"/>
  <c r="I211"/>
  <c r="H211"/>
  <c r="G211"/>
  <c r="F211"/>
  <c r="E211"/>
  <c r="D211"/>
  <c r="C211"/>
  <c r="A211"/>
  <c r="I210"/>
  <c r="H210"/>
  <c r="G210"/>
  <c r="F210"/>
  <c r="E210"/>
  <c r="D210"/>
  <c r="C210"/>
  <c r="A210"/>
  <c r="I209"/>
  <c r="H209"/>
  <c r="G209"/>
  <c r="F209"/>
  <c r="E209"/>
  <c r="D209"/>
  <c r="C209"/>
  <c r="A209"/>
  <c r="I208"/>
  <c r="H208"/>
  <c r="G208"/>
  <c r="F208"/>
  <c r="E208"/>
  <c r="D208"/>
  <c r="C208"/>
  <c r="A208"/>
  <c r="I207"/>
  <c r="H207"/>
  <c r="G207"/>
  <c r="F207"/>
  <c r="E207"/>
  <c r="D207"/>
  <c r="C207"/>
  <c r="A207"/>
  <c r="I206"/>
  <c r="H206"/>
  <c r="G206"/>
  <c r="F206"/>
  <c r="E206"/>
  <c r="D206"/>
  <c r="C206"/>
  <c r="A206"/>
  <c r="I205"/>
  <c r="H205"/>
  <c r="G205"/>
  <c r="F205"/>
  <c r="E205"/>
  <c r="D205"/>
  <c r="C205"/>
  <c r="A205"/>
  <c r="I204"/>
  <c r="H204"/>
  <c r="G204"/>
  <c r="F204"/>
  <c r="E204"/>
  <c r="D204"/>
  <c r="C204"/>
  <c r="A204"/>
  <c r="I203"/>
  <c r="H203"/>
  <c r="G203"/>
  <c r="F203"/>
  <c r="E203"/>
  <c r="D203"/>
  <c r="C203"/>
  <c r="A203"/>
  <c r="I202"/>
  <c r="H202"/>
  <c r="G202"/>
  <c r="F202"/>
  <c r="E202"/>
  <c r="D202"/>
  <c r="C202"/>
  <c r="A202"/>
  <c r="I201"/>
  <c r="H201"/>
  <c r="G201"/>
  <c r="F201"/>
  <c r="E201"/>
  <c r="D201"/>
  <c r="C201"/>
  <c r="A201"/>
  <c r="I200"/>
  <c r="H200"/>
  <c r="G200"/>
  <c r="F200"/>
  <c r="E200"/>
  <c r="D200"/>
  <c r="C200"/>
  <c r="A200"/>
  <c r="I199"/>
  <c r="H199"/>
  <c r="G199"/>
  <c r="F199"/>
  <c r="E199"/>
  <c r="D199"/>
  <c r="C199"/>
  <c r="A199"/>
  <c r="I198"/>
  <c r="H198"/>
  <c r="G198"/>
  <c r="F198"/>
  <c r="E198"/>
  <c r="D198"/>
  <c r="C198"/>
  <c r="A198"/>
  <c r="I197"/>
  <c r="H197"/>
  <c r="G197"/>
  <c r="F197"/>
  <c r="E197"/>
  <c r="D197"/>
  <c r="C197"/>
  <c r="A197"/>
  <c r="I196"/>
  <c r="H196"/>
  <c r="G196"/>
  <c r="F196"/>
  <c r="E196"/>
  <c r="D196"/>
  <c r="C196"/>
  <c r="A196"/>
  <c r="I195"/>
  <c r="H195"/>
  <c r="G195"/>
  <c r="F195"/>
  <c r="E195"/>
  <c r="D195"/>
  <c r="C195"/>
  <c r="A195"/>
  <c r="I194"/>
  <c r="H194"/>
  <c r="G194"/>
  <c r="F194"/>
  <c r="E194"/>
  <c r="D194"/>
  <c r="C194"/>
  <c r="A194"/>
  <c r="I193"/>
  <c r="H193"/>
  <c r="G193"/>
  <c r="F193"/>
  <c r="E193"/>
  <c r="D193"/>
  <c r="C193"/>
  <c r="A193"/>
  <c r="I192"/>
  <c r="H192"/>
  <c r="G192"/>
  <c r="F192"/>
  <c r="E192"/>
  <c r="D192"/>
  <c r="C192"/>
  <c r="A192"/>
  <c r="I191"/>
  <c r="H191"/>
  <c r="G191"/>
  <c r="F191"/>
  <c r="E191"/>
  <c r="D191"/>
  <c r="C191"/>
  <c r="A191"/>
  <c r="I190"/>
  <c r="H190"/>
  <c r="G190"/>
  <c r="F190"/>
  <c r="E190"/>
  <c r="D190"/>
  <c r="C190"/>
  <c r="A190"/>
  <c r="I189"/>
  <c r="H189"/>
  <c r="G189"/>
  <c r="F189"/>
  <c r="E189"/>
  <c r="D189"/>
  <c r="C189"/>
  <c r="A189"/>
  <c r="I188"/>
  <c r="H188"/>
  <c r="G188"/>
  <c r="F188"/>
  <c r="E188"/>
  <c r="D188"/>
  <c r="C188"/>
  <c r="A188"/>
  <c r="I187"/>
  <c r="H187"/>
  <c r="G187"/>
  <c r="F187"/>
  <c r="E187"/>
  <c r="D187"/>
  <c r="C187"/>
  <c r="A187"/>
  <c r="I186"/>
  <c r="H186"/>
  <c r="G186"/>
  <c r="F186"/>
  <c r="E186"/>
  <c r="D186"/>
  <c r="C186"/>
  <c r="A186"/>
  <c r="I185"/>
  <c r="H185"/>
  <c r="G185"/>
  <c r="F185"/>
  <c r="E185"/>
  <c r="D185"/>
  <c r="C185"/>
  <c r="A185"/>
  <c r="I184"/>
  <c r="H184"/>
  <c r="G184"/>
  <c r="F184"/>
  <c r="E184"/>
  <c r="D184"/>
  <c r="C184"/>
  <c r="A184"/>
  <c r="I183"/>
  <c r="H183"/>
  <c r="G183"/>
  <c r="F183"/>
  <c r="E183"/>
  <c r="D183"/>
  <c r="C183"/>
  <c r="A183"/>
  <c r="I182"/>
  <c r="H182"/>
  <c r="G182"/>
  <c r="F182"/>
  <c r="E182"/>
  <c r="D182"/>
  <c r="C182"/>
  <c r="A182"/>
  <c r="I181"/>
  <c r="H181"/>
  <c r="G181"/>
  <c r="F181"/>
  <c r="E181"/>
  <c r="D181"/>
  <c r="C181"/>
  <c r="A181"/>
  <c r="I180"/>
  <c r="H180"/>
  <c r="G180"/>
  <c r="F180"/>
  <c r="E180"/>
  <c r="D180"/>
  <c r="C180"/>
  <c r="A180"/>
  <c r="I179"/>
  <c r="H179"/>
  <c r="G179"/>
  <c r="F179"/>
  <c r="E179"/>
  <c r="D179"/>
  <c r="C179"/>
  <c r="A179"/>
  <c r="I178"/>
  <c r="H178"/>
  <c r="G178"/>
  <c r="F178"/>
  <c r="E178"/>
  <c r="D178"/>
  <c r="C178"/>
  <c r="A178"/>
  <c r="I177"/>
  <c r="H177"/>
  <c r="G177"/>
  <c r="F177"/>
  <c r="E177"/>
  <c r="D177"/>
  <c r="C177"/>
  <c r="A177"/>
  <c r="I176"/>
  <c r="H176"/>
  <c r="G176"/>
  <c r="F176"/>
  <c r="E176"/>
  <c r="D176"/>
  <c r="C176"/>
  <c r="A176"/>
  <c r="I175"/>
  <c r="H175"/>
  <c r="G175"/>
  <c r="F175"/>
  <c r="E175"/>
  <c r="D175"/>
  <c r="C175"/>
  <c r="A175"/>
  <c r="I174"/>
  <c r="H174"/>
  <c r="G174"/>
  <c r="F174"/>
  <c r="E174"/>
  <c r="D174"/>
  <c r="C174"/>
  <c r="A174"/>
  <c r="I173"/>
  <c r="H173"/>
  <c r="G173"/>
  <c r="F173"/>
  <c r="E173"/>
  <c r="D173"/>
  <c r="C173"/>
  <c r="A173"/>
  <c r="I172"/>
  <c r="H172"/>
  <c r="G172"/>
  <c r="F172"/>
  <c r="E172"/>
  <c r="D172"/>
  <c r="C172"/>
  <c r="A172"/>
  <c r="I171"/>
  <c r="H171"/>
  <c r="G171"/>
  <c r="F171"/>
  <c r="E171"/>
  <c r="D171"/>
  <c r="C171"/>
  <c r="A171"/>
  <c r="I170"/>
  <c r="H170"/>
  <c r="G170"/>
  <c r="F170"/>
  <c r="E170"/>
  <c r="D170"/>
  <c r="C170"/>
  <c r="A170"/>
  <c r="I169"/>
  <c r="H169"/>
  <c r="G169"/>
  <c r="F169"/>
  <c r="E169"/>
  <c r="D169"/>
  <c r="C169"/>
  <c r="A169"/>
  <c r="I168"/>
  <c r="H168"/>
  <c r="G168"/>
  <c r="F168"/>
  <c r="E168"/>
  <c r="D168"/>
  <c r="C168"/>
  <c r="A168"/>
  <c r="I167"/>
  <c r="H167"/>
  <c r="G167"/>
  <c r="F167"/>
  <c r="E167"/>
  <c r="D167"/>
  <c r="C167"/>
  <c r="A167"/>
  <c r="I166"/>
  <c r="H166"/>
  <c r="G166"/>
  <c r="F166"/>
  <c r="E166"/>
  <c r="D166"/>
  <c r="C166"/>
  <c r="A166"/>
  <c r="I165"/>
  <c r="H165"/>
  <c r="G165"/>
  <c r="F165"/>
  <c r="E165"/>
  <c r="D165"/>
  <c r="C165"/>
  <c r="A165"/>
  <c r="I164"/>
  <c r="H164"/>
  <c r="G164"/>
  <c r="F164"/>
  <c r="E164"/>
  <c r="D164"/>
  <c r="C164"/>
  <c r="A164"/>
  <c r="I163"/>
  <c r="H163"/>
  <c r="G163"/>
  <c r="F163"/>
  <c r="E163"/>
  <c r="D163"/>
  <c r="C163"/>
  <c r="A163"/>
  <c r="I162"/>
  <c r="H162"/>
  <c r="G162"/>
  <c r="F162"/>
  <c r="E162"/>
  <c r="D162"/>
  <c r="C162"/>
  <c r="A162"/>
  <c r="I161"/>
  <c r="H161"/>
  <c r="G161"/>
  <c r="F161"/>
  <c r="E161"/>
  <c r="D161"/>
  <c r="C161"/>
  <c r="A161"/>
  <c r="I160"/>
  <c r="H160"/>
  <c r="G160"/>
  <c r="F160"/>
  <c r="E160"/>
  <c r="D160"/>
  <c r="C160"/>
  <c r="A160"/>
  <c r="I159"/>
  <c r="H159"/>
  <c r="G159"/>
  <c r="F159"/>
  <c r="E159"/>
  <c r="D159"/>
  <c r="C159"/>
  <c r="A159"/>
  <c r="I158"/>
  <c r="H158"/>
  <c r="G158"/>
  <c r="F158"/>
  <c r="E158"/>
  <c r="D158"/>
  <c r="C158"/>
  <c r="A158"/>
  <c r="I157"/>
  <c r="H157"/>
  <c r="G157"/>
  <c r="F157"/>
  <c r="E157"/>
  <c r="D157"/>
  <c r="C157"/>
  <c r="A157"/>
  <c r="I156"/>
  <c r="H156"/>
  <c r="G156"/>
  <c r="F156"/>
  <c r="E156"/>
  <c r="D156"/>
  <c r="C156"/>
  <c r="A156"/>
  <c r="I155"/>
  <c r="H155"/>
  <c r="G155"/>
  <c r="F155"/>
  <c r="E155"/>
  <c r="D155"/>
  <c r="C155"/>
  <c r="A155"/>
  <c r="I154"/>
  <c r="H154"/>
  <c r="G154"/>
  <c r="F154"/>
  <c r="E154"/>
  <c r="D154"/>
  <c r="C154"/>
  <c r="A154"/>
  <c r="I153"/>
  <c r="H153"/>
  <c r="G153"/>
  <c r="F153"/>
  <c r="E153"/>
  <c r="D153"/>
  <c r="C153"/>
  <c r="A153"/>
  <c r="I152"/>
  <c r="H152"/>
  <c r="G152"/>
  <c r="F152"/>
  <c r="E152"/>
  <c r="D152"/>
  <c r="C152"/>
  <c r="A152"/>
  <c r="I151"/>
  <c r="H151"/>
  <c r="G151"/>
  <c r="F151"/>
  <c r="E151"/>
  <c r="D151"/>
  <c r="C151"/>
  <c r="A151"/>
  <c r="I150"/>
  <c r="H150"/>
  <c r="G150"/>
  <c r="F150"/>
  <c r="E150"/>
  <c r="D150"/>
  <c r="C150"/>
  <c r="A150"/>
  <c r="I149"/>
  <c r="H149"/>
  <c r="G149"/>
  <c r="F149"/>
  <c r="E149"/>
  <c r="D149"/>
  <c r="C149"/>
  <c r="A149"/>
  <c r="I148"/>
  <c r="H148"/>
  <c r="G148"/>
  <c r="F148"/>
  <c r="E148"/>
  <c r="D148"/>
  <c r="C148"/>
  <c r="A148"/>
  <c r="I147"/>
  <c r="H147"/>
  <c r="G147"/>
  <c r="F147"/>
  <c r="E147"/>
  <c r="D147"/>
  <c r="C147"/>
  <c r="A147"/>
  <c r="I146"/>
  <c r="H146"/>
  <c r="G146"/>
  <c r="F146"/>
  <c r="E146"/>
  <c r="D146"/>
  <c r="C146"/>
  <c r="A146"/>
  <c r="I145"/>
  <c r="H145"/>
  <c r="G145"/>
  <c r="F145"/>
  <c r="E145"/>
  <c r="D145"/>
  <c r="C145"/>
  <c r="A145"/>
  <c r="I144"/>
  <c r="H144"/>
  <c r="G144"/>
  <c r="F144"/>
  <c r="E144"/>
  <c r="D144"/>
  <c r="C144"/>
  <c r="A144"/>
  <c r="I143"/>
  <c r="H143"/>
  <c r="G143"/>
  <c r="F143"/>
  <c r="E143"/>
  <c r="D143"/>
  <c r="C143"/>
  <c r="A143"/>
  <c r="I142"/>
  <c r="H142"/>
  <c r="G142"/>
  <c r="F142"/>
  <c r="E142"/>
  <c r="D142"/>
  <c r="C142"/>
  <c r="A142"/>
  <c r="I141"/>
  <c r="H141"/>
  <c r="G141"/>
  <c r="F141"/>
  <c r="E141"/>
  <c r="D141"/>
  <c r="C141"/>
  <c r="A141"/>
  <c r="I140"/>
  <c r="H140"/>
  <c r="G140"/>
  <c r="F140"/>
  <c r="E140"/>
  <c r="D140"/>
  <c r="C140"/>
  <c r="A140"/>
  <c r="I139"/>
  <c r="H139"/>
  <c r="G139"/>
  <c r="F139"/>
  <c r="E139"/>
  <c r="D139"/>
  <c r="C139"/>
  <c r="A139"/>
  <c r="I138"/>
  <c r="H138"/>
  <c r="G138"/>
  <c r="F138"/>
  <c r="E138"/>
  <c r="D138"/>
  <c r="C138"/>
  <c r="A138"/>
  <c r="I137"/>
  <c r="H137"/>
  <c r="G137"/>
  <c r="F137"/>
  <c r="E137"/>
  <c r="D137"/>
  <c r="C137"/>
  <c r="A137"/>
  <c r="I136"/>
  <c r="H136"/>
  <c r="G136"/>
  <c r="F136"/>
  <c r="E136"/>
  <c r="D136"/>
  <c r="C136"/>
  <c r="A136"/>
  <c r="I135"/>
  <c r="H135"/>
  <c r="G135"/>
  <c r="F135"/>
  <c r="E135"/>
  <c r="D135"/>
  <c r="C135"/>
  <c r="A135"/>
  <c r="I134"/>
  <c r="H134"/>
  <c r="G134"/>
  <c r="F134"/>
  <c r="E134"/>
  <c r="D134"/>
  <c r="C134"/>
  <c r="A134"/>
  <c r="I133"/>
  <c r="H133"/>
  <c r="G133"/>
  <c r="F133"/>
  <c r="E133"/>
  <c r="D133"/>
  <c r="C133"/>
  <c r="A133"/>
  <c r="I132"/>
  <c r="H132"/>
  <c r="G132"/>
  <c r="F132"/>
  <c r="E132"/>
  <c r="D132"/>
  <c r="C132"/>
  <c r="A132"/>
  <c r="I131"/>
  <c r="H131"/>
  <c r="G131"/>
  <c r="F131"/>
  <c r="E131"/>
  <c r="D131"/>
  <c r="C131"/>
  <c r="A131"/>
  <c r="I130"/>
  <c r="H130"/>
  <c r="G130"/>
  <c r="F130"/>
  <c r="E130"/>
  <c r="D130"/>
  <c r="C130"/>
  <c r="A130"/>
  <c r="I129"/>
  <c r="H129"/>
  <c r="G129"/>
  <c r="F129"/>
  <c r="E129"/>
  <c r="D129"/>
  <c r="C129"/>
  <c r="A129"/>
  <c r="I128"/>
  <c r="H128"/>
  <c r="G128"/>
  <c r="F128"/>
  <c r="E128"/>
  <c r="D128"/>
  <c r="C128"/>
  <c r="A128"/>
  <c r="I127"/>
  <c r="H127"/>
  <c r="G127"/>
  <c r="F127"/>
  <c r="E127"/>
  <c r="D127"/>
  <c r="C127"/>
  <c r="A127"/>
  <c r="I126"/>
  <c r="H126"/>
  <c r="G126"/>
  <c r="F126"/>
  <c r="E126"/>
  <c r="D126"/>
  <c r="C126"/>
  <c r="A126"/>
  <c r="I125"/>
  <c r="H125"/>
  <c r="G125"/>
  <c r="F125"/>
  <c r="E125"/>
  <c r="D125"/>
  <c r="C125"/>
  <c r="A125"/>
  <c r="I124"/>
  <c r="H124"/>
  <c r="G124"/>
  <c r="F124"/>
  <c r="E124"/>
  <c r="D124"/>
  <c r="C124"/>
  <c r="A124"/>
  <c r="I123"/>
  <c r="H123"/>
  <c r="G123"/>
  <c r="F123"/>
  <c r="E123"/>
  <c r="D123"/>
  <c r="C123"/>
  <c r="A123"/>
  <c r="I122"/>
  <c r="H122"/>
  <c r="G122"/>
  <c r="F122"/>
  <c r="E122"/>
  <c r="D122"/>
  <c r="C122"/>
  <c r="A122"/>
  <c r="I121"/>
  <c r="H121"/>
  <c r="G121"/>
  <c r="F121"/>
  <c r="E121"/>
  <c r="D121"/>
  <c r="C121"/>
  <c r="A121"/>
  <c r="I120"/>
  <c r="H120"/>
  <c r="G120"/>
  <c r="F120"/>
  <c r="E120"/>
  <c r="D120"/>
  <c r="C120"/>
  <c r="A120"/>
  <c r="I119"/>
  <c r="H119"/>
  <c r="G119"/>
  <c r="F119"/>
  <c r="E119"/>
  <c r="D119"/>
  <c r="C119"/>
  <c r="A119"/>
  <c r="I118"/>
  <c r="H118"/>
  <c r="G118"/>
  <c r="F118"/>
  <c r="E118"/>
  <c r="D118"/>
  <c r="C118"/>
  <c r="A118"/>
  <c r="I117"/>
  <c r="H117"/>
  <c r="G117"/>
  <c r="F117"/>
  <c r="E117"/>
  <c r="D117"/>
  <c r="C117"/>
  <c r="A117"/>
  <c r="I116"/>
  <c r="H116"/>
  <c r="G116"/>
  <c r="F116"/>
  <c r="E116"/>
  <c r="D116"/>
  <c r="C116"/>
  <c r="A116"/>
  <c r="I115"/>
  <c r="H115"/>
  <c r="G115"/>
  <c r="F115"/>
  <c r="E115"/>
  <c r="D115"/>
  <c r="C115"/>
  <c r="A115"/>
  <c r="I114"/>
  <c r="H114"/>
  <c r="G114"/>
  <c r="F114"/>
  <c r="E114"/>
  <c r="D114"/>
  <c r="C114"/>
  <c r="A114"/>
  <c r="I113"/>
  <c r="H113"/>
  <c r="G113"/>
  <c r="F113"/>
  <c r="E113"/>
  <c r="D113"/>
  <c r="C113"/>
  <c r="A113"/>
  <c r="I112"/>
  <c r="H112"/>
  <c r="G112"/>
  <c r="F112"/>
  <c r="E112"/>
  <c r="D112"/>
  <c r="C112"/>
  <c r="A112"/>
  <c r="I111"/>
  <c r="H111"/>
  <c r="G111"/>
  <c r="F111"/>
  <c r="E111"/>
  <c r="D111"/>
  <c r="C111"/>
  <c r="A111"/>
  <c r="I110"/>
  <c r="H110"/>
  <c r="G110"/>
  <c r="F110"/>
  <c r="E110"/>
  <c r="D110"/>
  <c r="C110"/>
  <c r="A110"/>
  <c r="I109"/>
  <c r="H109"/>
  <c r="G109"/>
  <c r="F109"/>
  <c r="E109"/>
  <c r="D109"/>
  <c r="C109"/>
  <c r="A109"/>
  <c r="I108"/>
  <c r="H108"/>
  <c r="G108"/>
  <c r="F108"/>
  <c r="E108"/>
  <c r="D108"/>
  <c r="C108"/>
  <c r="A108"/>
  <c r="I107"/>
  <c r="H107"/>
  <c r="G107"/>
  <c r="F107"/>
  <c r="E107"/>
  <c r="D107"/>
  <c r="C107"/>
  <c r="A107"/>
  <c r="I106"/>
  <c r="H106"/>
  <c r="G106"/>
  <c r="F106"/>
  <c r="E106"/>
  <c r="D106"/>
  <c r="C106"/>
  <c r="A106"/>
  <c r="I105"/>
  <c r="H105"/>
  <c r="G105"/>
  <c r="F105"/>
  <c r="E105"/>
  <c r="D105"/>
  <c r="C105"/>
  <c r="A105"/>
  <c r="I104"/>
  <c r="H104"/>
  <c r="G104"/>
  <c r="F104"/>
  <c r="E104"/>
  <c r="D104"/>
  <c r="C104"/>
  <c r="A104"/>
  <c r="I103"/>
  <c r="H103"/>
  <c r="G103"/>
  <c r="F103"/>
  <c r="E103"/>
  <c r="D103"/>
  <c r="C103"/>
  <c r="A103"/>
  <c r="I102"/>
  <c r="H102"/>
  <c r="G102"/>
  <c r="F102"/>
  <c r="E102"/>
  <c r="D102"/>
  <c r="C102"/>
  <c r="A102"/>
  <c r="I101"/>
  <c r="H101"/>
  <c r="G101"/>
  <c r="F101"/>
  <c r="E101"/>
  <c r="D101"/>
  <c r="C101"/>
  <c r="A101"/>
  <c r="I100"/>
  <c r="H100"/>
  <c r="G100"/>
  <c r="F100"/>
  <c r="E100"/>
  <c r="D100"/>
  <c r="C100"/>
  <c r="A100"/>
  <c r="I99"/>
  <c r="H99"/>
  <c r="G99"/>
  <c r="F99"/>
  <c r="E99"/>
  <c r="D99"/>
  <c r="C99"/>
  <c r="A99"/>
  <c r="I98"/>
  <c r="H98"/>
  <c r="G98"/>
  <c r="F98"/>
  <c r="E98"/>
  <c r="D98"/>
  <c r="C98"/>
  <c r="A98"/>
  <c r="I97"/>
  <c r="H97"/>
  <c r="G97"/>
  <c r="F97"/>
  <c r="E97"/>
  <c r="D97"/>
  <c r="C97"/>
  <c r="A97"/>
  <c r="I96"/>
  <c r="H96"/>
  <c r="G96"/>
  <c r="F96"/>
  <c r="E96"/>
  <c r="D96"/>
  <c r="C96"/>
  <c r="A96"/>
  <c r="I95"/>
  <c r="H95"/>
  <c r="G95"/>
  <c r="F95"/>
  <c r="E95"/>
  <c r="D95"/>
  <c r="C95"/>
  <c r="A95"/>
  <c r="I94"/>
  <c r="H94"/>
  <c r="G94"/>
  <c r="F94"/>
  <c r="E94"/>
  <c r="D94"/>
  <c r="C94"/>
  <c r="A94"/>
  <c r="I93"/>
  <c r="H93"/>
  <c r="G93"/>
  <c r="F93"/>
  <c r="E93"/>
  <c r="D93"/>
  <c r="C93"/>
  <c r="A93"/>
  <c r="I92"/>
  <c r="H92"/>
  <c r="G92"/>
  <c r="F92"/>
  <c r="E92"/>
  <c r="D92"/>
  <c r="C92"/>
  <c r="A92"/>
  <c r="I91"/>
  <c r="H91"/>
  <c r="G91"/>
  <c r="F91"/>
  <c r="E91"/>
  <c r="D91"/>
  <c r="C91"/>
  <c r="A91"/>
  <c r="I90"/>
  <c r="H90"/>
  <c r="G90"/>
  <c r="F90"/>
  <c r="E90"/>
  <c r="D90"/>
  <c r="C90"/>
  <c r="A90"/>
  <c r="I89"/>
  <c r="H89"/>
  <c r="G89"/>
  <c r="F89"/>
  <c r="E89"/>
  <c r="D89"/>
  <c r="C89"/>
  <c r="A89"/>
  <c r="I88"/>
  <c r="H88"/>
  <c r="G88"/>
  <c r="F88"/>
  <c r="E88"/>
  <c r="D88"/>
  <c r="C88"/>
  <c r="A88"/>
  <c r="I87"/>
  <c r="H87"/>
  <c r="G87"/>
  <c r="F87"/>
  <c r="E87"/>
  <c r="D87"/>
  <c r="C87"/>
  <c r="A87"/>
  <c r="I86"/>
  <c r="H86"/>
  <c r="G86"/>
  <c r="F86"/>
  <c r="E86"/>
  <c r="D86"/>
  <c r="C86"/>
  <c r="A86"/>
  <c r="I85"/>
  <c r="H85"/>
  <c r="G85"/>
  <c r="F85"/>
  <c r="E85"/>
  <c r="D85"/>
  <c r="C85"/>
  <c r="A85"/>
  <c r="I84"/>
  <c r="H84"/>
  <c r="G84"/>
  <c r="F84"/>
  <c r="E84"/>
  <c r="D84"/>
  <c r="C84"/>
  <c r="A84"/>
  <c r="I83"/>
  <c r="H83"/>
  <c r="G83"/>
  <c r="F83"/>
  <c r="E83"/>
  <c r="D83"/>
  <c r="C83"/>
  <c r="A83"/>
  <c r="I82"/>
  <c r="H82"/>
  <c r="G82"/>
  <c r="F82"/>
  <c r="E82"/>
  <c r="D82"/>
  <c r="C82"/>
  <c r="A82"/>
  <c r="I81"/>
  <c r="H81"/>
  <c r="G81"/>
  <c r="F81"/>
  <c r="E81"/>
  <c r="D81"/>
  <c r="C81"/>
  <c r="A81"/>
  <c r="I80"/>
  <c r="H80"/>
  <c r="G80"/>
  <c r="F80"/>
  <c r="E80"/>
  <c r="D80"/>
  <c r="C80"/>
  <c r="A80"/>
  <c r="I79"/>
  <c r="H79"/>
  <c r="G79"/>
  <c r="F79"/>
  <c r="E79"/>
  <c r="D79"/>
  <c r="C79"/>
  <c r="A79"/>
  <c r="I78"/>
  <c r="H78"/>
  <c r="G78"/>
  <c r="F78"/>
  <c r="E78"/>
  <c r="D78"/>
  <c r="C78"/>
  <c r="A78"/>
  <c r="I77"/>
  <c r="H77"/>
  <c r="G77"/>
  <c r="F77"/>
  <c r="E77"/>
  <c r="D77"/>
  <c r="C77"/>
  <c r="A77"/>
  <c r="I76"/>
  <c r="H76"/>
  <c r="G76"/>
  <c r="F76"/>
  <c r="E76"/>
  <c r="D76"/>
  <c r="C76"/>
  <c r="A76"/>
  <c r="I75"/>
  <c r="H75"/>
  <c r="G75"/>
  <c r="F75"/>
  <c r="E75"/>
  <c r="D75"/>
  <c r="C75"/>
  <c r="A75"/>
  <c r="I74"/>
  <c r="H74"/>
  <c r="G74"/>
  <c r="F74"/>
  <c r="E74"/>
  <c r="D74"/>
  <c r="C74"/>
  <c r="A74"/>
  <c r="I73"/>
  <c r="H73"/>
  <c r="G73"/>
  <c r="F73"/>
  <c r="E73"/>
  <c r="D73"/>
  <c r="C73"/>
  <c r="A73"/>
  <c r="I72"/>
  <c r="H72"/>
  <c r="G72"/>
  <c r="F72"/>
  <c r="E72"/>
  <c r="D72"/>
  <c r="C72"/>
  <c r="A72"/>
  <c r="I71"/>
  <c r="H71"/>
  <c r="G71"/>
  <c r="F71"/>
  <c r="E71"/>
  <c r="D71"/>
  <c r="C71"/>
  <c r="A71"/>
  <c r="I70"/>
  <c r="H70"/>
  <c r="G70"/>
  <c r="F70"/>
  <c r="E70"/>
  <c r="D70"/>
  <c r="C70"/>
  <c r="A70"/>
  <c r="I69"/>
  <c r="H69"/>
  <c r="G69"/>
  <c r="F69"/>
  <c r="E69"/>
  <c r="D69"/>
  <c r="C69"/>
  <c r="A69"/>
  <c r="I68"/>
  <c r="H68"/>
  <c r="G68"/>
  <c r="F68"/>
  <c r="E68"/>
  <c r="D68"/>
  <c r="C68"/>
  <c r="A68"/>
  <c r="I67"/>
  <c r="H67"/>
  <c r="G67"/>
  <c r="F67"/>
  <c r="E67"/>
  <c r="D67"/>
  <c r="C67"/>
  <c r="A67"/>
  <c r="I66"/>
  <c r="H66"/>
  <c r="G66"/>
  <c r="F66"/>
  <c r="E66"/>
  <c r="D66"/>
  <c r="C66"/>
  <c r="A66"/>
  <c r="I65"/>
  <c r="H65"/>
  <c r="G65"/>
  <c r="F65"/>
  <c r="E65"/>
  <c r="D65"/>
  <c r="C65"/>
  <c r="A65"/>
  <c r="I64"/>
  <c r="H64"/>
  <c r="G64"/>
  <c r="F64"/>
  <c r="E64"/>
  <c r="D64"/>
  <c r="C64"/>
  <c r="A64"/>
  <c r="I63"/>
  <c r="H63"/>
  <c r="G63"/>
  <c r="F63"/>
  <c r="E63"/>
  <c r="D63"/>
  <c r="C63"/>
  <c r="A63"/>
  <c r="I62"/>
  <c r="H62"/>
  <c r="G62"/>
  <c r="F62"/>
  <c r="E62"/>
  <c r="D62"/>
  <c r="C62"/>
  <c r="A62"/>
  <c r="I61"/>
  <c r="H61"/>
  <c r="G61"/>
  <c r="F61"/>
  <c r="E61"/>
  <c r="D61"/>
  <c r="C61"/>
  <c r="A61"/>
  <c r="I60"/>
  <c r="H60"/>
  <c r="G60"/>
  <c r="F60"/>
  <c r="E60"/>
  <c r="D60"/>
  <c r="C60"/>
  <c r="A60"/>
  <c r="I59"/>
  <c r="H59"/>
  <c r="G59"/>
  <c r="F59"/>
  <c r="E59"/>
  <c r="D59"/>
  <c r="C59"/>
  <c r="A59"/>
  <c r="I58"/>
  <c r="H58"/>
  <c r="G58"/>
  <c r="F58"/>
  <c r="E58"/>
  <c r="D58"/>
  <c r="C58"/>
  <c r="A58"/>
  <c r="I57"/>
  <c r="H57"/>
  <c r="G57"/>
  <c r="F57"/>
  <c r="E57"/>
  <c r="D57"/>
  <c r="C57"/>
  <c r="A57"/>
  <c r="I56"/>
  <c r="H56"/>
  <c r="G56"/>
  <c r="F56"/>
  <c r="E56"/>
  <c r="D56"/>
  <c r="C56"/>
  <c r="A56"/>
  <c r="I55"/>
  <c r="H55"/>
  <c r="G55"/>
  <c r="F55"/>
  <c r="E55"/>
  <c r="D55"/>
  <c r="C55"/>
  <c r="A55"/>
  <c r="I54"/>
  <c r="H54"/>
  <c r="G54"/>
  <c r="F54"/>
  <c r="E54"/>
  <c r="D54"/>
  <c r="C54"/>
  <c r="A54"/>
  <c r="I53"/>
  <c r="H53"/>
  <c r="G53"/>
  <c r="F53"/>
  <c r="E53"/>
  <c r="D53"/>
  <c r="C53"/>
  <c r="A53"/>
  <c r="I52"/>
  <c r="H52"/>
  <c r="G52"/>
  <c r="F52"/>
  <c r="E52"/>
  <c r="D52"/>
  <c r="C52"/>
  <c r="A52"/>
  <c r="I51"/>
  <c r="H51"/>
  <c r="G51"/>
  <c r="F51"/>
  <c r="E51"/>
  <c r="D51"/>
  <c r="C51"/>
  <c r="A51"/>
  <c r="I50"/>
  <c r="H50"/>
  <c r="G50"/>
  <c r="F50"/>
  <c r="E50"/>
  <c r="D50"/>
  <c r="C50"/>
  <c r="A50"/>
  <c r="I49"/>
  <c r="H49"/>
  <c r="G49"/>
  <c r="F49"/>
  <c r="E49"/>
  <c r="D49"/>
  <c r="C49"/>
  <c r="A49"/>
  <c r="I48"/>
  <c r="H48"/>
  <c r="G48"/>
  <c r="F48"/>
  <c r="E48"/>
  <c r="D48"/>
  <c r="C48"/>
  <c r="A48"/>
  <c r="I47"/>
  <c r="H47"/>
  <c r="G47"/>
  <c r="F47"/>
  <c r="E47"/>
  <c r="D47"/>
  <c r="C47"/>
  <c r="A47"/>
  <c r="I46"/>
  <c r="H46"/>
  <c r="G46"/>
  <c r="F46"/>
  <c r="E46"/>
  <c r="D46"/>
  <c r="C46"/>
  <c r="A46"/>
  <c r="I45"/>
  <c r="H45"/>
  <c r="G45"/>
  <c r="F45"/>
  <c r="E45"/>
  <c r="D45"/>
  <c r="C45"/>
  <c r="A45"/>
  <c r="I44"/>
  <c r="H44"/>
  <c r="G44"/>
  <c r="F44"/>
  <c r="E44"/>
  <c r="D44"/>
  <c r="C44"/>
  <c r="A44"/>
  <c r="I43"/>
  <c r="H43"/>
  <c r="G43"/>
  <c r="F43"/>
  <c r="E43"/>
  <c r="D43"/>
  <c r="C43"/>
  <c r="A43"/>
  <c r="I42"/>
  <c r="H42"/>
  <c r="G42"/>
  <c r="F42"/>
  <c r="E42"/>
  <c r="D42"/>
  <c r="C42"/>
  <c r="A42"/>
  <c r="I41"/>
  <c r="H41"/>
  <c r="G41"/>
  <c r="F41"/>
  <c r="E41"/>
  <c r="D41"/>
  <c r="C41"/>
  <c r="A41"/>
  <c r="I40"/>
  <c r="H40"/>
  <c r="G40"/>
  <c r="F40"/>
  <c r="E40"/>
  <c r="D40"/>
  <c r="C40"/>
  <c r="A40"/>
  <c r="I39"/>
  <c r="H39"/>
  <c r="G39"/>
  <c r="F39"/>
  <c r="E39"/>
  <c r="D39"/>
  <c r="C39"/>
  <c r="A39"/>
  <c r="I38"/>
  <c r="H38"/>
  <c r="G38"/>
  <c r="F38"/>
  <c r="E38"/>
  <c r="D38"/>
  <c r="C38"/>
  <c r="A38"/>
  <c r="I37"/>
  <c r="H37"/>
  <c r="G37"/>
  <c r="F37"/>
  <c r="E37"/>
  <c r="D37"/>
  <c r="C37"/>
  <c r="A37"/>
  <c r="I36"/>
  <c r="H36"/>
  <c r="G36"/>
  <c r="F36"/>
  <c r="E36"/>
  <c r="D36"/>
  <c r="C36"/>
  <c r="A36"/>
  <c r="I35"/>
  <c r="H35"/>
  <c r="G35"/>
  <c r="F35"/>
  <c r="E35"/>
  <c r="D35"/>
  <c r="C35"/>
  <c r="A35"/>
  <c r="I34"/>
  <c r="H34"/>
  <c r="G34"/>
  <c r="F34"/>
  <c r="E34"/>
  <c r="D34"/>
  <c r="C34"/>
  <c r="A34"/>
  <c r="I33"/>
  <c r="H33"/>
  <c r="G33"/>
  <c r="F33"/>
  <c r="E33"/>
  <c r="D33"/>
  <c r="C33"/>
  <c r="A33"/>
  <c r="I32"/>
  <c r="H32"/>
  <c r="G32"/>
  <c r="F32"/>
  <c r="E32"/>
  <c r="D32"/>
  <c r="C32"/>
  <c r="A32"/>
  <c r="I31"/>
  <c r="H31"/>
  <c r="G31"/>
  <c r="F31"/>
  <c r="E31"/>
  <c r="D31"/>
  <c r="C31"/>
  <c r="A31"/>
  <c r="I30"/>
  <c r="H30"/>
  <c r="G30"/>
  <c r="F30"/>
  <c r="E30"/>
  <c r="D30"/>
  <c r="C30"/>
  <c r="A30"/>
  <c r="I29"/>
  <c r="H29"/>
  <c r="G29"/>
  <c r="F29"/>
  <c r="E29"/>
  <c r="D29"/>
  <c r="C29"/>
  <c r="A29"/>
  <c r="I28"/>
  <c r="H28"/>
  <c r="G28"/>
  <c r="F28"/>
  <c r="E28"/>
  <c r="D28"/>
  <c r="C28"/>
  <c r="A28"/>
  <c r="I27"/>
  <c r="H27"/>
  <c r="G27"/>
  <c r="F27"/>
  <c r="E27"/>
  <c r="D27"/>
  <c r="C27"/>
  <c r="A27"/>
  <c r="I26"/>
  <c r="H26"/>
  <c r="G26"/>
  <c r="F26"/>
  <c r="E26"/>
  <c r="D26"/>
  <c r="C26"/>
  <c r="A26"/>
  <c r="I25"/>
  <c r="H25"/>
  <c r="G25"/>
  <c r="F25"/>
  <c r="E25"/>
  <c r="D25"/>
  <c r="C25"/>
  <c r="A25"/>
  <c r="I24"/>
  <c r="H24"/>
  <c r="G24"/>
  <c r="F24"/>
  <c r="E24"/>
  <c r="D24"/>
  <c r="C24"/>
  <c r="A24"/>
  <c r="I23"/>
  <c r="H23"/>
  <c r="G23"/>
  <c r="F23"/>
  <c r="E23"/>
  <c r="D23"/>
  <c r="C23"/>
  <c r="A23"/>
  <c r="I22"/>
  <c r="H22"/>
  <c r="G22"/>
  <c r="F22"/>
  <c r="E22"/>
  <c r="D22"/>
  <c r="C22"/>
  <c r="A22"/>
  <c r="I21"/>
  <c r="H21"/>
  <c r="G21"/>
  <c r="F21"/>
  <c r="E21"/>
  <c r="D21"/>
  <c r="C21"/>
  <c r="A21"/>
  <c r="I20"/>
  <c r="H20"/>
  <c r="G20"/>
  <c r="F20"/>
  <c r="E20"/>
  <c r="D20"/>
  <c r="C20"/>
  <c r="A20"/>
  <c r="I19"/>
  <c r="H19"/>
  <c r="G19"/>
  <c r="F19"/>
  <c r="E19"/>
  <c r="D19"/>
  <c r="C19"/>
  <c r="A19"/>
  <c r="I18"/>
  <c r="H18"/>
  <c r="G18"/>
  <c r="F18"/>
  <c r="E18"/>
  <c r="D18"/>
  <c r="C18"/>
  <c r="A18"/>
  <c r="I17"/>
  <c r="H17"/>
  <c r="G17"/>
  <c r="F17"/>
  <c r="E17"/>
  <c r="D17"/>
  <c r="C17"/>
  <c r="A17"/>
  <c r="I16"/>
  <c r="H16"/>
  <c r="G16"/>
  <c r="F16"/>
  <c r="E16"/>
  <c r="D16"/>
  <c r="C16"/>
  <c r="A16"/>
  <c r="I15"/>
  <c r="H15"/>
  <c r="G15"/>
  <c r="F15"/>
  <c r="E15"/>
  <c r="D15"/>
  <c r="C15"/>
  <c r="A15"/>
  <c r="I14"/>
  <c r="H14"/>
  <c r="G14"/>
  <c r="F14"/>
  <c r="E14"/>
  <c r="D14"/>
  <c r="C14"/>
  <c r="A14"/>
  <c r="I13"/>
  <c r="H13"/>
  <c r="G13"/>
  <c r="F13"/>
  <c r="E13"/>
  <c r="D13"/>
  <c r="C13"/>
  <c r="A13"/>
  <c r="I12"/>
  <c r="H12"/>
  <c r="G12"/>
  <c r="F12"/>
  <c r="E12"/>
  <c r="D12"/>
  <c r="C12"/>
  <c r="A12"/>
  <c r="I11"/>
  <c r="H11"/>
  <c r="G11"/>
  <c r="F11"/>
  <c r="E11"/>
  <c r="D11"/>
  <c r="C11"/>
  <c r="A11"/>
  <c r="I10"/>
  <c r="H10"/>
  <c r="G10"/>
  <c r="F10"/>
  <c r="E10"/>
  <c r="D10"/>
  <c r="C10"/>
  <c r="A10"/>
  <c r="I9"/>
  <c r="H9"/>
  <c r="G9"/>
  <c r="F9"/>
  <c r="E9"/>
  <c r="D9"/>
  <c r="C9"/>
  <c r="A9"/>
  <c r="I8"/>
  <c r="H8"/>
  <c r="G8"/>
  <c r="F8"/>
  <c r="E8"/>
  <c r="D8"/>
  <c r="C8"/>
  <c r="A8"/>
  <c r="I7"/>
  <c r="H7"/>
  <c r="G7"/>
  <c r="F7"/>
  <c r="E7"/>
  <c r="D7"/>
  <c r="C7"/>
  <c r="A7"/>
  <c r="I6"/>
  <c r="H6"/>
  <c r="G6"/>
  <c r="F6"/>
  <c r="E6"/>
  <c r="D6"/>
  <c r="C6"/>
  <c r="A6"/>
  <c r="I5"/>
  <c r="H5"/>
  <c r="G5"/>
  <c r="F5"/>
  <c r="E5"/>
  <c r="D5"/>
  <c r="C5"/>
  <c r="A5"/>
  <c r="I4"/>
  <c r="H4"/>
  <c r="G4"/>
  <c r="F4"/>
  <c r="E4"/>
  <c r="D4"/>
  <c r="C4"/>
  <c r="A4"/>
  <c r="I3"/>
  <c r="H3"/>
  <c r="G3"/>
  <c r="F3"/>
  <c r="E3"/>
  <c r="D3"/>
  <c r="C3"/>
  <c r="A3"/>
  <c r="A2"/>
  <c r="C2"/>
  <c r="D2"/>
  <c r="E2"/>
  <c r="F2"/>
  <c r="G2"/>
  <c r="H2"/>
  <c r="I2"/>
</calcChain>
</file>

<file path=xl/comments1.xml><?xml version="1.0" encoding="utf-8"?>
<comments xmlns="http://schemas.openxmlformats.org/spreadsheetml/2006/main">
  <authors>
    <author>Robert Keane</author>
  </authors>
  <commentList>
    <comment ref="A1" authorId="0">
      <text>
        <r>
          <rPr>
            <b/>
            <sz val="8"/>
            <color indexed="81"/>
            <rFont val="Tahoma"/>
            <family val="2"/>
          </rPr>
          <t>Robert Keane:</t>
        </r>
        <r>
          <rPr>
            <sz val="8"/>
            <color indexed="81"/>
            <rFont val="Tahoma"/>
            <family val="2"/>
          </rPr>
          <t xml:space="preserve">
Leave blank until MESL is complete.</t>
        </r>
      </text>
    </comment>
  </commentList>
</comments>
</file>

<file path=xl/comments2.xml><?xml version="1.0" encoding="utf-8"?>
<comments xmlns="http://schemas.openxmlformats.org/spreadsheetml/2006/main">
  <authors>
    <author>Robert Keane</author>
  </authors>
  <commentList>
    <comment ref="A3" authorId="0">
      <text>
        <r>
          <rPr>
            <b/>
            <sz val="8"/>
            <color indexed="81"/>
            <rFont val="Tahoma"/>
            <family val="2"/>
          </rPr>
          <t>Robert Keane:</t>
        </r>
        <r>
          <rPr>
            <sz val="8"/>
            <color indexed="81"/>
            <rFont val="Tahoma"/>
            <family val="2"/>
          </rPr>
          <t xml:space="preserve">
Leave blank until MESL is complete.</t>
        </r>
      </text>
    </comment>
  </commentList>
</comments>
</file>

<file path=xl/comments3.xml><?xml version="1.0" encoding="utf-8"?>
<comments xmlns="http://schemas.openxmlformats.org/spreadsheetml/2006/main">
  <authors>
    <author>Robert Keane</author>
  </authors>
  <commentList>
    <comment ref="A3" authorId="0">
      <text>
        <r>
          <rPr>
            <b/>
            <sz val="8"/>
            <color indexed="81"/>
            <rFont val="Tahoma"/>
            <family val="2"/>
          </rPr>
          <t>Robert Keane:</t>
        </r>
        <r>
          <rPr>
            <sz val="8"/>
            <color indexed="81"/>
            <rFont val="Tahoma"/>
            <family val="2"/>
          </rPr>
          <t xml:space="preserve">
Leave blank until MESL is complete.</t>
        </r>
      </text>
    </comment>
  </commentList>
</comments>
</file>

<file path=xl/comments4.xml><?xml version="1.0" encoding="utf-8"?>
<comments xmlns="http://schemas.openxmlformats.org/spreadsheetml/2006/main">
  <authors>
    <author>Robert Keane</author>
    <author>Mirza Kurspahic</author>
  </authors>
  <commentList>
    <comment ref="A1" authorId="0">
      <text>
        <r>
          <rPr>
            <b/>
            <sz val="8"/>
            <color indexed="81"/>
            <rFont val="Tahoma"/>
            <family val="2"/>
          </rPr>
          <t>Robert Keane:</t>
        </r>
        <r>
          <rPr>
            <sz val="8"/>
            <color indexed="81"/>
            <rFont val="Tahoma"/>
            <family val="2"/>
          </rPr>
          <t xml:space="preserve">
Leave blank until MESL is complete.</t>
        </r>
      </text>
    </comment>
    <comment ref="B230" authorId="1">
      <text>
        <r>
          <rPr>
            <sz val="8"/>
            <color indexed="81"/>
            <rFont val="Tahoma"/>
            <family val="2"/>
          </rPr>
          <t>Day 7 is 3 June</t>
        </r>
      </text>
    </comment>
    <comment ref="B236" authorId="1">
      <text>
        <r>
          <rPr>
            <sz val="8"/>
            <color indexed="81"/>
            <rFont val="Tahoma"/>
            <family val="2"/>
          </rPr>
          <t>Day 8 is 4 June</t>
        </r>
      </text>
    </comment>
  </commentList>
</comments>
</file>

<file path=xl/sharedStrings.xml><?xml version="1.0" encoding="utf-8"?>
<sst xmlns="http://schemas.openxmlformats.org/spreadsheetml/2006/main" count="6275" uniqueCount="1594">
  <si>
    <t>A SM from JTF South was brought to sick call this morning by her battle buddy.  The SM was badly beaten and raped around 0200 by a fellow soldier.  TF MED (JTF S) has stabilized the soldier's injuries and conducted the initial mental health evaluation.  TF MED (JTF S) is requesting SM being transferred back to HOR (Birmingham) by MEDEVAC to complete follow up medical care.  SM SSN: ###-###-1234</t>
  </si>
  <si>
    <t>Should initiate J3 AVN coord, J1 SARC, Safety, MED, JAG, PAO and CID/CIV Police                                             OPEN</t>
  </si>
  <si>
    <t>FS-14</t>
  </si>
  <si>
    <t>FS-15</t>
  </si>
  <si>
    <t>FS-16</t>
  </si>
  <si>
    <t>FS-17</t>
  </si>
  <si>
    <t>FS-18</t>
  </si>
  <si>
    <t>FS-19</t>
  </si>
  <si>
    <t>White Cell - Medical (MAJ Benton)</t>
  </si>
  <si>
    <t>WJXT, Channel 25, NBC Affiliate for Birmingham, News Anchor Alan Genae sent a fax to the JFHQ requesting to know "Where is the National Guard?"</t>
  </si>
  <si>
    <t>JTFs to scrub potential personnel rosters and identify any shortfalls that  the JFHQAL could establish missions to support.</t>
  </si>
  <si>
    <t>CLOSED</t>
  </si>
  <si>
    <t>041730MAY10</t>
  </si>
  <si>
    <t>CL VIII/Vaccine Request</t>
  </si>
  <si>
    <t>EMAIL</t>
  </si>
  <si>
    <t>JTF North</t>
  </si>
  <si>
    <t>TF MED of JTF North requests Routine Adult Immunizations as follows: Hep A: 75 doses, Hep B: 90 doses, Hep A/B: 25 doses, TDAP: 15 doses, &amp; H1N1: 435 doses.  Note: TF MED has all expendable CL VIII to administer vaccines with the exception of needles (25g x 1").  Need items above NLT 0900 in preparation for incoming support personnel.</t>
  </si>
  <si>
    <t>JTF N to Coordinate with JFHQAL MED to set up CL VIII mission with MED DET.</t>
  </si>
  <si>
    <t>042100MAY10</t>
  </si>
  <si>
    <t>MVA Medical Update 1</t>
  </si>
  <si>
    <t xml:space="preserve">UPDATE:  Three (3) of the military personnel injurred received minor injuries from the accident and were treated/released at 2030.  One (1) soldier received a minor head injury that requires him to remain overnight and further testing. </t>
  </si>
  <si>
    <t>Coordinate J1 Actions (LODs &amp; Accountablity), Chaplain Support and Medical Patient Tracking.</t>
  </si>
  <si>
    <t>050859MAY10</t>
  </si>
  <si>
    <t>Medical Equipment Repair</t>
  </si>
  <si>
    <t xml:space="preserve">The TF MED (JTF S) is reporting that the dental xray machine in the Ft. Whiting medical facility is down and requesting medical maintenance support.  </t>
  </si>
  <si>
    <t>JFHQ MED will set up support.  Military support will not be available.  Contract support will need to be coordinated.</t>
  </si>
  <si>
    <t>MVA Medical Update 2</t>
  </si>
  <si>
    <t>UPDATE: SGT Joe Doe's condition has worsened and the SM will remain in the hospital until further notice. The Doe family is currently at Jackson Hospital and terribly upset with the fact that no military family support is being offered at this time.</t>
  </si>
  <si>
    <t>JFHQ MED will provide detailed patient tracking.    J1 will account for SM in PERSTAT &amp; Chaplian will send rep to meet with family.</t>
  </si>
  <si>
    <t>060700MAY10</t>
  </si>
  <si>
    <t>Sexual Assault Incident</t>
  </si>
  <si>
    <t>JTF S Whitecell</t>
  </si>
  <si>
    <t xml:space="preserve">ALT Route procedure when main route is closed </t>
  </si>
  <si>
    <t>MVA on I-65/I-85 interchange involving 3 vehicles (2 military LMTVs and 1 civilian tractor trailer).  4 military SM injured and transported to Jackson Hospital.</t>
  </si>
  <si>
    <t>Potential Food Poisoning (MREs)</t>
  </si>
  <si>
    <t>30 soldiers have become sick in the Mobile area, experiencing nausea, vomiting, diarrhea, and abdominal cramping.  SMs started showing symptoms within 1 hour of eating lunch (MREs).  All personnel had consumed the MRE dairy shakes.</t>
  </si>
  <si>
    <t>J4 issue MRE guidance and possible recall.  J1 track LODs.  Medical initiate PM actions. Safety review.</t>
  </si>
  <si>
    <t>Combined with MSEL # 145</t>
  </si>
  <si>
    <t>Changed to a Sexual Assualt Inject</t>
  </si>
  <si>
    <t>A SM from JTF South was brought to sick call this morning by battle buddy.  SM was badley beaten and raped around 0200 by a fellow soldier.  TF MED (JTFS) has stabilized the SM injuries and  completed initial mental health evaluation.  TF MED is requesting SM be evacuated back to HOR (Birmingham) by MEDEVAC to complete follow up medical care.</t>
  </si>
  <si>
    <t xml:space="preserve">A SM from JTF South was brought to sick call this morning by battle buddy.  SM was badley beaten and raped around 0200 by a fellow soldier.  </t>
  </si>
  <si>
    <t>Moved Up to 5/5/10.  CL VIII Resupply Request (75 CLS Bags)</t>
  </si>
  <si>
    <t>Dental Emeergency in Montgomery (JOC - 1 pax)</t>
  </si>
  <si>
    <t>JFHQAL</t>
  </si>
  <si>
    <t>030932MAY10</t>
  </si>
  <si>
    <t>Medical Readiness Status Update</t>
  </si>
  <si>
    <t>State Surgeon</t>
  </si>
  <si>
    <t>J33 Message Center</t>
  </si>
  <si>
    <t>DTG (3029MAY2010) TELEPHONE CALL FROM STATE SURGEON:  All JTFs need to screen all potential personnel to be activated for DSCA support missions to ensure that they have a current periodic health assessment (PHA), current dental examination, current on Routine Adult Immunizations (to include H1N1 Influenza) and have no outstanding non-deployable medical conditions.  Status report needs to be submitted back to JFHQ-MED NLT 1200 4 May 10 in order to establish any follow on PHA, Dental and/or immunization mission requirements.</t>
  </si>
  <si>
    <t>Troy University called and stated that SPC Mitchell and PFC Howard, with JTF South, need to return to class on Thursday.</t>
  </si>
  <si>
    <t>Message center contact JTF-S and J1 in order to take action. Action will affect Pay and will require communication and a plan to get these soldiers back to their HS.</t>
  </si>
  <si>
    <t>Johnson</t>
  </si>
  <si>
    <t>Unknown individual shows up in uniform. Request to assist in mission.</t>
  </si>
  <si>
    <t xml:space="preserve">JTF-South reports individual showed up in uniform stating he is a member of 31st Chem Brigade. No soldier with that name or SSN is on a Battle Roster or in SIDPERS. Individual insist on helping and states he will go to Civilian Reporters if rejected. Request guidance. </t>
  </si>
  <si>
    <t>Message center contact J1/JAG/PAO in order to take action. Action will require interaction with Civilian Authorities in the area of JTF-S and will require communication and a plan to remove individual from AO.</t>
  </si>
  <si>
    <t>Soldier's wife going into labor and demanding that soldier be allowed to meet her at the hospital.</t>
  </si>
  <si>
    <t>Red Cross states MAJ Sawyer's wife is going into labor at Sacred Heart in Pensacola. She is frantic and demands his presence.</t>
  </si>
  <si>
    <t xml:space="preserve">Message center contacts J1 in order to take action. Action will require interaction with J1 and soldier's unit. </t>
  </si>
  <si>
    <t>FS-10</t>
  </si>
  <si>
    <t>FS-11</t>
  </si>
  <si>
    <t>Request will come from TFSAL</t>
  </si>
  <si>
    <t>FS-12</t>
  </si>
  <si>
    <t>A M916 hauling a MW24C 2 1/2 Yard Scooper Loader overturn I-10</t>
  </si>
  <si>
    <t>white cell 4</t>
  </si>
  <si>
    <t>McDonald/Canno</t>
  </si>
  <si>
    <t>Heavy equipment Recovery procedure</t>
  </si>
  <si>
    <t xml:space="preserve">M916 hauling a MW24C 2 1/2 Yard Scooper Loader convoying east on I-10 in Mobile, braking action cause tie down to break, which in turn, let the loader fall off the trailer, backing tracffic east bound. </t>
  </si>
  <si>
    <t xml:space="preserve"> FS-13</t>
  </si>
  <si>
    <t xml:space="preserve">TF-South Dispacted Wrecker </t>
  </si>
  <si>
    <t xml:space="preserve">Grove Hill - Jackson City Emergency Manager requested evacuation assistance from NG </t>
  </si>
  <si>
    <t xml:space="preserve">State EMA </t>
  </si>
  <si>
    <t xml:space="preserve">Grove Hill - Jackson City area EM, requested assistance from ALNG to evacuation of 20 elderly personnel from the city of Jackson, relocating to B'Ham until Hurricrane had cleared. </t>
  </si>
  <si>
    <t>As a result of a malfunction forklift, Airfield Manager is requesting two 10,000lbs forklift capable of Handling L-463 pallets.  POC whitecell J4, 4731</t>
  </si>
  <si>
    <t>FS-5</t>
  </si>
  <si>
    <t>1165th MP CO down vehicle</t>
  </si>
  <si>
    <t>White Cell TFAL</t>
  </si>
  <si>
    <t>31st Chem Bde</t>
  </si>
  <si>
    <t>While in route to report to JTF-S 1165th had a HMMWV's rear axle went out and is blocking one lane on Bay Bridge.  1165th does not have a tow bar or wrecker with the convoy.  The company has left two soldiers with the vehicle and the rest of the company went to Fort Whiting.  The traffic on Bay Bridge is backing up.</t>
  </si>
  <si>
    <t>31st Chem Bde to JTF-S for support to assist with the down HMMWV</t>
  </si>
  <si>
    <t>FS-6</t>
  </si>
  <si>
    <t>Engineers Batteries</t>
  </si>
  <si>
    <t>White cell J-4</t>
  </si>
  <si>
    <t>Expect purchase to be on Impac Card. Ensure J4 follows Impac procedures.</t>
  </si>
  <si>
    <t xml:space="preserve">Engineers task to remove debris from roadway has equipment with dead batteries. Unit need 30ea of NSN 6140-01-493-1962, supporting FMS has  zero on-hand. </t>
  </si>
  <si>
    <t>FS-7</t>
  </si>
  <si>
    <t>Recovery Mission</t>
  </si>
  <si>
    <t>e-mail</t>
  </si>
  <si>
    <t>Cannon, McDonald</t>
  </si>
  <si>
    <t>Accident on I-65 aand I-85 interchange involving 2 military LMTV's at 1715 hrs, request recovery mission, owning unit has no recovery capability</t>
  </si>
  <si>
    <t>Determine capability to task appropriate unit</t>
  </si>
  <si>
    <t>Inject called in on schedule. Monitoring of JOC message traffic indicates that information apparently did not make it outside of 226 MEB.</t>
  </si>
  <si>
    <t>Identify assets to be used for haul</t>
  </si>
  <si>
    <t>Network Problems</t>
  </si>
  <si>
    <t>CW2 Snider</t>
  </si>
  <si>
    <t>JTF-South</t>
  </si>
  <si>
    <t>FTUS NCO manning Citronelle Armory</t>
  </si>
  <si>
    <t>JTF South contact JFHQ-JOC.  JFHQ-JOC contact J-6.</t>
  </si>
  <si>
    <t>Cell Phone Call</t>
  </si>
  <si>
    <t>Question Concerning Network</t>
  </si>
  <si>
    <t>Citronelle Network Problems</t>
  </si>
  <si>
    <t xml:space="preserve">J6 should be involved for solution. </t>
  </si>
  <si>
    <t>Snider</t>
  </si>
  <si>
    <t>I was walking down the hall and noticed that water was coming out from under the door of the telecom room.  I opened the door and noticed that water is leaking from the roof all over the equipment that is in there.</t>
  </si>
  <si>
    <t>FS-8</t>
  </si>
  <si>
    <t>FS-9</t>
  </si>
  <si>
    <t>Students return to school</t>
  </si>
  <si>
    <t>white cell 1</t>
  </si>
  <si>
    <t>MAJ Johnson</t>
  </si>
  <si>
    <t>jfhqal.j33.msg1</t>
  </si>
  <si>
    <t>At 1107 hours, MAJ Johns, MS-JOC- Battle Capt,  contacted CW5 Fontenot, AVN, he said to send EMAC request ALNG can support 3 UH60 out of Mobile because they are having to relocate due to impeding storm.</t>
  </si>
  <si>
    <t>FS-2</t>
  </si>
  <si>
    <t>NGB JoCC Requesting Hurricane States update Hurrican Matrices</t>
  </si>
  <si>
    <t>NGB-JoCC</t>
  </si>
  <si>
    <t>All States</t>
  </si>
  <si>
    <t>NGB JoCC request all supported and supporting Hurricane State update their Hurricane Matrices ASAP and Provide to NGB JoCC, NLT 1400 EDT.</t>
  </si>
  <si>
    <t>AL JOC update their Hurricane Matrices</t>
  </si>
  <si>
    <t>At 1711 hours, CAPT Manson, DCSOPS NAVOPS, advised  MAJ Davis, AL-JOC that DoD assets were available through DCO.</t>
  </si>
  <si>
    <t>FS-3</t>
  </si>
  <si>
    <t>RFI for Update of mission status</t>
  </si>
  <si>
    <t>AL JoCC</t>
  </si>
  <si>
    <t xml:space="preserve">The Gulf States in the potential path of Hurricane Al should keep NGB aprised of certain information </t>
  </si>
  <si>
    <t>The Gulf States in the potential path of Hurricane Al should keep NGB aprised of certain information but are not.</t>
  </si>
  <si>
    <t xml:space="preserve">At 0923 hours LTC Small, ARNG CAT, contacted MSG Woodall @ 334.213.7748 and he took message and would have someone return our call.  At 1007 hours called MSG Woodall and advised no one had called.  Left another message.  At 1114 hours MAJ Davis, AL JOC returned call and received request.  Will advise. At 1715 hours, MAJ Davis advises TAG will concur with request but requests a 48 hours delay for the EMAC request. </t>
  </si>
  <si>
    <t>FS-4</t>
  </si>
  <si>
    <t>Forklift request capable of handling L-463 pallets</t>
  </si>
  <si>
    <t>Telephone call, follow-up email JOC</t>
  </si>
  <si>
    <t>White Cell J4</t>
  </si>
  <si>
    <t>J4 (telephone), email J33</t>
  </si>
  <si>
    <t xml:space="preserve">States ability to transport a forklift capable of handling L-463 pallets. NG ability to identify which unit MTOE has Line # T-49119 </t>
  </si>
  <si>
    <t>Supplies are beginning to stock pile as they arrived at Mobile Regional Airport. The Airfield Manager indicated shipment after shipment are waiting to be off loaded as air cargo arrived. The only forklift presently located at Mobile regional Airport, which is capable of Handling L-463 pallets is not functioning.</t>
  </si>
  <si>
    <r>
      <t xml:space="preserve">This is </t>
    </r>
    <r>
      <rPr>
        <sz val="10"/>
        <color indexed="10"/>
        <rFont val="Arial"/>
        <family val="2"/>
      </rPr>
      <t>(Name)</t>
    </r>
    <r>
      <rPr>
        <sz val="10"/>
        <rFont val="Arial"/>
        <family val="2"/>
      </rPr>
      <t xml:space="preserve"> from </t>
    </r>
    <r>
      <rPr>
        <sz val="10"/>
        <color indexed="10"/>
        <rFont val="Arial"/>
        <family val="2"/>
      </rPr>
      <t xml:space="preserve">(City/County/State Emergency Management Agency). </t>
    </r>
    <r>
      <rPr>
        <sz val="10"/>
        <rFont val="Arial"/>
        <family val="2"/>
      </rPr>
      <t xml:space="preserve"> There are hundreds of stray animals running free in various areas of </t>
    </r>
    <r>
      <rPr>
        <sz val="10"/>
        <color indexed="10"/>
        <rFont val="Arial"/>
        <family val="2"/>
      </rPr>
      <t>(City)</t>
    </r>
    <r>
      <rPr>
        <sz val="10"/>
        <rFont val="Arial"/>
        <family val="2"/>
      </rPr>
      <t xml:space="preserve"> and the </t>
    </r>
    <r>
      <rPr>
        <sz val="10"/>
        <color indexed="10"/>
        <rFont val="Arial"/>
        <family val="2"/>
      </rPr>
      <t>(Location)</t>
    </r>
    <r>
      <rPr>
        <sz val="10"/>
        <rFont val="Arial"/>
        <family val="2"/>
      </rPr>
      <t>. Could you please coordinate this request to provide any assistance needed to catch and shelter these animals so they can be reunited with their owners.</t>
    </r>
  </si>
  <si>
    <t>STATUS</t>
  </si>
  <si>
    <t>Ready to Inject</t>
  </si>
  <si>
    <t>Injected</t>
  </si>
  <si>
    <t>Deferred</t>
  </si>
  <si>
    <t>Deleted</t>
  </si>
  <si>
    <t>Omitted</t>
  </si>
  <si>
    <t>FS-1</t>
  </si>
  <si>
    <t>5/3/10 0715</t>
  </si>
  <si>
    <t>NGB ABS Standup</t>
  </si>
  <si>
    <t>Huddleston</t>
  </si>
  <si>
    <t>ALNG JOC</t>
  </si>
  <si>
    <t>NGB JoCC has established ABS Level 2 in response to Hurricane AL</t>
  </si>
  <si>
    <t>None</t>
  </si>
  <si>
    <t>Exercise Exercise Exercise</t>
  </si>
  <si>
    <t xml:space="preserve"> </t>
  </si>
  <si>
    <t>As a result of Hurrican Al, the National Guard Bureau Adaptive Battle staff has been established at ABS Level 2 as of 0700 EDT, 3 May 2010.  NGB Point of Contact for AL HURREX, Hurricane AL is, COL Sanders, 571-606-2396.</t>
  </si>
  <si>
    <t>NGB JoCC</t>
  </si>
  <si>
    <t>COL Sanders</t>
  </si>
  <si>
    <t>571-606-2396</t>
  </si>
  <si>
    <t>exercise.ngb.jocc@gmail.com</t>
  </si>
  <si>
    <t>Telephone Call</t>
  </si>
  <si>
    <t>STATE SURGEON</t>
  </si>
  <si>
    <t>MED DET</t>
  </si>
  <si>
    <t>1 Soldier found HIV positive in the 226th MEB after a periodic health assessment (PHA) performed by the medical detachment, from 10-11 Apr 10 SRP in Mobile.</t>
  </si>
  <si>
    <t>SPS MED</t>
  </si>
  <si>
    <t>SPS MED &amp; J1</t>
  </si>
  <si>
    <t>All JTFs must perform a medical readiness screening of the potential personnel being considered for DSCA support mission to ensure that they have a current PHA, Dental Exam, Routine Adult Immunizations (to include H1N1) and have no outstanding noon-deployable medical conditions.  Submit status report back to SPS.MED NLT 1200 4 May 10.</t>
  </si>
  <si>
    <t>P. MCDONALD</t>
  </si>
  <si>
    <t>JOC MSG CTR</t>
  </si>
  <si>
    <t>SEOC LNO/P MCDONALD</t>
  </si>
  <si>
    <t>JOC-AVN</t>
  </si>
  <si>
    <t>At 0939 hours LTC Small , ARNG CAT, contacted MAJ Davis @ 334.273.3547 after several attempts to other numbers provided by SGT Vice.  He is to advise.  At 1114 hours, MAJ Davis advises TAG-AL requests a 48 hour hold before approving the EMAC request.</t>
  </si>
  <si>
    <r>
      <t xml:space="preserve">(Area) </t>
    </r>
    <r>
      <rPr>
        <sz val="10"/>
        <rFont val="Arial"/>
        <family val="2"/>
      </rPr>
      <t xml:space="preserve">establishes a Base Support Installation (BSI) at </t>
    </r>
    <r>
      <rPr>
        <sz val="10"/>
        <color indexed="10"/>
        <rFont val="Arial"/>
        <family val="2"/>
      </rPr>
      <t>(Airfield)</t>
    </r>
    <r>
      <rPr>
        <sz val="10"/>
        <rFont val="Arial"/>
        <family val="2"/>
      </rPr>
      <t>.</t>
    </r>
  </si>
  <si>
    <t>ESF 6, 13</t>
  </si>
  <si>
    <t>6, 13</t>
  </si>
  <si>
    <t>Cross-check with shelter sheet.</t>
  </si>
  <si>
    <r>
      <t xml:space="preserve">Security problems at several shelters </t>
    </r>
    <r>
      <rPr>
        <sz val="10"/>
        <color indexed="10"/>
        <rFont val="Arial"/>
        <family val="2"/>
      </rPr>
      <t>(</t>
    </r>
    <r>
      <rPr>
        <sz val="10"/>
        <color indexed="10"/>
        <rFont val="Arial"/>
        <family val="2"/>
      </rPr>
      <t>Schools)</t>
    </r>
    <r>
      <rPr>
        <sz val="10"/>
        <rFont val="Arial"/>
        <family val="2"/>
      </rPr>
      <t xml:space="preserve">.  Evacuees are stealing blankets and food from each other and large fights are breaking out. Request additional security presence. </t>
    </r>
  </si>
  <si>
    <r>
      <t>(Electric Company Name)</t>
    </r>
    <r>
      <rPr>
        <sz val="10"/>
        <rFont val="Arial"/>
        <family val="2"/>
      </rPr>
      <t xml:space="preserve"> reports city transmission lines in </t>
    </r>
    <r>
      <rPr>
        <sz val="10"/>
        <color indexed="10"/>
        <rFont val="Arial"/>
        <family val="2"/>
      </rPr>
      <t>(City)</t>
    </r>
    <r>
      <rPr>
        <sz val="10"/>
        <rFont val="Arial"/>
        <family val="2"/>
      </rPr>
      <t xml:space="preserve"> have sustained damage to several lines, but at least one line section may be functional within a week to service the city area up to </t>
    </r>
    <r>
      <rPr>
        <sz val="10"/>
        <color indexed="10"/>
        <rFont val="Arial"/>
        <family val="2"/>
      </rPr>
      <t>(Shopping Center).</t>
    </r>
    <r>
      <rPr>
        <sz val="10"/>
        <rFont val="Arial"/>
        <family val="2"/>
      </rPr>
      <t xml:space="preserve">  The subtransmission system has sustained substantial damage to many pole lines, but temporary repairs can be made in some areas.  Estimated repair time: Several days to </t>
    </r>
    <r>
      <rPr>
        <sz val="10"/>
        <color indexed="10"/>
        <rFont val="Arial"/>
        <family val="2"/>
      </rPr>
      <t>(#)</t>
    </r>
    <r>
      <rPr>
        <sz val="10"/>
        <rFont val="Arial"/>
        <family val="2"/>
      </rPr>
      <t xml:space="preserve"> to </t>
    </r>
    <r>
      <rPr>
        <sz val="10"/>
        <color indexed="10"/>
        <rFont val="Arial"/>
        <family val="2"/>
      </rPr>
      <t>(#)</t>
    </r>
    <r>
      <rPr>
        <sz val="10"/>
        <rFont val="Arial"/>
        <family val="2"/>
      </rPr>
      <t xml:space="preserve"> weeks, depending on the area and severity of damage.  Distribution system has sustained substantial damage to many pole lines, but areas with underground facilities have minimal damage.  Most residences are without power throughout the </t>
    </r>
    <r>
      <rPr>
        <sz val="10"/>
        <color indexed="10"/>
        <rFont val="Arial"/>
        <family val="2"/>
      </rPr>
      <t>(Location)</t>
    </r>
    <r>
      <rPr>
        <sz val="10"/>
        <rFont val="Arial"/>
        <family val="2"/>
      </rPr>
      <t>.</t>
    </r>
  </si>
  <si>
    <r>
      <t xml:space="preserve">SimCell </t>
    </r>
    <r>
      <rPr>
        <sz val="10"/>
        <color indexed="10"/>
        <rFont val="Arial"/>
        <family val="2"/>
      </rPr>
      <t>(C</t>
    </r>
    <r>
      <rPr>
        <sz val="10"/>
        <color indexed="10"/>
        <rFont val="Arial"/>
        <family val="2"/>
      </rPr>
      <t>ity/County)</t>
    </r>
  </si>
  <si>
    <t>List location.</t>
  </si>
  <si>
    <r>
      <t xml:space="preserve">There are reports of a high rise fire in </t>
    </r>
    <r>
      <rPr>
        <sz val="10"/>
        <color indexed="10"/>
        <rFont val="Arial"/>
        <family val="2"/>
      </rPr>
      <t>(Location)</t>
    </r>
    <r>
      <rPr>
        <sz val="10"/>
        <rFont val="Arial"/>
        <family val="2"/>
      </rPr>
      <t>,</t>
    </r>
    <r>
      <rPr>
        <sz val="10"/>
        <color indexed="10"/>
        <rFont val="Arial"/>
        <family val="2"/>
      </rPr>
      <t xml:space="preserve"> </t>
    </r>
    <r>
      <rPr>
        <sz val="10"/>
        <rFont val="Arial"/>
        <family val="2"/>
      </rPr>
      <t>and there is no water at the hydrant. Are there any Federal resources available to contain this fire?</t>
    </r>
  </si>
  <si>
    <r>
      <t>GSA (</t>
    </r>
    <r>
      <rPr>
        <sz val="10"/>
        <color indexed="10"/>
        <rFont val="Arial"/>
        <family val="2"/>
      </rPr>
      <t>General Services Administration)</t>
    </r>
  </si>
  <si>
    <r>
      <t>(General Service Administration)</t>
    </r>
    <r>
      <rPr>
        <sz val="10"/>
        <rFont val="Arial"/>
        <family val="2"/>
      </rPr>
      <t xml:space="preserve"> Inject.  This is to supplement ESF 3 mission. Logistics will provide locations for distribution.</t>
    </r>
  </si>
  <si>
    <r>
      <t xml:space="preserve">Task </t>
    </r>
    <r>
      <rPr>
        <sz val="10"/>
        <color indexed="10"/>
        <rFont val="Arial"/>
        <family val="2"/>
      </rPr>
      <t>(General Services Administration [GSA])</t>
    </r>
    <r>
      <rPr>
        <sz val="10"/>
        <rFont val="Arial"/>
        <family val="2"/>
      </rPr>
      <t xml:space="preserve"> to provide bottled water in small containers of approximately </t>
    </r>
    <r>
      <rPr>
        <sz val="10"/>
        <color indexed="10"/>
        <rFont val="Arial"/>
        <family val="2"/>
      </rPr>
      <t>(#)</t>
    </r>
    <r>
      <rPr>
        <sz val="10"/>
        <rFont val="Arial"/>
        <family val="2"/>
      </rPr>
      <t xml:space="preserve"> liter each. Estimated quantities of</t>
    </r>
    <r>
      <rPr>
        <sz val="10"/>
        <color indexed="10"/>
        <rFont val="Arial"/>
        <family val="2"/>
      </rPr>
      <t xml:space="preserve"> (#)</t>
    </r>
    <r>
      <rPr>
        <sz val="10"/>
        <rFont val="Arial"/>
        <family val="2"/>
      </rPr>
      <t xml:space="preserve"> liters per day for a period of</t>
    </r>
    <r>
      <rPr>
        <sz val="10"/>
        <color indexed="10"/>
        <rFont val="Arial"/>
        <family val="2"/>
      </rPr>
      <t xml:space="preserve"> (#) </t>
    </r>
    <r>
      <rPr>
        <sz val="10"/>
        <rFont val="Arial"/>
        <family val="2"/>
      </rPr>
      <t>days.  Have these been tasked to you yet?</t>
    </r>
  </si>
  <si>
    <r>
      <t>ESF 19 will coordinate with</t>
    </r>
    <r>
      <rPr>
        <sz val="10"/>
        <color indexed="10"/>
        <rFont val="Arial"/>
        <family val="2"/>
      </rPr>
      <t xml:space="preserve"> (State Emergency Management Agency) </t>
    </r>
    <r>
      <rPr>
        <sz val="10"/>
        <rFont val="Arial"/>
        <family val="2"/>
      </rPr>
      <t>to provide requested resources.</t>
    </r>
  </si>
  <si>
    <r>
      <t xml:space="preserve">Task </t>
    </r>
    <r>
      <rPr>
        <sz val="10"/>
        <color indexed="10"/>
        <rFont val="Arial"/>
        <family val="2"/>
      </rPr>
      <t>(General Services Administration [GSA])</t>
    </r>
    <r>
      <rPr>
        <sz val="10"/>
        <rFont val="Arial"/>
        <family val="2"/>
      </rPr>
      <t xml:space="preserve"> and DoD to locate potential Federal Operations Staging Areas (</t>
    </r>
    <r>
      <rPr>
        <sz val="10"/>
        <color indexed="10"/>
        <rFont val="Arial"/>
        <family val="2"/>
      </rPr>
      <t>[</t>
    </r>
    <r>
      <rPr>
        <sz val="10"/>
        <color indexed="10"/>
        <rFont val="Arial"/>
        <family val="2"/>
      </rPr>
      <t>#]</t>
    </r>
    <r>
      <rPr>
        <sz val="10"/>
        <rFont val="Arial"/>
        <family val="2"/>
      </rPr>
      <t xml:space="preserve"> acres of land plus </t>
    </r>
    <r>
      <rPr>
        <sz val="10"/>
        <color indexed="10"/>
        <rFont val="Arial"/>
        <family val="2"/>
      </rPr>
      <t>[</t>
    </r>
    <r>
      <rPr>
        <sz val="10"/>
        <color indexed="10"/>
        <rFont val="Arial"/>
        <family val="2"/>
      </rPr>
      <t>#]</t>
    </r>
    <r>
      <rPr>
        <sz val="10"/>
        <rFont val="Arial"/>
        <family val="2"/>
      </rPr>
      <t xml:space="preserve"> square feet of warehouse buildings) on the West Coast and </t>
    </r>
    <r>
      <rPr>
        <sz val="10"/>
        <color indexed="10"/>
        <rFont val="Arial"/>
        <family val="2"/>
      </rPr>
      <t>(State)</t>
    </r>
    <r>
      <rPr>
        <sz val="10"/>
        <rFont val="Arial"/>
        <family val="2"/>
      </rPr>
      <t xml:space="preserve">. Lease term of six months firm with month-to-month options up to a total of </t>
    </r>
    <r>
      <rPr>
        <sz val="10"/>
        <color indexed="10"/>
        <rFont val="Arial"/>
        <family val="2"/>
      </rPr>
      <t>(#)</t>
    </r>
    <r>
      <rPr>
        <sz val="10"/>
        <rFont val="Arial"/>
        <family val="2"/>
      </rPr>
      <t xml:space="preserve"> months.</t>
    </r>
  </si>
  <si>
    <r>
      <t xml:space="preserve">ESF </t>
    </r>
    <r>
      <rPr>
        <sz val="10"/>
        <color indexed="10"/>
        <rFont val="Arial"/>
        <family val="2"/>
      </rPr>
      <t>(#)</t>
    </r>
  </si>
  <si>
    <r>
      <t xml:space="preserve">(City/County/State Emergency Management Agency) </t>
    </r>
    <r>
      <rPr>
        <sz val="10"/>
        <rFont val="Arial"/>
        <family val="2"/>
      </rPr>
      <t>expects casualty numbers to rise. They estimate the window of survivability of those trapped in debris is</t>
    </r>
    <r>
      <rPr>
        <sz val="10"/>
        <color indexed="10"/>
        <rFont val="Arial"/>
        <family val="2"/>
      </rPr>
      <t xml:space="preserve"> (#)</t>
    </r>
    <r>
      <rPr>
        <sz val="10"/>
        <rFont val="Arial"/>
        <family val="2"/>
      </rPr>
      <t xml:space="preserve"> hours. In addition, the leeward coast reports dozens of bodies washing up on shore and interred remains at cemeteries washed from graves. Exact number not known, but it appears to be several hundred. Request deployment of cadaver dogs, DMORTs and identification of hasty mortuary sites.</t>
    </r>
  </si>
  <si>
    <r>
      <t>SimCell</t>
    </r>
    <r>
      <rPr>
        <sz val="10"/>
        <color indexed="10"/>
        <rFont val="Arial"/>
        <family val="2"/>
      </rPr>
      <t xml:space="preserve"> (</t>
    </r>
    <r>
      <rPr>
        <sz val="10"/>
        <color indexed="10"/>
        <rFont val="Arial"/>
        <family val="2"/>
      </rPr>
      <t>County)</t>
    </r>
  </si>
  <si>
    <t>ESF 2 will coordinate with Department of Accounting and General Services to provide the requested support.</t>
  </si>
  <si>
    <r>
      <t xml:space="preserve">This is </t>
    </r>
    <r>
      <rPr>
        <sz val="10"/>
        <color indexed="10"/>
        <rFont val="Arial"/>
        <family val="2"/>
      </rPr>
      <t>(Name)</t>
    </r>
    <r>
      <rPr>
        <sz val="10"/>
        <rFont val="Arial"/>
        <family val="2"/>
      </rPr>
      <t xml:space="preserve"> from</t>
    </r>
    <r>
      <rPr>
        <sz val="10"/>
        <color indexed="10"/>
        <rFont val="Arial"/>
        <family val="2"/>
      </rPr>
      <t xml:space="preserve"> (City/County/State Emergency Management Agency)</t>
    </r>
    <r>
      <rPr>
        <sz val="10"/>
        <rFont val="Arial"/>
        <family val="2"/>
      </rPr>
      <t xml:space="preserve">.  We need assistance with repairs to an undersea cable at </t>
    </r>
    <r>
      <rPr>
        <sz val="10"/>
        <color indexed="10"/>
        <rFont val="Arial"/>
        <family val="2"/>
      </rPr>
      <t>(Beach Name)</t>
    </r>
    <r>
      <rPr>
        <sz val="10"/>
        <rFont val="Arial"/>
        <family val="2"/>
      </rPr>
      <t xml:space="preserve"> Beach reported to be badly damaged that could affect emergency communications severely.  </t>
    </r>
  </si>
  <si>
    <r>
      <t xml:space="preserve">SimCell </t>
    </r>
    <r>
      <rPr>
        <sz val="10"/>
        <color indexed="10"/>
        <rFont val="Arial"/>
        <family val="2"/>
      </rPr>
      <t>(Hospitals)</t>
    </r>
  </si>
  <si>
    <r>
      <t xml:space="preserve">Hospital Update:  After </t>
    </r>
    <r>
      <rPr>
        <sz val="10"/>
        <color indexed="10"/>
        <rFont val="Arial"/>
        <family val="2"/>
      </rPr>
      <t>(#)</t>
    </r>
    <r>
      <rPr>
        <sz val="10"/>
        <rFont val="Arial"/>
        <family val="2"/>
      </rPr>
      <t xml:space="preserve"> hours, hospitals report in that only 800mHz radios and a few satellite phones are operational.</t>
    </r>
    <r>
      <rPr>
        <sz val="10"/>
        <color indexed="10"/>
        <rFont val="Arial"/>
        <family val="2"/>
      </rPr>
      <t xml:space="preserve"> (#) </t>
    </r>
    <r>
      <rPr>
        <sz val="10"/>
        <rFont val="Arial"/>
        <family val="2"/>
      </rPr>
      <t xml:space="preserve">other forms of communication are down. Several hospitals are able to triage and treat victims to a limited degree. </t>
    </r>
    <r>
      <rPr>
        <sz val="10"/>
        <color indexed="10"/>
        <rFont val="Arial"/>
        <family val="2"/>
      </rPr>
      <t xml:space="preserve">(#) </t>
    </r>
    <r>
      <rPr>
        <sz val="10"/>
        <rFont val="Arial"/>
        <family val="2"/>
      </rPr>
      <t xml:space="preserve">hospitals held some staff in place. Hospitals are just identifying capabilities and have staff that were held over but will need restaffing in </t>
    </r>
    <r>
      <rPr>
        <sz val="10"/>
        <color indexed="10"/>
        <rFont val="Arial"/>
        <family val="2"/>
      </rPr>
      <t>(#)</t>
    </r>
    <r>
      <rPr>
        <sz val="10"/>
        <rFont val="Arial"/>
        <family val="2"/>
      </rPr>
      <t xml:space="preserve">  hours.</t>
    </r>
  </si>
  <si>
    <r>
      <t xml:space="preserve">If this does not happen by </t>
    </r>
    <r>
      <rPr>
        <sz val="10"/>
        <color indexed="10"/>
        <rFont val="Arial"/>
        <family val="2"/>
      </rPr>
      <t xml:space="preserve">(Time) </t>
    </r>
    <r>
      <rPr>
        <sz val="10"/>
        <rFont val="Arial"/>
        <family val="2"/>
      </rPr>
      <t xml:space="preserve">need to inject a contingency from counties to initiate the call.  Also need to make sure at the end of this call they have established a call schedule with two calls per day. </t>
    </r>
  </si>
  <si>
    <r>
      <t xml:space="preserve">(State) </t>
    </r>
    <r>
      <rPr>
        <sz val="10"/>
        <rFont val="Arial"/>
        <family val="2"/>
      </rPr>
      <t>initiates a call with the counties.</t>
    </r>
  </si>
  <si>
    <r>
      <t>DoD Inject 73:  See</t>
    </r>
    <r>
      <rPr>
        <sz val="10"/>
        <color indexed="10"/>
        <rFont val="Arial"/>
        <family val="2"/>
      </rPr>
      <t xml:space="preserve"> (Name)</t>
    </r>
    <r>
      <rPr>
        <sz val="10"/>
        <rFont val="Arial"/>
        <family val="2"/>
      </rPr>
      <t xml:space="preserve"> for details and additional information.</t>
    </r>
  </si>
  <si>
    <r>
      <t xml:space="preserve">(Location) </t>
    </r>
    <r>
      <rPr>
        <sz val="10"/>
        <rFont val="Arial"/>
        <family val="2"/>
      </rPr>
      <t xml:space="preserve">microwave dish is out of alignment and unable to communicate over State's radio network to the east of </t>
    </r>
    <r>
      <rPr>
        <sz val="10"/>
        <color indexed="10"/>
        <rFont val="Arial"/>
        <family val="2"/>
      </rPr>
      <t>(Location)</t>
    </r>
    <r>
      <rPr>
        <sz val="10"/>
        <rFont val="Arial"/>
        <family val="2"/>
      </rPr>
      <t xml:space="preserve">.   Need debris cleared on road to </t>
    </r>
    <r>
      <rPr>
        <sz val="10"/>
        <color indexed="10"/>
        <rFont val="Arial"/>
        <family val="2"/>
      </rPr>
      <t>(Location)</t>
    </r>
    <r>
      <rPr>
        <sz val="10"/>
        <rFont val="Arial"/>
        <family val="2"/>
      </rPr>
      <t xml:space="preserve"> and access to restore microwave hub.  Additionally, even with generator power,</t>
    </r>
    <r>
      <rPr>
        <sz val="10"/>
        <color indexed="10"/>
        <rFont val="Arial"/>
        <family val="2"/>
      </rPr>
      <t xml:space="preserve"> (State Coordinating Officer) </t>
    </r>
    <r>
      <rPr>
        <sz val="10"/>
        <rFont val="Arial"/>
        <family val="2"/>
      </rPr>
      <t>is still unable to access television or wired Internet. Unable to validate messages to the public or access information sites.</t>
    </r>
  </si>
  <si>
    <t>ESF 4</t>
  </si>
  <si>
    <r>
      <t>(City/County/State Emergency Management Agency)</t>
    </r>
    <r>
      <rPr>
        <sz val="10"/>
        <rFont val="Arial"/>
        <family val="2"/>
      </rPr>
      <t xml:space="preserve"> reports approximately </t>
    </r>
    <r>
      <rPr>
        <sz val="10"/>
        <color indexed="10"/>
        <rFont val="Arial"/>
        <family val="2"/>
      </rPr>
      <t xml:space="preserve">(#) </t>
    </r>
    <r>
      <rPr>
        <sz val="10"/>
        <rFont val="Arial"/>
        <family val="2"/>
      </rPr>
      <t xml:space="preserve">percent of heavy equipment has been damaged in the storm and is unusable across the </t>
    </r>
    <r>
      <rPr>
        <sz val="10"/>
        <color indexed="10"/>
        <rFont val="Arial"/>
        <family val="2"/>
      </rPr>
      <t>(Location)</t>
    </r>
    <r>
      <rPr>
        <sz val="10"/>
        <rFont val="Arial"/>
        <family val="2"/>
      </rPr>
      <t>. Alternative vehicles are needed for victim transport, firefighting, and other functions.</t>
    </r>
  </si>
  <si>
    <r>
      <t xml:space="preserve">Fire Stations </t>
    </r>
    <r>
      <rPr>
        <sz val="10"/>
        <color indexed="10"/>
        <rFont val="Arial"/>
        <family val="2"/>
      </rPr>
      <t xml:space="preserve">(#s) </t>
    </r>
    <r>
      <rPr>
        <sz val="10"/>
        <rFont val="Arial"/>
        <family val="2"/>
      </rPr>
      <t>buildings damaged due to water and wind. Details in perdisrep and truth binder.</t>
    </r>
  </si>
  <si>
    <r>
      <t xml:space="preserve">Fire station status: Stations </t>
    </r>
    <r>
      <rPr>
        <sz val="10"/>
        <color indexed="10"/>
        <rFont val="Arial"/>
        <family val="2"/>
      </rPr>
      <t xml:space="preserve">(#s) </t>
    </r>
    <r>
      <rPr>
        <sz val="10"/>
        <rFont val="Arial"/>
        <family val="2"/>
      </rPr>
      <t>had equipment moved prior to impact, but stations are not functional. (List attached).</t>
    </r>
  </si>
  <si>
    <r>
      <t xml:space="preserve">Fuel task force assigned responsibility. Potential tasks for </t>
    </r>
    <r>
      <rPr>
        <sz val="10"/>
        <color indexed="10"/>
        <rFont val="Arial"/>
        <family val="2"/>
      </rPr>
      <t xml:space="preserve">(Defense Logistics Agency) </t>
    </r>
    <r>
      <rPr>
        <sz val="10"/>
        <rFont val="Arial"/>
        <family val="2"/>
      </rPr>
      <t>and GSA.</t>
    </r>
  </si>
  <si>
    <r>
      <t xml:space="preserve">Limited supplies of generator fuel at </t>
    </r>
    <r>
      <rPr>
        <sz val="10"/>
        <color indexed="10"/>
        <rFont val="Arial"/>
        <family val="2"/>
      </rPr>
      <t>(#)</t>
    </r>
    <r>
      <rPr>
        <sz val="10"/>
        <rFont val="Arial"/>
        <family val="2"/>
      </rPr>
      <t xml:space="preserve"> air fields. Provide an update on when to expect generator fuel resupply. Neighbor </t>
    </r>
    <r>
      <rPr>
        <sz val="10"/>
        <color indexed="10"/>
        <rFont val="Arial"/>
        <family val="2"/>
      </rPr>
      <t>(Locations)</t>
    </r>
    <r>
      <rPr>
        <sz val="10"/>
        <rFont val="Arial"/>
        <family val="2"/>
      </rPr>
      <t xml:space="preserve"> affected with no fuel/oil.</t>
    </r>
    <r>
      <rPr>
        <sz val="10"/>
        <color indexed="10"/>
        <rFont val="Arial"/>
        <family val="2"/>
      </rPr>
      <t xml:space="preserve"> (County) </t>
    </r>
    <r>
      <rPr>
        <sz val="10"/>
        <rFont val="Arial"/>
        <family val="2"/>
      </rPr>
      <t xml:space="preserve">requests additional aviation fuel to resupply airport in support of air frames prestaged in </t>
    </r>
    <r>
      <rPr>
        <sz val="10"/>
        <color indexed="10"/>
        <rFont val="Arial"/>
        <family val="2"/>
      </rPr>
      <t>(City)</t>
    </r>
    <r>
      <rPr>
        <sz val="10"/>
        <rFont val="Arial"/>
        <family val="2"/>
      </rPr>
      <t xml:space="preserve"> airports prior to landfall. </t>
    </r>
  </si>
  <si>
    <r>
      <t xml:space="preserve">SimCell </t>
    </r>
    <r>
      <rPr>
        <sz val="10"/>
        <color indexed="10"/>
        <rFont val="Arial"/>
        <family val="2"/>
      </rPr>
      <t>(City and County)</t>
    </r>
  </si>
  <si>
    <t>We have had reports that many shelters are overcrowded and some evacuees have to be turned away. We can't seem to get a message out on where they should go or how they should get there. Many are trying to go back to their homes, and it may not be safe for them.</t>
  </si>
  <si>
    <r>
      <t>(Bridge)</t>
    </r>
    <r>
      <rPr>
        <sz val="10"/>
        <rFont val="Arial"/>
        <family val="2"/>
      </rPr>
      <t xml:space="preserve"> is closed pending inspection. There is visual damage (cracks in surface) and foundation compromise.</t>
    </r>
  </si>
  <si>
    <r>
      <t>Oil pipelines at</t>
    </r>
    <r>
      <rPr>
        <sz val="10"/>
        <color indexed="10"/>
        <rFont val="Arial"/>
        <family val="2"/>
      </rPr>
      <t xml:space="preserve"> (Location)</t>
    </r>
    <r>
      <rPr>
        <sz val="10"/>
        <rFont val="Arial"/>
        <family val="2"/>
      </rPr>
      <t xml:space="preserve"> are damaged.  Spills are minimal, but there is no access to any fuel stored on </t>
    </r>
    <r>
      <rPr>
        <sz val="10"/>
        <color indexed="10"/>
        <rFont val="Arial"/>
        <family val="2"/>
      </rPr>
      <t>(</t>
    </r>
    <r>
      <rPr>
        <sz val="10"/>
        <color indexed="10"/>
        <rFont val="Arial"/>
        <family val="2"/>
      </rPr>
      <t>Location)</t>
    </r>
    <r>
      <rPr>
        <sz val="10"/>
        <rFont val="Arial"/>
        <family val="2"/>
      </rPr>
      <t xml:space="preserve">. </t>
    </r>
  </si>
  <si>
    <r>
      <t>DoD Inject 54:  See</t>
    </r>
    <r>
      <rPr>
        <sz val="10"/>
        <color indexed="49"/>
        <rFont val="Arial"/>
        <family val="2"/>
      </rPr>
      <t xml:space="preserve"> </t>
    </r>
    <r>
      <rPr>
        <sz val="10"/>
        <color indexed="10"/>
        <rFont val="Arial"/>
        <family val="2"/>
      </rPr>
      <t xml:space="preserve">(Name) </t>
    </r>
    <r>
      <rPr>
        <sz val="10"/>
        <rFont val="Arial"/>
        <family val="2"/>
      </rPr>
      <t>for details and additional information.</t>
    </r>
  </si>
  <si>
    <r>
      <t xml:space="preserve">Locals request emergency salvage operations for a grounded ship blocking the  </t>
    </r>
    <r>
      <rPr>
        <sz val="10"/>
        <color indexed="10"/>
        <rFont val="Arial"/>
        <family val="2"/>
      </rPr>
      <t>(Port) (City)</t>
    </r>
    <r>
      <rPr>
        <sz val="10"/>
        <rFont val="Arial"/>
        <family val="2"/>
      </rPr>
      <t>.</t>
    </r>
  </si>
  <si>
    <t>1, 3</t>
  </si>
  <si>
    <r>
      <t xml:space="preserve">DoD Inject 55:  See </t>
    </r>
    <r>
      <rPr>
        <sz val="10"/>
        <color indexed="10"/>
        <rFont val="Arial"/>
        <family val="2"/>
      </rPr>
      <t>(Name)</t>
    </r>
    <r>
      <rPr>
        <sz val="10"/>
        <rFont val="Arial"/>
        <family val="2"/>
      </rPr>
      <t xml:space="preserve"> for details and additional information.</t>
    </r>
  </si>
  <si>
    <t>Locals request support for debris clearance on impassable highways.</t>
  </si>
  <si>
    <r>
      <t xml:space="preserve">DoD Inject 56:  See </t>
    </r>
    <r>
      <rPr>
        <sz val="10"/>
        <color indexed="10"/>
        <rFont val="Arial"/>
        <family val="2"/>
      </rPr>
      <t>(</t>
    </r>
    <r>
      <rPr>
        <sz val="10"/>
        <color indexed="10"/>
        <rFont val="Arial"/>
        <family val="2"/>
      </rPr>
      <t>Name)</t>
    </r>
    <r>
      <rPr>
        <sz val="10"/>
        <rFont val="Arial"/>
        <family val="2"/>
      </rPr>
      <t xml:space="preserve"> for details and additional information.</t>
    </r>
  </si>
  <si>
    <r>
      <t xml:space="preserve">Request for a medical aid station to deploy to </t>
    </r>
    <r>
      <rPr>
        <sz val="10"/>
        <color indexed="10"/>
        <rFont val="Arial"/>
        <family val="2"/>
      </rPr>
      <t>(Location)</t>
    </r>
    <r>
      <rPr>
        <sz val="10"/>
        <rFont val="Arial"/>
        <family val="2"/>
      </rPr>
      <t>. Request support to provide immediate care and first aid to windward residents for at least</t>
    </r>
    <r>
      <rPr>
        <sz val="10"/>
        <color indexed="10"/>
        <rFont val="Arial"/>
        <family val="2"/>
      </rPr>
      <t xml:space="preserve"> (#)</t>
    </r>
    <r>
      <rPr>
        <sz val="10"/>
        <rFont val="Arial"/>
        <family val="2"/>
      </rPr>
      <t xml:space="preserve"> month.</t>
    </r>
  </si>
  <si>
    <r>
      <t>Conference with</t>
    </r>
    <r>
      <rPr>
        <sz val="10"/>
        <color indexed="10"/>
        <rFont val="Arial"/>
        <family val="2"/>
      </rPr>
      <t xml:space="preserve"> (City/County/State Emergency Management Agencies)</t>
    </r>
    <r>
      <rPr>
        <sz val="10"/>
        <rFont val="Arial"/>
        <family val="2"/>
      </rPr>
      <t xml:space="preserve">. </t>
    </r>
  </si>
  <si>
    <t>Details on damage for each location found in fax to be injected later and in truth binder.</t>
  </si>
  <si>
    <r>
      <t xml:space="preserve">Hospital Update: Additional reports from hospitals on the </t>
    </r>
    <r>
      <rPr>
        <sz val="10"/>
        <color indexed="10"/>
        <rFont val="Arial"/>
        <family val="2"/>
      </rPr>
      <t>(Locations)</t>
    </r>
    <r>
      <rPr>
        <sz val="10"/>
        <rFont val="Arial"/>
        <family val="2"/>
      </rPr>
      <t xml:space="preserve"> have been received. The following locations have provided reports of damage to their facilities: </t>
    </r>
    <r>
      <rPr>
        <sz val="10"/>
        <color indexed="10"/>
        <rFont val="Arial"/>
        <family val="2"/>
      </rPr>
      <t>(Names of Locations)</t>
    </r>
    <r>
      <rPr>
        <sz val="10"/>
        <rFont val="Arial"/>
        <family val="2"/>
      </rPr>
      <t xml:space="preserve">. </t>
    </r>
  </si>
  <si>
    <r>
      <t>(Unified Command Group [UCG])</t>
    </r>
    <r>
      <rPr>
        <sz val="10"/>
        <rFont val="Arial"/>
        <family val="2"/>
      </rPr>
      <t xml:space="preserve"> requests plan for the postlandfall evacuation of tourists brief: the location of assembly areas, movement to ports of embarkation, and throughput estimates for the next</t>
    </r>
    <r>
      <rPr>
        <sz val="10"/>
        <color indexed="10"/>
        <rFont val="Arial"/>
        <family val="2"/>
      </rPr>
      <t xml:space="preserve"> (#) </t>
    </r>
    <r>
      <rPr>
        <sz val="10"/>
        <rFont val="Arial"/>
        <family val="2"/>
      </rPr>
      <t>days. Include list of damaged hotels that are closed. Plans to schedule briefing.</t>
    </r>
  </si>
  <si>
    <t>Provide information or a time when it will be provided.</t>
  </si>
  <si>
    <r>
      <t xml:space="preserve">This is </t>
    </r>
    <r>
      <rPr>
        <sz val="10"/>
        <color indexed="10"/>
        <rFont val="Arial"/>
        <family val="2"/>
      </rPr>
      <t>(Name)</t>
    </r>
    <r>
      <rPr>
        <sz val="10"/>
        <rFont val="Arial"/>
        <family val="2"/>
      </rPr>
      <t xml:space="preserve">, the executive assistant to the Lieutenant Governor.  Governor </t>
    </r>
    <r>
      <rPr>
        <sz val="10"/>
        <color indexed="10"/>
        <rFont val="Arial"/>
        <family val="2"/>
      </rPr>
      <t xml:space="preserve">(Name) </t>
    </r>
    <r>
      <rPr>
        <sz val="10"/>
        <rFont val="Arial"/>
        <family val="2"/>
      </rPr>
      <t xml:space="preserve">would like to know the current steps being taken to mitigate and ensure the safety of the tourists in the </t>
    </r>
    <r>
      <rPr>
        <sz val="10"/>
        <color indexed="10"/>
        <rFont val="Arial"/>
        <family val="2"/>
      </rPr>
      <t>(Locations)</t>
    </r>
    <r>
      <rPr>
        <sz val="10"/>
        <rFont val="Arial"/>
        <family val="2"/>
      </rPr>
      <t>.</t>
    </r>
  </si>
  <si>
    <r>
      <t xml:space="preserve">Certain </t>
    </r>
    <r>
      <rPr>
        <sz val="10"/>
        <color indexed="10"/>
        <rFont val="Arial"/>
        <family val="2"/>
      </rPr>
      <t>(Points of Distribution [POD])</t>
    </r>
    <r>
      <rPr>
        <sz val="10"/>
        <rFont val="Arial"/>
        <family val="2"/>
      </rPr>
      <t xml:space="preserve"> sites (list) still can not be accessed due to debris blocking roadways. The movement of police vehicles is difficult because of downed trees, power lines, etc. Need debris clearance team to support first responders.</t>
    </r>
  </si>
  <si>
    <r>
      <t xml:space="preserve">(City) </t>
    </r>
    <r>
      <rPr>
        <sz val="10"/>
        <rFont val="Arial"/>
        <family val="2"/>
      </rPr>
      <t xml:space="preserve">Harbor is generally clear from the approaches to: </t>
    </r>
    <r>
      <rPr>
        <sz val="10"/>
        <color indexed="10"/>
        <rFont val="Arial"/>
        <family val="2"/>
      </rPr>
      <t>(Points)</t>
    </r>
    <r>
      <rPr>
        <sz val="10"/>
        <rFont val="Arial"/>
        <family val="2"/>
      </rPr>
      <t>.  Depths are clear to charted depths. At the eastern end of</t>
    </r>
    <r>
      <rPr>
        <sz val="10"/>
        <color indexed="10"/>
        <rFont val="Arial"/>
        <family val="2"/>
      </rPr>
      <t xml:space="preserve"> (Point), </t>
    </r>
    <r>
      <rPr>
        <sz val="10"/>
        <rFont val="Arial"/>
        <family val="2"/>
      </rPr>
      <t xml:space="preserve">there is a sheen in close proximity to a barge that is resting on a partially sunk (drydock). It is unclear if the source of the sheen is the barge, the drydock or something else. </t>
    </r>
  </si>
  <si>
    <r>
      <t>Sunken and floating debris make Pier</t>
    </r>
    <r>
      <rPr>
        <sz val="10"/>
        <color indexed="10"/>
        <rFont val="Arial"/>
        <family val="2"/>
      </rPr>
      <t xml:space="preserve"> (#)</t>
    </r>
    <r>
      <rPr>
        <sz val="10"/>
        <rFont val="Arial"/>
        <family val="2"/>
      </rPr>
      <t xml:space="preserve"> inaccessible, and the piers themselves are covered with debris. </t>
    </r>
    <r>
      <rPr>
        <sz val="10"/>
        <color indexed="10"/>
        <rFont val="Arial"/>
        <family val="2"/>
      </rPr>
      <t>(#) (Location)</t>
    </r>
    <r>
      <rPr>
        <sz val="10"/>
        <rFont val="Arial"/>
        <family val="2"/>
      </rPr>
      <t xml:space="preserve"> Gantry Cranes are damaged and require inspection, repair, and testing. There are oil and HazMat releases in the vicinity of Piers </t>
    </r>
    <r>
      <rPr>
        <sz val="10"/>
        <color indexed="10"/>
        <rFont val="Arial"/>
        <family val="2"/>
      </rPr>
      <t>(#)</t>
    </r>
    <r>
      <rPr>
        <sz val="10"/>
        <rFont val="Arial"/>
        <family val="2"/>
      </rPr>
      <t xml:space="preserve"> and</t>
    </r>
    <r>
      <rPr>
        <sz val="10"/>
        <color indexed="10"/>
        <rFont val="Arial"/>
        <family val="2"/>
      </rPr>
      <t xml:space="preserve"> (#)</t>
    </r>
    <r>
      <rPr>
        <sz val="10"/>
        <rFont val="Arial"/>
        <family val="2"/>
      </rPr>
      <t xml:space="preserve">. The area north of Piers </t>
    </r>
    <r>
      <rPr>
        <sz val="10"/>
        <color indexed="10"/>
        <rFont val="Arial"/>
        <family val="2"/>
      </rPr>
      <t>(#)</t>
    </r>
    <r>
      <rPr>
        <sz val="10"/>
        <rFont val="Arial"/>
        <family val="2"/>
      </rPr>
      <t xml:space="preserve"> and</t>
    </r>
    <r>
      <rPr>
        <sz val="10"/>
        <color indexed="10"/>
        <rFont val="Arial"/>
        <family val="2"/>
      </rPr>
      <t xml:space="preserve"> (#)</t>
    </r>
    <r>
      <rPr>
        <sz val="10"/>
        <rFont val="Arial"/>
        <family val="2"/>
      </rPr>
      <t xml:space="preserve"> is impacted by spilled fuel. Southern portion of </t>
    </r>
    <r>
      <rPr>
        <sz val="10"/>
        <color indexed="10"/>
        <rFont val="Arial"/>
        <family val="2"/>
      </rPr>
      <t>(Location)</t>
    </r>
    <r>
      <rPr>
        <sz val="10"/>
        <rFont val="Arial"/>
        <family val="2"/>
      </rPr>
      <t xml:space="preserve"> is covered by a large pond of wastewater.</t>
    </r>
  </si>
  <si>
    <r>
      <t xml:space="preserve">DoD Inject 46:  See </t>
    </r>
    <r>
      <rPr>
        <sz val="10"/>
        <color indexed="10"/>
        <rFont val="Arial"/>
        <family val="2"/>
      </rPr>
      <t>(Name)</t>
    </r>
    <r>
      <rPr>
        <sz val="10"/>
        <rFont val="Arial"/>
        <family val="2"/>
      </rPr>
      <t xml:space="preserve"> for details and additional information.</t>
    </r>
  </si>
  <si>
    <r>
      <t>Medical personnel are needed to augment medical facilities in several locations across</t>
    </r>
    <r>
      <rPr>
        <sz val="10"/>
        <color indexed="10"/>
        <rFont val="Arial"/>
        <family val="2"/>
      </rPr>
      <t xml:space="preserve"> (Location)</t>
    </r>
    <r>
      <rPr>
        <sz val="10"/>
        <rFont val="Arial"/>
        <family val="2"/>
      </rPr>
      <t>.</t>
    </r>
  </si>
  <si>
    <t>Cross-check.</t>
  </si>
  <si>
    <r>
      <t xml:space="preserve">The following shelters have reportedly been severely damaged. Search and rescue resources are required and transportation to move evacuees is needed. The number of injuries at these locations is unknown. The shelters affected include: </t>
    </r>
    <r>
      <rPr>
        <sz val="10"/>
        <color indexed="10"/>
        <rFont val="Arial"/>
        <family val="2"/>
      </rPr>
      <t>(Names of Shelters)</t>
    </r>
    <r>
      <rPr>
        <sz val="10"/>
        <rFont val="Arial"/>
        <family val="2"/>
      </rPr>
      <t>.</t>
    </r>
  </si>
  <si>
    <r>
      <t>Situation report (SitRep)-type document outlining status of response efforts, shelter status, fire/ems/search and rescue</t>
    </r>
    <r>
      <rPr>
        <b/>
        <sz val="10"/>
        <rFont val="Arial"/>
        <family val="2"/>
      </rPr>
      <t>,</t>
    </r>
    <r>
      <rPr>
        <sz val="10"/>
        <rFont val="Arial"/>
        <family val="2"/>
      </rPr>
      <t xml:space="preserve"> transportation, debris clearance status, health/medical, HazMat, utility updates.</t>
    </r>
  </si>
  <si>
    <r>
      <t xml:space="preserve">County perdisreps </t>
    </r>
    <r>
      <rPr>
        <sz val="10"/>
        <color indexed="10"/>
        <rFont val="Arial"/>
        <family val="2"/>
      </rPr>
      <t xml:space="preserve">(Periodic Situation Reports) </t>
    </r>
    <r>
      <rPr>
        <sz val="10"/>
        <rFont val="Arial"/>
        <family val="2"/>
      </rPr>
      <t>provided.</t>
    </r>
  </si>
  <si>
    <t>ESF12</t>
  </si>
  <si>
    <r>
      <t xml:space="preserve">DoD Inject 51:  See </t>
    </r>
    <r>
      <rPr>
        <sz val="10"/>
        <color indexed="10"/>
        <rFont val="Arial"/>
        <family val="2"/>
      </rPr>
      <t xml:space="preserve">(Name) </t>
    </r>
    <r>
      <rPr>
        <sz val="10"/>
        <rFont val="Arial"/>
        <family val="2"/>
      </rPr>
      <t>for details and additional information.</t>
    </r>
  </si>
  <si>
    <t>Locals are requesting fuel delivery in order to main essential services.</t>
  </si>
  <si>
    <t>ESF 12</t>
  </si>
  <si>
    <r>
      <t xml:space="preserve">DoD Inject 53:  This should be injected during phone call between the locals and JFO.  See </t>
    </r>
    <r>
      <rPr>
        <sz val="10"/>
        <color indexed="10"/>
        <rFont val="Arial"/>
        <family val="2"/>
      </rPr>
      <t>(Name)</t>
    </r>
    <r>
      <rPr>
        <sz val="10"/>
        <rFont val="Arial"/>
        <family val="2"/>
      </rPr>
      <t xml:space="preserve"> for details and additional information.</t>
    </r>
  </si>
  <si>
    <r>
      <t>Due to the power outage on</t>
    </r>
    <r>
      <rPr>
        <sz val="10"/>
        <color indexed="10"/>
        <rFont val="Arial"/>
        <family val="2"/>
      </rPr>
      <t xml:space="preserve"> (Location)</t>
    </r>
    <r>
      <rPr>
        <sz val="10"/>
        <rFont val="Arial"/>
        <family val="2"/>
      </rPr>
      <t>, emergency power is needed to maintain emergency water distribution to shelters and key facilities.</t>
    </r>
  </si>
  <si>
    <r>
      <t xml:space="preserve">Search and Rescue support is needed at the following locations: 
- Tourists sheltered in </t>
    </r>
    <r>
      <rPr>
        <sz val="10"/>
        <color indexed="10"/>
        <rFont val="Arial"/>
        <family val="2"/>
      </rPr>
      <t xml:space="preserve">(Location) (Hotel) </t>
    </r>
    <r>
      <rPr>
        <sz val="10"/>
        <rFont val="Arial"/>
        <family val="2"/>
      </rPr>
      <t>above 3rd floor with partial collapse and debris blocking exits, some trapped in elevator. 
-</t>
    </r>
    <r>
      <rPr>
        <sz val="10"/>
        <color indexed="10"/>
        <rFont val="Arial"/>
        <family val="2"/>
      </rPr>
      <t xml:space="preserve"> (City Fire Department)</t>
    </r>
    <r>
      <rPr>
        <sz val="10"/>
        <rFont val="Arial"/>
        <family val="2"/>
      </rPr>
      <t xml:space="preserve"> requests </t>
    </r>
    <r>
      <rPr>
        <sz val="10"/>
        <color indexed="10"/>
        <rFont val="Arial"/>
        <family val="2"/>
      </rPr>
      <t xml:space="preserve">(#) </t>
    </r>
    <r>
      <rPr>
        <sz val="10"/>
        <rFont val="Arial"/>
        <family val="2"/>
      </rPr>
      <t xml:space="preserve">type I </t>
    </r>
    <r>
      <rPr>
        <sz val="10"/>
        <color indexed="10"/>
        <rFont val="Arial"/>
        <family val="2"/>
      </rPr>
      <t>(Urban Search and Rescu</t>
    </r>
    <r>
      <rPr>
        <sz val="10"/>
        <color indexed="10"/>
        <rFont val="Arial"/>
        <family val="2"/>
      </rPr>
      <t>e [USAR])</t>
    </r>
    <r>
      <rPr>
        <sz val="10"/>
        <rFont val="Arial"/>
        <family val="2"/>
      </rPr>
      <t xml:space="preserve"> teams for operations within </t>
    </r>
    <r>
      <rPr>
        <sz val="10"/>
        <color indexed="10"/>
        <rFont val="Arial"/>
        <family val="2"/>
      </rPr>
      <t>(Location)</t>
    </r>
    <r>
      <rPr>
        <sz val="10"/>
        <rFont val="Arial"/>
        <family val="2"/>
      </rPr>
      <t xml:space="preserve">.
- Update of Group Care for elderly residents in central </t>
    </r>
    <r>
      <rPr>
        <sz val="10"/>
        <color indexed="10"/>
        <rFont val="Arial"/>
        <family val="2"/>
      </rPr>
      <t>(City)</t>
    </r>
    <r>
      <rPr>
        <sz val="10"/>
        <rFont val="Arial"/>
        <family val="2"/>
      </rPr>
      <t xml:space="preserve">: residents tried to shelter in place but home collapsed. Multiple injuries, and potential trapped victims.
- Structure collapse on </t>
    </r>
    <r>
      <rPr>
        <sz val="10"/>
        <color indexed="10"/>
        <rFont val="Arial"/>
        <family val="2"/>
      </rPr>
      <t>(campus)</t>
    </r>
    <r>
      <rPr>
        <sz val="10"/>
        <rFont val="Arial"/>
        <family val="2"/>
      </rPr>
      <t xml:space="preserve">, trapping over a hundred people sheltered there. 
- </t>
    </r>
    <r>
      <rPr>
        <sz val="10"/>
        <color indexed="10"/>
        <rFont val="Arial"/>
        <family val="2"/>
      </rPr>
      <t xml:space="preserve">(Retirement Community) </t>
    </r>
    <r>
      <rPr>
        <sz val="10"/>
        <rFont val="Arial"/>
        <family val="2"/>
      </rPr>
      <t>reports</t>
    </r>
    <r>
      <rPr>
        <sz val="10"/>
        <color indexed="10"/>
        <rFont val="Arial"/>
        <family val="2"/>
      </rPr>
      <t xml:space="preserve"> (#</t>
    </r>
    <r>
      <rPr>
        <sz val="10"/>
        <rFont val="Arial"/>
        <family val="2"/>
      </rPr>
      <t xml:space="preserve">) senior residents are stranded on the upper floors of their facility and are unable to use the elevators (power outage) or stairs. </t>
    </r>
  </si>
  <si>
    <t>Details on damage for each location found in fax to be injected later, and in truth binder.</t>
  </si>
  <si>
    <r>
      <t xml:space="preserve">Hospital Update: We anticipate </t>
    </r>
    <r>
      <rPr>
        <sz val="10"/>
        <color indexed="10"/>
        <rFont val="Arial"/>
        <family val="2"/>
      </rPr>
      <t xml:space="preserve">(#) </t>
    </r>
    <r>
      <rPr>
        <sz val="10"/>
        <rFont val="Arial"/>
        <family val="2"/>
      </rPr>
      <t xml:space="preserve">hospitals were affected by the storm and assume at a minimum </t>
    </r>
    <r>
      <rPr>
        <sz val="10"/>
        <color indexed="10"/>
        <rFont val="Arial"/>
        <family val="2"/>
      </rPr>
      <t>(#)</t>
    </r>
    <r>
      <rPr>
        <sz val="10"/>
        <rFont val="Arial"/>
        <family val="2"/>
      </rPr>
      <t xml:space="preserve"> hospitals lost </t>
    </r>
    <r>
      <rPr>
        <sz val="10"/>
        <color indexed="10"/>
        <rFont val="Arial"/>
        <family val="2"/>
      </rPr>
      <t>(#)</t>
    </r>
    <r>
      <rPr>
        <sz val="10"/>
        <rFont val="Arial"/>
        <family val="2"/>
      </rPr>
      <t xml:space="preserve"> percent of their windows and </t>
    </r>
    <r>
      <rPr>
        <sz val="10"/>
        <color indexed="10"/>
        <rFont val="Arial"/>
        <family val="2"/>
      </rPr>
      <t>(#)</t>
    </r>
    <r>
      <rPr>
        <sz val="10"/>
        <rFont val="Arial"/>
        <family val="2"/>
      </rPr>
      <t xml:space="preserve"> are on generator power. So far we have received damage reports from the following hospitals and urgent care clinics: </t>
    </r>
    <r>
      <rPr>
        <sz val="10"/>
        <color indexed="10"/>
        <rFont val="Arial"/>
        <family val="2"/>
      </rPr>
      <t>(Names of Clinics and Hospitals)</t>
    </r>
    <r>
      <rPr>
        <sz val="10"/>
        <rFont val="Arial"/>
        <family val="2"/>
      </rPr>
      <t xml:space="preserve">. In addition, the following Urgent Care Centers were in the inundation and are closed: the </t>
    </r>
    <r>
      <rPr>
        <sz val="10"/>
        <color indexed="10"/>
        <rFont val="Arial"/>
        <family val="2"/>
      </rPr>
      <t>(Names of Clinics and Hospitals)</t>
    </r>
    <r>
      <rPr>
        <sz val="10"/>
        <rFont val="Arial"/>
        <family val="2"/>
      </rPr>
      <t>.</t>
    </r>
    <r>
      <rPr>
        <sz val="10"/>
        <color indexed="10"/>
        <rFont val="Arial"/>
        <family val="2"/>
      </rPr>
      <t xml:space="preserve"> </t>
    </r>
  </si>
  <si>
    <r>
      <t xml:space="preserve">(City) </t>
    </r>
    <r>
      <rPr>
        <sz val="10"/>
        <rFont val="Arial"/>
        <family val="2"/>
      </rPr>
      <t>International Airport remains closed because of debris on the runways. Anticipate one runway (in conjunction with (</t>
    </r>
    <r>
      <rPr>
        <sz val="10"/>
        <color indexed="10"/>
        <rFont val="Arial"/>
        <family val="2"/>
      </rPr>
      <t xml:space="preserve">AFB) </t>
    </r>
    <r>
      <rPr>
        <sz val="10"/>
        <rFont val="Arial"/>
        <family val="2"/>
      </rPr>
      <t>will be operational under daylight</t>
    </r>
    <r>
      <rPr>
        <sz val="10"/>
        <color indexed="10"/>
        <rFont val="Arial"/>
        <family val="2"/>
      </rPr>
      <t xml:space="preserve"> (Visual Flight Rules</t>
    </r>
    <r>
      <rPr>
        <sz val="10"/>
        <rFont val="Arial"/>
        <family val="2"/>
      </rPr>
      <t xml:space="preserve"> [VFR]</t>
    </r>
    <r>
      <rPr>
        <sz val="10"/>
        <color indexed="10"/>
        <rFont val="Arial"/>
        <family val="2"/>
      </rPr>
      <t>)</t>
    </r>
    <r>
      <rPr>
        <sz val="10"/>
        <rFont val="Arial"/>
        <family val="2"/>
      </rPr>
      <t xml:space="preserve"> by midday </t>
    </r>
    <r>
      <rPr>
        <sz val="10"/>
        <color indexed="10"/>
        <rFont val="Arial"/>
        <family val="2"/>
      </rPr>
      <t>(Month/Day)</t>
    </r>
    <r>
      <rPr>
        <sz val="10"/>
        <rFont val="Arial"/>
        <family val="2"/>
      </rPr>
      <t>.</t>
    </r>
  </si>
  <si>
    <r>
      <t>SimCell</t>
    </r>
    <r>
      <rPr>
        <sz val="10"/>
        <color indexed="10"/>
        <rFont val="Arial"/>
        <family val="2"/>
      </rPr>
      <t xml:space="preserve"> (City and County)</t>
    </r>
  </si>
  <si>
    <r>
      <t xml:space="preserve">(City) </t>
    </r>
    <r>
      <rPr>
        <sz val="10"/>
        <rFont val="Arial"/>
        <family val="2"/>
      </rPr>
      <t>Harbor: Pier</t>
    </r>
    <r>
      <rPr>
        <sz val="10"/>
        <color indexed="10"/>
        <rFont val="Arial"/>
        <family val="2"/>
      </rPr>
      <t xml:space="preserve"> (#)</t>
    </r>
    <r>
      <rPr>
        <sz val="10"/>
        <rFont val="Arial"/>
        <family val="2"/>
      </rPr>
      <t xml:space="preserve"> and </t>
    </r>
    <r>
      <rPr>
        <sz val="10"/>
        <color indexed="10"/>
        <rFont val="Arial"/>
        <family val="2"/>
      </rPr>
      <t>(#)</t>
    </r>
    <r>
      <rPr>
        <sz val="10"/>
        <rFont val="Arial"/>
        <family val="2"/>
      </rPr>
      <t xml:space="preserve"> were inspected and are intact. Depth alongside Piers  </t>
    </r>
    <r>
      <rPr>
        <sz val="10"/>
        <color indexed="10"/>
        <rFont val="Arial"/>
        <family val="2"/>
      </rPr>
      <t>(#)</t>
    </r>
    <r>
      <rPr>
        <sz val="10"/>
        <rFont val="Arial"/>
        <family val="2"/>
      </rPr>
      <t xml:space="preserve"> and </t>
    </r>
    <r>
      <rPr>
        <sz val="10"/>
        <color indexed="10"/>
        <rFont val="Arial"/>
        <family val="2"/>
      </rPr>
      <t>(#)</t>
    </r>
    <r>
      <rPr>
        <sz val="10"/>
        <rFont val="Arial"/>
        <family val="2"/>
      </rPr>
      <t xml:space="preserve"> concurs with charted depth. There are damages to (</t>
    </r>
    <r>
      <rPr>
        <sz val="10"/>
        <color indexed="10"/>
        <rFont val="Arial"/>
        <family val="2"/>
      </rPr>
      <t>#)</t>
    </r>
    <r>
      <rPr>
        <sz val="10"/>
        <rFont val="Arial"/>
        <family val="2"/>
      </rPr>
      <t xml:space="preserve"> pier-side ramp systems and perimeter fencing. A large portable crane used for offloading of cargo has mechanical damage to its arm and is nonfunctional, but could be fixed with </t>
    </r>
    <r>
      <rPr>
        <sz val="10"/>
        <color indexed="10"/>
        <rFont val="Arial"/>
        <family val="2"/>
      </rPr>
      <t xml:space="preserve">(#) </t>
    </r>
    <r>
      <rPr>
        <sz val="10"/>
        <rFont val="Arial"/>
        <family val="2"/>
      </rPr>
      <t>hours of maintenance.</t>
    </r>
  </si>
  <si>
    <t>Plan to issue Public Service Announcement (PSA) on evacuation order and shelter information.</t>
  </si>
  <si>
    <r>
      <t xml:space="preserve">Will be incorporated into the </t>
    </r>
    <r>
      <rPr>
        <sz val="10"/>
        <color indexed="10"/>
        <rFont val="Arial"/>
        <family val="2"/>
      </rPr>
      <t xml:space="preserve">(Incident Action Plan) </t>
    </r>
    <r>
      <rPr>
        <sz val="10"/>
        <rFont val="Arial"/>
        <family val="2"/>
      </rPr>
      <t xml:space="preserve">and associated meeting schedule. </t>
    </r>
  </si>
  <si>
    <r>
      <t xml:space="preserve">(State Coordinating Officer [SCO]) </t>
    </r>
    <r>
      <rPr>
        <sz val="10"/>
        <rFont val="Arial"/>
        <family val="2"/>
      </rPr>
      <t>to</t>
    </r>
    <r>
      <rPr>
        <sz val="10"/>
        <color indexed="10"/>
        <rFont val="Arial"/>
        <family val="2"/>
      </rPr>
      <t xml:space="preserve"> (County Emergency Management Agencies) </t>
    </r>
    <r>
      <rPr>
        <sz val="10"/>
        <rFont val="Arial"/>
        <family val="2"/>
      </rPr>
      <t>for afternoon meeting.</t>
    </r>
  </si>
  <si>
    <t>9:00AM</t>
  </si>
  <si>
    <r>
      <t xml:space="preserve">(Regional Response Coordination Center [RRCC]) </t>
    </r>
    <r>
      <rPr>
        <sz val="10"/>
        <rFont val="Arial"/>
        <family val="2"/>
      </rPr>
      <t>conference initiated by State.</t>
    </r>
  </si>
  <si>
    <t>Scenario read-in, IAP and SitRep received.</t>
  </si>
  <si>
    <r>
      <t xml:space="preserve">Start of Exercise: (Operations Plan [OPLAN]) Phase 2 Operations begin at scenario: Landfall + </t>
    </r>
    <r>
      <rPr>
        <sz val="10"/>
        <color indexed="10"/>
        <rFont val="Arial"/>
        <family val="2"/>
      </rPr>
      <t>(#)</t>
    </r>
    <r>
      <rPr>
        <sz val="10"/>
        <rFont val="Arial"/>
        <family val="2"/>
      </rPr>
      <t xml:space="preserve"> hours.</t>
    </r>
  </si>
  <si>
    <r>
      <t xml:space="preserve">Weather Package #4: </t>
    </r>
    <r>
      <rPr>
        <sz val="10"/>
        <color indexed="10"/>
        <rFont val="Arial"/>
        <family val="2"/>
      </rPr>
      <t>(Month/Year)</t>
    </r>
    <r>
      <rPr>
        <sz val="10"/>
        <rFont val="Arial"/>
        <family val="2"/>
      </rPr>
      <t xml:space="preserve"> AM: warnings dropped (provided at Start of Exercise </t>
    </r>
    <r>
      <rPr>
        <sz val="10"/>
        <color indexed="10"/>
        <rFont val="Arial"/>
        <family val="2"/>
      </rPr>
      <t>(Month/Day)</t>
    </r>
    <r>
      <rPr>
        <sz val="10"/>
        <rFont val="Arial"/>
        <family val="2"/>
      </rPr>
      <t>: summary (actual onset, etc.) and weather package "5 clear").</t>
    </r>
  </si>
  <si>
    <r>
      <t>Weather Product: Weather summary/situation for exercise time period of landfall through</t>
    </r>
    <r>
      <rPr>
        <sz val="10"/>
        <color indexed="10"/>
        <rFont val="Arial"/>
        <family val="2"/>
      </rPr>
      <t xml:space="preserve"> (Month/Day) </t>
    </r>
    <r>
      <rPr>
        <sz val="10"/>
        <rFont val="Arial"/>
        <family val="2"/>
      </rPr>
      <t xml:space="preserve"> (NOT a package: "fill in gaps" product) Note slowing of storm, locational details, etc.  Rest of Exercise weather is "real" (National Weather Service [NWS]) packages.</t>
    </r>
  </si>
  <si>
    <r>
      <t xml:space="preserve"> Activate </t>
    </r>
    <r>
      <rPr>
        <sz val="10"/>
        <color indexed="10"/>
        <rFont val="Arial"/>
        <family val="2"/>
      </rPr>
      <t>(Emergency Management Assistance Compact [ EMAC])</t>
    </r>
    <r>
      <rPr>
        <sz val="10"/>
        <rFont val="Arial"/>
        <family val="2"/>
      </rPr>
      <t xml:space="preserve">and applicable </t>
    </r>
    <r>
      <rPr>
        <sz val="10"/>
        <color indexed="10"/>
        <rFont val="Arial"/>
        <family val="2"/>
      </rPr>
      <t>Memorandums of Understanding [MOU</t>
    </r>
    <r>
      <rPr>
        <sz val="10"/>
        <rFont val="Arial"/>
        <family val="2"/>
      </rPr>
      <t>s]/(</t>
    </r>
    <r>
      <rPr>
        <sz val="10"/>
        <color indexed="10"/>
        <rFont val="Arial"/>
        <family val="2"/>
      </rPr>
      <t>Memorandum of Agreement [MOAs])</t>
    </r>
    <r>
      <rPr>
        <sz val="10"/>
        <rFont val="Arial"/>
        <family val="2"/>
      </rPr>
      <t xml:space="preserve">.
- Coordinate mass care and temporary housing support to an estimated population of </t>
    </r>
    <r>
      <rPr>
        <sz val="10"/>
        <color indexed="10"/>
        <rFont val="Arial"/>
        <family val="2"/>
      </rPr>
      <t>(#)</t>
    </r>
    <r>
      <rPr>
        <sz val="10"/>
        <rFont val="Arial"/>
        <family val="2"/>
      </rPr>
      <t>, including special needs and pets.
- Coordinate evacuation operations (including prioritization).
- Account for, shelter, and initiate evacuations of tourist populations.
- Assess functionality of water distribution systems, and establish emergency water distribution.
- Provide fuel at critical locations, plan for restoration of retail fuel delivery process.
- Clear key transportation routes of debris.
- Coordinate deployment of critical resources.
- Deconflict power restoration priorities.</t>
    </r>
  </si>
  <si>
    <t>ESF 9</t>
  </si>
  <si>
    <r>
      <t>Est. victims = (</t>
    </r>
    <r>
      <rPr>
        <sz val="10"/>
        <color indexed="10"/>
        <rFont val="Arial"/>
        <family val="2"/>
      </rPr>
      <t>#</t>
    </r>
    <r>
      <rPr>
        <sz val="10"/>
        <color indexed="10"/>
        <rFont val="Calibri"/>
        <family val="2"/>
      </rPr>
      <t>–</t>
    </r>
    <r>
      <rPr>
        <sz val="10"/>
        <color indexed="10"/>
        <rFont val="Arial"/>
        <family val="2"/>
      </rPr>
      <t>#)</t>
    </r>
    <r>
      <rPr>
        <sz val="10"/>
        <rFont val="Arial"/>
        <family val="2"/>
      </rPr>
      <t xml:space="preserve"> people </t>
    </r>
  </si>
  <si>
    <r>
      <t xml:space="preserve">Many of the residents in </t>
    </r>
    <r>
      <rPr>
        <sz val="10"/>
        <color indexed="10"/>
        <rFont val="Arial"/>
        <family val="2"/>
      </rPr>
      <t xml:space="preserve">(City) </t>
    </r>
    <r>
      <rPr>
        <sz val="10"/>
        <rFont val="Arial"/>
        <family val="2"/>
      </rPr>
      <t xml:space="preserve">do not have vehicles to get to the opening shelters. We need to provide transportation for these people and alert the public as to pick up times? Can the bus or tour companies help us move people?
We have several people in the </t>
    </r>
    <r>
      <rPr>
        <sz val="10"/>
        <color indexed="10"/>
        <rFont val="Arial"/>
        <family val="2"/>
      </rPr>
      <t>(Location)</t>
    </r>
    <r>
      <rPr>
        <sz val="10"/>
        <rFont val="Arial"/>
        <family val="2"/>
      </rPr>
      <t xml:space="preserve"> areas that need transportation to shelters. Are there any plans to set up mass transit pick up times for people who do not have vehicles? How are we going to let the public know?</t>
    </r>
  </si>
  <si>
    <r>
      <t xml:space="preserve">GSA </t>
    </r>
    <r>
      <rPr>
        <sz val="10"/>
        <color indexed="10"/>
        <rFont val="Arial"/>
        <family val="2"/>
      </rPr>
      <t>(General Services Administration)</t>
    </r>
  </si>
  <si>
    <r>
      <t xml:space="preserve">(General Service Administration) </t>
    </r>
    <r>
      <rPr>
        <sz val="10"/>
        <rFont val="Arial"/>
        <family val="2"/>
      </rPr>
      <t>Inject. Logistics specifies types and quantities.</t>
    </r>
  </si>
  <si>
    <t>Has GSA been tasked to provide fleet vehicles including buses, pickup trucks, 4 X 4s, sport utility vehicles (SUVs) and sedans? We also need material handling equipment to be used to offload equipment at staging areas and PODs. Where should we send them?</t>
  </si>
  <si>
    <t>ESF 10</t>
  </si>
  <si>
    <t xml:space="preserve">Discussion on alternatives (tow, turn away, tow in, etc.). </t>
  </si>
  <si>
    <r>
      <t xml:space="preserve">The captain of the </t>
    </r>
    <r>
      <rPr>
        <sz val="10"/>
        <color indexed="10"/>
        <rFont val="Arial"/>
        <family val="2"/>
      </rPr>
      <t xml:space="preserve">(Name of Company) </t>
    </r>
    <r>
      <rPr>
        <sz val="10"/>
        <rFont val="Arial"/>
        <family val="2"/>
      </rPr>
      <t xml:space="preserve">radios the Coast Guard that he has main engine problems and has to come in to </t>
    </r>
    <r>
      <rPr>
        <sz val="10"/>
        <color indexed="10"/>
        <rFont val="Arial"/>
        <family val="2"/>
      </rPr>
      <t xml:space="preserve">(Location) </t>
    </r>
    <r>
      <rPr>
        <sz val="10"/>
        <rFont val="Arial"/>
        <family val="2"/>
      </rPr>
      <t xml:space="preserve">to make repairs. Parts will arrive in </t>
    </r>
    <r>
      <rPr>
        <sz val="10"/>
        <color indexed="10"/>
        <rFont val="Arial"/>
        <family val="2"/>
      </rPr>
      <t>(City)</t>
    </r>
    <r>
      <rPr>
        <sz val="10"/>
        <rFont val="Arial"/>
        <family val="2"/>
      </rPr>
      <t xml:space="preserve"> for repairs on </t>
    </r>
    <r>
      <rPr>
        <sz val="10"/>
        <color indexed="10"/>
        <rFont val="Arial"/>
        <family val="2"/>
      </rPr>
      <t>(Month/Day)</t>
    </r>
    <r>
      <rPr>
        <sz val="10"/>
        <rFont val="Arial"/>
        <family val="2"/>
      </rPr>
      <t>.</t>
    </r>
  </si>
  <si>
    <t>Phone/Fax</t>
  </si>
  <si>
    <r>
      <t xml:space="preserve">Follow up if </t>
    </r>
    <r>
      <rPr>
        <sz val="10"/>
        <color indexed="10"/>
        <rFont val="Arial"/>
        <family val="2"/>
      </rPr>
      <t xml:space="preserve">(Public Service Announcement) </t>
    </r>
    <r>
      <rPr>
        <sz val="10"/>
        <rFont val="Arial"/>
        <family val="2"/>
      </rPr>
      <t>does not go out with advisory information.</t>
    </r>
  </si>
  <si>
    <t>We are going to need generators placed at several locations postlandfall. What is the process for getting the generators from the warehouses to these designated locations?</t>
  </si>
  <si>
    <t>Follow up if response is not returned on status of generator support.</t>
  </si>
  <si>
    <r>
      <t>(City)</t>
    </r>
    <r>
      <rPr>
        <b/>
        <sz val="10"/>
        <rFont val="Arial"/>
        <family val="2"/>
      </rPr>
      <t xml:space="preserve"> </t>
    </r>
    <r>
      <rPr>
        <sz val="10"/>
        <rFont val="Arial"/>
        <family val="2"/>
      </rPr>
      <t>Board of Water Supply is requesting generators be prepositioned in installation support pump site/booster stations.  They are reporting the storm will cause little physical damage to the pumps, but without the portable generators for power, the pumps will not function.</t>
    </r>
  </si>
  <si>
    <r>
      <t xml:space="preserve">Establish an Initial Operating Facility (IOF) in </t>
    </r>
    <r>
      <rPr>
        <sz val="10"/>
        <color indexed="10"/>
        <rFont val="Arial"/>
        <family val="2"/>
      </rPr>
      <t>(State)</t>
    </r>
    <r>
      <rPr>
        <sz val="10"/>
        <rFont val="Arial"/>
        <family val="2"/>
      </rPr>
      <t xml:space="preserve"> plan for </t>
    </r>
    <r>
      <rPr>
        <sz val="10"/>
        <color indexed="10"/>
        <rFont val="Arial"/>
        <family val="2"/>
      </rPr>
      <t>(Joint Field Office</t>
    </r>
    <r>
      <rPr>
        <sz val="10"/>
        <color indexed="10"/>
        <rFont val="Arial"/>
        <family val="2"/>
      </rPr>
      <t xml:space="preserve"> [JFO])</t>
    </r>
    <r>
      <rPr>
        <sz val="10"/>
        <rFont val="Arial"/>
        <family val="2"/>
      </rPr>
      <t>.</t>
    </r>
  </si>
  <si>
    <r>
      <t>May not actually be issued as protocol is to issue ~</t>
    </r>
    <r>
      <rPr>
        <sz val="10"/>
        <color indexed="10"/>
        <rFont val="Arial"/>
        <family val="2"/>
      </rPr>
      <t xml:space="preserve">(#) </t>
    </r>
    <r>
      <rPr>
        <sz val="10"/>
        <rFont val="Arial"/>
        <family val="2"/>
      </rPr>
      <t xml:space="preserve">hours before landfall. </t>
    </r>
  </si>
  <si>
    <t>Gas stations are reporting that they need help protecting their facilities from the public. The combination of long lines and the fear of running out of supplies is making people horde as much gas as they can. People are getting nervous that they are not going to get any, so they are trying to cut the line which is making people angry. We need additional security and traffic control officers.</t>
  </si>
  <si>
    <r>
      <rPr>
        <sz val="10"/>
        <color indexed="10"/>
        <rFont val="Arial"/>
        <family val="2"/>
      </rPr>
      <t>(Name)</t>
    </r>
    <r>
      <rPr>
        <sz val="10"/>
        <rFont val="Arial"/>
        <family val="2"/>
      </rPr>
      <t xml:space="preserve"> Security Company has contacted us and would like to discuss potentially contracting their services both pre and postlandfall. Are there funds to procure private security services?</t>
    </r>
  </si>
  <si>
    <r>
      <t>What is the timetable for the arrival of the Disaster Medical Teams (DMATs), one partial Incident Response Coordination Team (IRCT), and one Federal Medical Station (FMS)? Will there be a need for</t>
    </r>
    <r>
      <rPr>
        <sz val="10"/>
        <color indexed="10"/>
        <rFont val="Arial"/>
        <family val="2"/>
      </rPr>
      <t xml:space="preserve"> (Disaster Mortuary Teams </t>
    </r>
    <r>
      <rPr>
        <sz val="10"/>
        <color indexed="10"/>
        <rFont val="Arial"/>
        <family val="2"/>
      </rPr>
      <t>[DMORTs])</t>
    </r>
    <r>
      <rPr>
        <sz val="10"/>
        <rFont val="Arial"/>
        <family val="2"/>
      </rPr>
      <t>?</t>
    </r>
  </si>
  <si>
    <r>
      <t xml:space="preserve">(City/County/State Emergency Management Agency) </t>
    </r>
    <r>
      <rPr>
        <sz val="10"/>
        <rFont val="Arial"/>
        <family val="2"/>
      </rPr>
      <t>is reporting several gas stations are running low on gas. Can additional deliveries be coordinated prelandfall? How do we do this?</t>
    </r>
  </si>
  <si>
    <r>
      <t>(City/County/State Emergency Management Agency)</t>
    </r>
    <r>
      <rPr>
        <sz val="10"/>
        <rFont val="Arial"/>
        <family val="2"/>
      </rPr>
      <t xml:space="preserve"> would like to know who the Debris Task Force members are and would like to confirm where the staging areas will be for the debris clearance teams </t>
    </r>
    <r>
      <rPr>
        <sz val="10"/>
        <color indexed="10"/>
        <rFont val="Arial"/>
        <family val="2"/>
      </rPr>
      <t>(people and equipment)</t>
    </r>
    <r>
      <rPr>
        <sz val="10"/>
        <rFont val="Arial"/>
        <family val="2"/>
      </rPr>
      <t>.</t>
    </r>
  </si>
  <si>
    <r>
      <t xml:space="preserve">We need assistance clearing </t>
    </r>
    <r>
      <rPr>
        <sz val="10"/>
        <color indexed="10"/>
        <rFont val="Arial"/>
        <family val="2"/>
      </rPr>
      <t xml:space="preserve">(#) </t>
    </r>
    <r>
      <rPr>
        <sz val="10"/>
        <rFont val="Arial"/>
        <family val="2"/>
      </rPr>
      <t xml:space="preserve">of abandoned cars on the </t>
    </r>
    <r>
      <rPr>
        <sz val="10"/>
        <color indexed="10"/>
        <rFont val="Arial"/>
        <family val="2"/>
      </rPr>
      <t>(Highway #)</t>
    </r>
    <r>
      <rPr>
        <sz val="10"/>
        <rFont val="Arial"/>
        <family val="2"/>
      </rPr>
      <t xml:space="preserve">. Traffic is at a standstill on the </t>
    </r>
    <r>
      <rPr>
        <sz val="10"/>
        <color indexed="10"/>
        <rFont val="Arial"/>
        <family val="2"/>
      </rPr>
      <t>(Highway #)</t>
    </r>
    <r>
      <rPr>
        <sz val="10"/>
        <rFont val="Arial"/>
        <family val="2"/>
      </rPr>
      <t xml:space="preserve">, and the situation is worsening. We are overwhelmed and so is </t>
    </r>
    <r>
      <rPr>
        <sz val="10"/>
        <color indexed="10"/>
        <rFont val="Arial"/>
        <family val="2"/>
      </rPr>
      <t>(City Police Department)</t>
    </r>
    <r>
      <rPr>
        <sz val="10"/>
        <rFont val="Arial"/>
        <family val="2"/>
      </rPr>
      <t xml:space="preserve">, so we can not assist at this time. Apparently everyone is running out of gas. Can we get </t>
    </r>
    <r>
      <rPr>
        <sz val="10"/>
        <color indexed="10"/>
        <rFont val="Arial"/>
        <family val="2"/>
      </rPr>
      <t xml:space="preserve">(City Police Department) </t>
    </r>
    <r>
      <rPr>
        <sz val="10"/>
        <rFont val="Arial"/>
        <family val="2"/>
      </rPr>
      <t>to assist with delivering fuel?</t>
    </r>
  </si>
  <si>
    <r>
      <t xml:space="preserve">(General Service Administration) </t>
    </r>
    <r>
      <rPr>
        <sz val="10"/>
        <rFont val="Arial"/>
        <family val="2"/>
      </rPr>
      <t>Contingency Inject.</t>
    </r>
  </si>
  <si>
    <r>
      <t xml:space="preserve">Has </t>
    </r>
    <r>
      <rPr>
        <sz val="10"/>
        <color indexed="10"/>
        <rFont val="Arial"/>
        <family val="2"/>
      </rPr>
      <t xml:space="preserve">(General Services Administration [GSA]) </t>
    </r>
    <r>
      <rPr>
        <sz val="10"/>
        <rFont val="Arial"/>
        <family val="2"/>
      </rPr>
      <t xml:space="preserve">acquired a facility to serve as the </t>
    </r>
    <r>
      <rPr>
        <sz val="10"/>
        <color indexed="10"/>
        <rFont val="Arial"/>
        <family val="2"/>
      </rPr>
      <t>(Initial Operating Facility [IOF])</t>
    </r>
    <r>
      <rPr>
        <sz val="10"/>
        <rFont val="Arial"/>
        <family val="2"/>
      </rPr>
      <t>?</t>
    </r>
  </si>
  <si>
    <r>
      <t>SimCell</t>
    </r>
    <r>
      <rPr>
        <sz val="10"/>
        <color indexed="10"/>
        <rFont val="Arial"/>
        <family val="2"/>
      </rPr>
      <t xml:space="preserve"> (City County)</t>
    </r>
  </si>
  <si>
    <r>
      <t xml:space="preserve">Follow up if </t>
    </r>
    <r>
      <rPr>
        <sz val="10"/>
        <color indexed="10"/>
        <rFont val="Arial"/>
        <family val="2"/>
      </rPr>
      <t xml:space="preserve">(Public Service Announcement) </t>
    </r>
    <r>
      <rPr>
        <sz val="10"/>
        <rFont val="Arial"/>
        <family val="2"/>
      </rPr>
      <t>is not issued on transportation to shelters.</t>
    </r>
  </si>
  <si>
    <r>
      <t xml:space="preserve">We have tourists who have checked out of their hotels and have headed to the </t>
    </r>
    <r>
      <rPr>
        <sz val="10"/>
        <color indexed="10"/>
        <rFont val="Arial"/>
        <family val="2"/>
      </rPr>
      <t>(City)</t>
    </r>
    <r>
      <rPr>
        <sz val="10"/>
        <rFont val="Arial"/>
        <family val="2"/>
      </rPr>
      <t xml:space="preserve"> Airport. Most do not have confirmed reservations. We need </t>
    </r>
    <r>
      <rPr>
        <sz val="10"/>
        <color indexed="10"/>
        <rFont val="Arial"/>
        <family val="2"/>
      </rPr>
      <t xml:space="preserve">(State Coordinating Officer [SCO]) </t>
    </r>
    <r>
      <rPr>
        <sz val="10"/>
        <rFont val="Arial"/>
        <family val="2"/>
      </rPr>
      <t xml:space="preserve">to assist us in getting information out to the media, including radio stations here in </t>
    </r>
    <r>
      <rPr>
        <sz val="10"/>
        <color indexed="10"/>
        <rFont val="Arial"/>
        <family val="2"/>
      </rPr>
      <t>(County)</t>
    </r>
    <r>
      <rPr>
        <sz val="10"/>
        <rFont val="Arial"/>
        <family val="2"/>
      </rPr>
      <t xml:space="preserve"> that visitors without confirmed flight reservations should not go to the airport.</t>
    </r>
  </si>
  <si>
    <t>(Health Care Association)</t>
  </si>
  <si>
    <t>Hospital capabilities will be limited post landfall. Can medical assets be predeployed? Is there any way to place medical supplies on commercial ships so they arrive soon after landfall?</t>
  </si>
  <si>
    <r>
      <t xml:space="preserve">(City/County/State Emergency Management Agency) </t>
    </r>
    <r>
      <rPr>
        <sz val="10"/>
        <rFont val="Arial"/>
        <family val="2"/>
      </rPr>
      <t xml:space="preserve"> reports retailers’ shelves across the </t>
    </r>
    <r>
      <rPr>
        <sz val="10"/>
        <color indexed="10"/>
        <rFont val="Arial"/>
        <family val="2"/>
      </rPr>
      <t>(Location)</t>
    </r>
    <r>
      <rPr>
        <sz val="10"/>
        <rFont val="Arial"/>
        <family val="2"/>
      </rPr>
      <t xml:space="preserve"> are bare and people are still trying to obtain supplies. What is the status of moving supplies from the port to more protected areas? Are there additional supplies en route?</t>
    </r>
  </si>
  <si>
    <r>
      <t>SimCell</t>
    </r>
    <r>
      <rPr>
        <sz val="10"/>
        <color indexed="10"/>
        <rFont val="Arial"/>
        <family val="2"/>
      </rPr>
      <t xml:space="preserve"> (County Emergency Operations Center [EOC])</t>
    </r>
  </si>
  <si>
    <t>Follow up if not contacted with plan to move tourists.</t>
  </si>
  <si>
    <r>
      <t>Requesting assistance in relocating nearly</t>
    </r>
    <r>
      <rPr>
        <sz val="10"/>
        <color indexed="10"/>
        <rFont val="Arial"/>
        <family val="2"/>
      </rPr>
      <t xml:space="preserve"> (#) </t>
    </r>
    <r>
      <rPr>
        <sz val="10"/>
        <rFont val="Arial"/>
        <family val="2"/>
      </rPr>
      <t xml:space="preserve">stranded tourists at the </t>
    </r>
    <r>
      <rPr>
        <sz val="10"/>
        <color indexed="10"/>
        <rFont val="Arial"/>
        <family val="2"/>
      </rPr>
      <t xml:space="preserve">(City) </t>
    </r>
    <r>
      <rPr>
        <sz val="10"/>
        <rFont val="Arial"/>
        <family val="2"/>
      </rPr>
      <t xml:space="preserve">Airport in </t>
    </r>
    <r>
      <rPr>
        <sz val="10"/>
        <color indexed="10"/>
        <rFont val="Arial"/>
        <family val="2"/>
      </rPr>
      <t xml:space="preserve">(Location) </t>
    </r>
    <r>
      <rPr>
        <sz val="10"/>
        <rFont val="Arial"/>
        <family val="2"/>
      </rPr>
      <t xml:space="preserve">who are trying to leave but with no confirmed reservations. It will only get worse in the next few days.   </t>
    </r>
  </si>
  <si>
    <r>
      <t xml:space="preserve">Weather Package #4: </t>
    </r>
    <r>
      <rPr>
        <sz val="10"/>
        <color indexed="10"/>
        <rFont val="Arial"/>
        <family val="2"/>
      </rPr>
      <t xml:space="preserve">(Month/day) </t>
    </r>
    <r>
      <rPr>
        <sz val="10"/>
        <rFont val="Arial"/>
        <family val="2"/>
      </rPr>
      <t>Special Advisory issued with track change.</t>
    </r>
  </si>
  <si>
    <t>(Insert "Send From")</t>
  </si>
  <si>
    <r>
      <t xml:space="preserve">Report energy status in </t>
    </r>
    <r>
      <rPr>
        <sz val="10"/>
        <color indexed="10"/>
        <rFont val="Arial"/>
        <family val="2"/>
      </rPr>
      <t>(State) and</t>
    </r>
    <r>
      <rPr>
        <sz val="10"/>
        <rFont val="Arial"/>
        <family val="2"/>
      </rPr>
      <t xml:space="preserve"> with</t>
    </r>
    <r>
      <rPr>
        <sz val="10"/>
        <color indexed="10"/>
        <rFont val="Arial"/>
        <family val="2"/>
      </rPr>
      <t xml:space="preserve"> (Location) </t>
    </r>
    <r>
      <rPr>
        <sz val="10"/>
        <rFont val="Arial"/>
        <family val="2"/>
      </rPr>
      <t>response resources. Establish generator surge capacity.</t>
    </r>
  </si>
  <si>
    <r>
      <t xml:space="preserve">There are a lot of goods still sitting in containers at the </t>
    </r>
    <r>
      <rPr>
        <sz val="10"/>
        <color indexed="10"/>
        <rFont val="Arial"/>
        <family val="2"/>
      </rPr>
      <t xml:space="preserve">(Location) </t>
    </r>
    <r>
      <rPr>
        <sz val="10"/>
        <rFont val="Arial"/>
        <family val="2"/>
      </rPr>
      <t>that need to be offloaded and moved to staging areas. Retailers do not want to lose</t>
    </r>
    <r>
      <rPr>
        <sz val="10"/>
        <color indexed="10"/>
        <rFont val="Arial"/>
        <family val="2"/>
      </rPr>
      <t xml:space="preserve"> (#)</t>
    </r>
    <r>
      <rPr>
        <sz val="10"/>
        <rFont val="Arial"/>
        <family val="2"/>
      </rPr>
      <t xml:space="preserve"> of their goods. Do you know if the State or FEMA has staging areas they can use to protect as much cargo as possible through the storm?</t>
    </r>
  </si>
  <si>
    <t>ESF 13</t>
  </si>
  <si>
    <r>
      <t xml:space="preserve">Many tourists have been checking out of their hotels and have headed to the </t>
    </r>
    <r>
      <rPr>
        <sz val="10"/>
        <color indexed="10"/>
        <rFont val="Arial"/>
        <family val="2"/>
      </rPr>
      <t xml:space="preserve">(City) </t>
    </r>
    <r>
      <rPr>
        <sz val="10"/>
        <rFont val="Arial"/>
        <family val="2"/>
      </rPr>
      <t>International Airport. Most have not confirmed reservation changes. Airport workers are overwhelmed, and security is becoming an issue with angry tourists trying to fight for a seat home when flights arrive. Please send out a public service announcement that visitors without confirmed reservations should not go to the airport. Extra security is needed as well. Current estimate shows</t>
    </r>
    <r>
      <rPr>
        <sz val="10"/>
        <color indexed="10"/>
        <rFont val="Arial"/>
        <family val="2"/>
      </rPr>
      <t xml:space="preserve"> (#)</t>
    </r>
    <r>
      <rPr>
        <sz val="10"/>
        <rFont val="Arial"/>
        <family val="2"/>
      </rPr>
      <t xml:space="preserve"> tourists at </t>
    </r>
    <r>
      <rPr>
        <sz val="10"/>
        <color indexed="10"/>
        <rFont val="Arial"/>
        <family val="2"/>
      </rPr>
      <t xml:space="preserve">(City) </t>
    </r>
    <r>
      <rPr>
        <sz val="10"/>
        <rFont val="Arial"/>
        <family val="2"/>
      </rPr>
      <t>at this time. They should be advised to stay in their hotels.</t>
    </r>
  </si>
  <si>
    <t>DoD</t>
  </si>
  <si>
    <t>5, 8</t>
  </si>
  <si>
    <t>Links with DoD Inject 85.</t>
  </si>
  <si>
    <r>
      <t xml:space="preserve">We are estimating that the hurricane will result in mass casualties and request Mercy be deployed to supply a </t>
    </r>
    <r>
      <rPr>
        <sz val="10"/>
        <color indexed="10"/>
        <rFont val="Arial"/>
        <family val="2"/>
      </rPr>
      <t>(#)</t>
    </r>
    <r>
      <rPr>
        <sz val="10"/>
        <rFont val="Arial"/>
        <family val="2"/>
      </rPr>
      <t>-bed facility.  We will also need staff and supplies necessary to operate the facility.</t>
    </r>
  </si>
  <si>
    <r>
      <t>SimCell (</t>
    </r>
    <r>
      <rPr>
        <sz val="10"/>
        <color indexed="10"/>
        <rFont val="Arial"/>
        <family val="2"/>
      </rPr>
      <t>Prisons)</t>
    </r>
  </si>
  <si>
    <r>
      <t xml:space="preserve">This is the warden here at the Federal Detention Center in </t>
    </r>
    <r>
      <rPr>
        <sz val="10"/>
        <color indexed="10"/>
        <rFont val="Arial"/>
        <family val="2"/>
      </rPr>
      <t>(City)</t>
    </r>
    <r>
      <rPr>
        <sz val="10"/>
        <rFont val="Arial"/>
        <family val="2"/>
      </rPr>
      <t xml:space="preserve">. We have over </t>
    </r>
    <r>
      <rPr>
        <sz val="10"/>
        <color indexed="10"/>
        <rFont val="Arial"/>
        <family val="2"/>
      </rPr>
      <t xml:space="preserve">(#) </t>
    </r>
    <r>
      <rPr>
        <sz val="10"/>
        <rFont val="Arial"/>
        <family val="2"/>
      </rPr>
      <t xml:space="preserve"> prisoners. Based on what I hear, our facility is going to be flooded by the storm. Should we anticipate an evacuation?</t>
    </r>
  </si>
  <si>
    <r>
      <t xml:space="preserve">Follow up if Safe Refuge </t>
    </r>
    <r>
      <rPr>
        <sz val="10"/>
        <color indexed="10"/>
        <rFont val="Arial"/>
        <family val="2"/>
      </rPr>
      <t xml:space="preserve">(Public Service Announcement) </t>
    </r>
    <r>
      <rPr>
        <sz val="10"/>
        <rFont val="Arial"/>
        <family val="2"/>
      </rPr>
      <t>is not issued.</t>
    </r>
  </si>
  <si>
    <r>
      <t>(City/County/State Emergency Management Agency)</t>
    </r>
    <r>
      <rPr>
        <sz val="10"/>
        <rFont val="Arial"/>
        <family val="2"/>
      </rPr>
      <t xml:space="preserve"> would like to know when we will be issuing notice to recreational boaters. The waters are getting rough, and people are still going out. The number of 911-related water rescues is climbing.</t>
    </r>
  </si>
  <si>
    <r>
      <rPr>
        <sz val="10"/>
        <color indexed="10"/>
        <rFont val="Arial"/>
        <family val="2"/>
      </rPr>
      <t>(St</t>
    </r>
    <r>
      <rPr>
        <sz val="10"/>
        <color indexed="10"/>
        <rFont val="Arial"/>
        <family val="2"/>
      </rPr>
      <t>ate)</t>
    </r>
    <r>
      <rPr>
        <sz val="10"/>
        <rFont val="Arial"/>
        <family val="2"/>
      </rPr>
      <t xml:space="preserve"> has offered to open shelters for people who need to evacuate </t>
    </r>
    <r>
      <rPr>
        <sz val="10"/>
        <color indexed="10"/>
        <rFont val="Arial"/>
        <family val="2"/>
      </rPr>
      <t>(City/County)</t>
    </r>
    <r>
      <rPr>
        <sz val="10"/>
        <rFont val="Arial"/>
        <family val="2"/>
      </rPr>
      <t xml:space="preserve"> and other </t>
    </r>
    <r>
      <rPr>
        <sz val="10"/>
        <color indexed="10"/>
        <rFont val="Arial"/>
        <family val="2"/>
      </rPr>
      <t xml:space="preserve">(Locations) </t>
    </r>
    <r>
      <rPr>
        <sz val="10"/>
        <rFont val="Arial"/>
        <family val="2"/>
      </rPr>
      <t>in</t>
    </r>
    <r>
      <rPr>
        <sz val="10"/>
        <color indexed="10"/>
        <rFont val="Arial"/>
        <family val="2"/>
      </rPr>
      <t xml:space="preserve"> </t>
    </r>
    <r>
      <rPr>
        <sz val="10"/>
        <rFont val="Arial"/>
        <family val="2"/>
      </rPr>
      <t xml:space="preserve">the direct path of the storm. Please advise on whether you will be sending evacuees to the </t>
    </r>
    <r>
      <rPr>
        <sz val="10"/>
        <color indexed="10"/>
        <rFont val="Arial"/>
        <family val="2"/>
      </rPr>
      <t>(Location)</t>
    </r>
    <r>
      <rPr>
        <sz val="10"/>
        <rFont val="Arial"/>
        <family val="2"/>
      </rPr>
      <t xml:space="preserve"> by </t>
    </r>
    <r>
      <rPr>
        <sz val="10"/>
        <color indexed="10"/>
        <rFont val="Arial"/>
        <family val="2"/>
      </rPr>
      <t xml:space="preserve">(Time) </t>
    </r>
    <r>
      <rPr>
        <sz val="10"/>
        <rFont val="Arial"/>
        <family val="2"/>
      </rPr>
      <t>today.</t>
    </r>
  </si>
  <si>
    <r>
      <t xml:space="preserve">Can also have individual requests from neighbor </t>
    </r>
    <r>
      <rPr>
        <sz val="10"/>
        <color indexed="10"/>
        <rFont val="Arial"/>
        <family val="2"/>
      </rPr>
      <t>(Cities/Counties/States)</t>
    </r>
    <r>
      <rPr>
        <sz val="10"/>
        <rFont val="Arial"/>
        <family val="2"/>
      </rPr>
      <t>.</t>
    </r>
  </si>
  <si>
    <r>
      <rPr>
        <sz val="10"/>
        <color indexed="10"/>
        <rFont val="Arial"/>
        <family val="2"/>
      </rPr>
      <t>(</t>
    </r>
    <r>
      <rPr>
        <sz val="10"/>
        <color indexed="10"/>
        <rFont val="Arial"/>
        <family val="2"/>
      </rPr>
      <t xml:space="preserve">City/County/State Emergency Management Agency) </t>
    </r>
    <r>
      <rPr>
        <sz val="10"/>
        <rFont val="Arial"/>
        <family val="2"/>
      </rPr>
      <t xml:space="preserve">and the neighboring </t>
    </r>
    <r>
      <rPr>
        <sz val="10"/>
        <color indexed="10"/>
        <rFont val="Arial"/>
        <family val="2"/>
      </rPr>
      <t>(Locations)</t>
    </r>
    <r>
      <rPr>
        <sz val="10"/>
        <rFont val="Arial"/>
        <family val="2"/>
      </rPr>
      <t xml:space="preserve"> would like to know when commercial airlines will stop coming to the </t>
    </r>
    <r>
      <rPr>
        <sz val="10"/>
        <color indexed="10"/>
        <rFont val="Arial"/>
        <family val="2"/>
      </rPr>
      <t>(Location)</t>
    </r>
    <r>
      <rPr>
        <sz val="10"/>
        <rFont val="Arial"/>
        <family val="2"/>
      </rPr>
      <t>. Have you made contact with them yet? Can you send us an update?</t>
    </r>
  </si>
  <si>
    <r>
      <t xml:space="preserve">I am unable to route this </t>
    </r>
    <r>
      <rPr>
        <sz val="10"/>
        <color indexed="10"/>
        <rFont val="Arial"/>
        <family val="2"/>
      </rPr>
      <t>(#)</t>
    </r>
    <r>
      <rPr>
        <sz val="10"/>
        <rFont val="Arial"/>
        <family val="2"/>
      </rPr>
      <t xml:space="preserve"> to </t>
    </r>
    <r>
      <rPr>
        <sz val="10"/>
        <color indexed="10"/>
        <rFont val="Arial"/>
        <family val="2"/>
      </rPr>
      <t>(Command and Control [C&amp;C]).</t>
    </r>
    <r>
      <rPr>
        <sz val="10"/>
        <rFont val="Arial"/>
        <family val="2"/>
      </rPr>
      <t xml:space="preserve"> I have a woman on the line. She needs assistance with evacuating her parents. Both of them live with her, and she needs to evacuate to a shelter. However, her parents need full assistance and care. The mother is diabetic on insulin that needs to be refrigerated and is also wheelchair bound. The father is on continuous oxygen. She is unable to get any more </t>
    </r>
    <r>
      <rPr>
        <sz val="10"/>
        <color indexed="10"/>
        <rFont val="Arial"/>
        <family val="2"/>
      </rPr>
      <t>(Water/Oxygen)</t>
    </r>
    <r>
      <rPr>
        <sz val="10"/>
        <rFont val="Arial"/>
        <family val="2"/>
      </rPr>
      <t xml:space="preserve"> for her father, and he only has enough to last another</t>
    </r>
    <r>
      <rPr>
        <sz val="10"/>
        <color indexed="10"/>
        <rFont val="Arial"/>
        <family val="2"/>
      </rPr>
      <t xml:space="preserve"> (#) </t>
    </r>
    <r>
      <rPr>
        <sz val="10"/>
        <rFont val="Arial"/>
        <family val="2"/>
      </rPr>
      <t>hours. Where should we tell her to evacuate to?</t>
    </r>
  </si>
  <si>
    <t>ESF 8</t>
  </si>
  <si>
    <r>
      <t xml:space="preserve">Since hospitals do not store supplies beyond </t>
    </r>
    <r>
      <rPr>
        <sz val="10"/>
        <color indexed="10"/>
        <rFont val="Arial"/>
        <family val="2"/>
      </rPr>
      <t>(#)</t>
    </r>
    <r>
      <rPr>
        <sz val="10"/>
        <rFont val="Arial"/>
        <family val="2"/>
      </rPr>
      <t xml:space="preserve"> hours; and as a result, we would begin to run out of medications and basic supplies by noon on </t>
    </r>
    <r>
      <rPr>
        <sz val="10"/>
        <color indexed="10"/>
        <rFont val="Arial"/>
        <family val="2"/>
      </rPr>
      <t>(Month/Day)</t>
    </r>
    <r>
      <rPr>
        <sz val="10"/>
        <rFont val="Arial"/>
        <family val="2"/>
      </rPr>
      <t>, should we stockpile additional supplies and resources?</t>
    </r>
  </si>
  <si>
    <r>
      <t xml:space="preserve">Task </t>
    </r>
    <r>
      <rPr>
        <sz val="10"/>
        <color indexed="10"/>
        <rFont val="Arial"/>
        <family val="2"/>
      </rPr>
      <t>(General Services Administration [GSA])</t>
    </r>
    <r>
      <rPr>
        <sz val="10"/>
        <rFont val="Arial"/>
        <family val="2"/>
      </rPr>
      <t xml:space="preserve"> to source locations for an </t>
    </r>
    <r>
      <rPr>
        <sz val="10"/>
        <color indexed="10"/>
        <rFont val="Arial"/>
        <family val="2"/>
      </rPr>
      <t xml:space="preserve">(Initial Operating Facility [IOF]) </t>
    </r>
    <r>
      <rPr>
        <sz val="10"/>
        <rFont val="Arial"/>
        <family val="2"/>
      </rPr>
      <t>of</t>
    </r>
    <r>
      <rPr>
        <sz val="10"/>
        <color indexed="10"/>
        <rFont val="Arial"/>
        <family val="2"/>
      </rPr>
      <t xml:space="preserve"> (#)</t>
    </r>
    <r>
      <rPr>
        <sz val="10"/>
        <rFont val="Arial"/>
        <family val="2"/>
      </rPr>
      <t xml:space="preserve"> square feet near </t>
    </r>
    <r>
      <rPr>
        <sz val="10"/>
        <color indexed="10"/>
        <rFont val="Arial"/>
        <family val="2"/>
      </rPr>
      <t>(City and State)</t>
    </r>
    <r>
      <rPr>
        <sz val="10"/>
        <rFont val="Arial"/>
        <family val="2"/>
      </rPr>
      <t xml:space="preserve"> or the </t>
    </r>
    <r>
      <rPr>
        <sz val="10"/>
        <color indexed="10"/>
        <rFont val="Arial"/>
        <family val="2"/>
      </rPr>
      <t>(City)</t>
    </r>
    <r>
      <rPr>
        <sz val="10"/>
        <rFont val="Arial"/>
        <family val="2"/>
      </rPr>
      <t xml:space="preserve"> Central Business District. Do not complete a lease at this time.</t>
    </r>
  </si>
  <si>
    <t>ESF 3</t>
  </si>
  <si>
    <r>
      <t xml:space="preserve">(County) </t>
    </r>
    <r>
      <rPr>
        <sz val="10"/>
        <rFont val="Arial"/>
        <family val="2"/>
      </rPr>
      <t>does not have debris contracts in place and needs assistance in coordinating this to get them in place before landfall. Can you help?</t>
    </r>
  </si>
  <si>
    <t>ESF 15</t>
  </si>
  <si>
    <r>
      <t xml:space="preserve">Follow up if </t>
    </r>
    <r>
      <rPr>
        <sz val="10"/>
        <color indexed="10"/>
        <rFont val="Arial"/>
        <family val="2"/>
      </rPr>
      <t>(Public Service Announcement)</t>
    </r>
    <r>
      <rPr>
        <sz val="10"/>
        <rFont val="Arial"/>
        <family val="2"/>
      </rPr>
      <t xml:space="preserve"> does not go out with advisory information.</t>
    </r>
  </si>
  <si>
    <r>
      <t xml:space="preserve">(City/County/State Emergency Management Agency) </t>
    </r>
    <r>
      <rPr>
        <sz val="10"/>
        <rFont val="Arial"/>
        <family val="2"/>
      </rPr>
      <t>is getting bombarded with calls from locals wondering what they "really" need to prepare themselves for the storm. Stores are running low and are out of a lot of items. Where can they go to get necessities like batteries, cooking fuel, water?</t>
    </r>
  </si>
  <si>
    <r>
      <t>(County)</t>
    </r>
    <r>
      <rPr>
        <sz val="10"/>
        <rFont val="Arial"/>
        <family val="2"/>
      </rPr>
      <t xml:space="preserve"> is requesting additional fuel be delivered before landfall in preparation for the expected shortage after the storm. Is there any way to coordinate additional deliveries to </t>
    </r>
    <r>
      <rPr>
        <sz val="10"/>
        <color indexed="10"/>
        <rFont val="Arial"/>
        <family val="2"/>
      </rPr>
      <t>(C</t>
    </r>
    <r>
      <rPr>
        <sz val="10"/>
        <color indexed="10"/>
        <rFont val="Arial"/>
        <family val="2"/>
      </rPr>
      <t xml:space="preserve">ity) </t>
    </r>
    <r>
      <rPr>
        <sz val="10"/>
        <rFont val="Arial"/>
        <family val="2"/>
      </rPr>
      <t>or hospitals, airports, shelters, and other critical facilities?</t>
    </r>
  </si>
  <si>
    <r>
      <t xml:space="preserve">1C: Governor </t>
    </r>
    <r>
      <rPr>
        <sz val="10"/>
        <color indexed="10"/>
        <rFont val="Arial"/>
        <family val="2"/>
      </rPr>
      <t xml:space="preserve">(Name) </t>
    </r>
    <r>
      <rPr>
        <sz val="10"/>
        <rFont val="Arial"/>
        <family val="2"/>
      </rPr>
      <t xml:space="preserve">of </t>
    </r>
    <r>
      <rPr>
        <sz val="10"/>
        <color indexed="10"/>
        <rFont val="Arial"/>
        <family val="2"/>
      </rPr>
      <t xml:space="preserve">(State) </t>
    </r>
    <r>
      <rPr>
        <sz val="10"/>
        <rFont val="Arial"/>
        <family val="2"/>
      </rPr>
      <t xml:space="preserve">will declare a State of Emergency and request a predisaster Presidential Declaration of Emergency (Stafford Act Declaration) and is approved by </t>
    </r>
    <r>
      <rPr>
        <sz val="10"/>
        <color indexed="10"/>
        <rFont val="Arial"/>
        <family val="2"/>
      </rPr>
      <t>(President of the United States [POTUS])</t>
    </r>
    <r>
      <rPr>
        <sz val="10"/>
        <rFont val="Arial"/>
        <family val="2"/>
      </rPr>
      <t xml:space="preserve"> and designated the Federal Coordinating Officer (FCO) to coordinate Federal response within the authorities of the Stafford Act.</t>
    </r>
  </si>
  <si>
    <r>
      <t xml:space="preserve">SimCell </t>
    </r>
    <r>
      <rPr>
        <sz val="10"/>
        <color indexed="10"/>
        <rFont val="Arial"/>
        <family val="2"/>
      </rPr>
      <t>(Utilities)</t>
    </r>
  </si>
  <si>
    <t>ESF 2</t>
  </si>
  <si>
    <r>
      <rPr>
        <sz val="10"/>
        <color indexed="10"/>
        <rFont val="Arial"/>
        <family val="2"/>
      </rPr>
      <t>(Cellular Company)</t>
    </r>
    <r>
      <rPr>
        <sz val="10"/>
        <rFont val="Arial"/>
        <family val="2"/>
      </rPr>
      <t xml:space="preserve"> reports their Mobile Cellular Switch (MCS) and </t>
    </r>
    <r>
      <rPr>
        <sz val="10"/>
        <color indexed="10"/>
        <rFont val="Arial"/>
        <family val="2"/>
      </rPr>
      <t>(#)</t>
    </r>
    <r>
      <rPr>
        <sz val="10"/>
        <rFont val="Arial"/>
        <family val="2"/>
      </rPr>
      <t xml:space="preserve">  percent of their cell sites in </t>
    </r>
    <r>
      <rPr>
        <sz val="10"/>
        <color indexed="10"/>
        <rFont val="Arial"/>
        <family val="2"/>
      </rPr>
      <t>(City)</t>
    </r>
    <r>
      <rPr>
        <sz val="10"/>
        <rFont val="Arial"/>
        <family val="2"/>
      </rPr>
      <t xml:space="preserve"> will operate on generator backup after the storm. However, they only have enough fuel for</t>
    </r>
    <r>
      <rPr>
        <sz val="10"/>
        <color indexed="10"/>
        <rFont val="Arial"/>
        <family val="2"/>
      </rPr>
      <t xml:space="preserve"> (#) </t>
    </r>
    <r>
      <rPr>
        <sz val="10"/>
        <rFont val="Arial"/>
        <family val="2"/>
      </rPr>
      <t xml:space="preserve">days and will need support if this storm hits to maintain the </t>
    </r>
    <r>
      <rPr>
        <sz val="10"/>
        <color indexed="10"/>
        <rFont val="Arial"/>
        <family val="2"/>
      </rPr>
      <t xml:space="preserve">(Mobile Cellular Switch [MCS]). </t>
    </r>
    <r>
      <rPr>
        <sz val="10"/>
        <rFont val="Arial"/>
        <family val="2"/>
      </rPr>
      <t>What is the plan for refueling and how to we get on the priority refueling list?</t>
    </r>
  </si>
  <si>
    <r>
      <t xml:space="preserve">Follow up if </t>
    </r>
    <r>
      <rPr>
        <sz val="10"/>
        <color indexed="10"/>
        <rFont val="Arial"/>
        <family val="2"/>
      </rPr>
      <t xml:space="preserve">(Public Service Announcement)  </t>
    </r>
    <r>
      <rPr>
        <sz val="10"/>
        <rFont val="Arial"/>
        <family val="2"/>
      </rPr>
      <t>is not issued on preparedness for the storm and accessibility to goods and shelter locations.</t>
    </r>
  </si>
  <si>
    <r>
      <t>We are afraid many people who should leave their homes will not. We need assistance coordinating and finding staff to make door to door notices to people about how to prepare for impact, what the postimpact dangers are, what they need to self sustain for up to</t>
    </r>
    <r>
      <rPr>
        <sz val="10"/>
        <color indexed="10"/>
        <rFont val="Arial"/>
        <family val="2"/>
      </rPr>
      <t xml:space="preserve"> (#) </t>
    </r>
    <r>
      <rPr>
        <sz val="10"/>
        <rFont val="Arial"/>
        <family val="2"/>
      </rPr>
      <t>days, where the shelters are opening, and how they can get there.</t>
    </r>
  </si>
  <si>
    <r>
      <t>Governor's Chief of Staff</t>
    </r>
    <r>
      <rPr>
        <sz val="10"/>
        <color indexed="10"/>
        <rFont val="Arial"/>
        <family val="2"/>
      </rPr>
      <t xml:space="preserve"> (Name) </t>
    </r>
    <r>
      <rPr>
        <sz val="10"/>
        <rFont val="Arial"/>
        <family val="2"/>
      </rPr>
      <t xml:space="preserve">on behalf of the Governor to see the status of how we are preparing for the possibility of landfall on any of the </t>
    </r>
    <r>
      <rPr>
        <sz val="10"/>
        <color indexed="10"/>
        <rFont val="Arial"/>
        <family val="2"/>
      </rPr>
      <t>(Locations)</t>
    </r>
    <r>
      <rPr>
        <sz val="10"/>
        <rFont val="Arial"/>
        <family val="2"/>
      </rPr>
      <t>. How will we provide water, feed people, keep hospitals open, take care of tourists, open the port, sheltering, etc.</t>
    </r>
  </si>
  <si>
    <r>
      <t xml:space="preserve">SimCell </t>
    </r>
    <r>
      <rPr>
        <sz val="10"/>
        <color indexed="10"/>
        <rFont val="Arial"/>
        <family val="2"/>
      </rPr>
      <t>(Private Sector)</t>
    </r>
  </si>
  <si>
    <r>
      <t xml:space="preserve">This is </t>
    </r>
    <r>
      <rPr>
        <sz val="10"/>
        <color indexed="10"/>
        <rFont val="Arial"/>
        <family val="2"/>
      </rPr>
      <t>(Name)</t>
    </r>
    <r>
      <rPr>
        <sz val="10"/>
        <rFont val="Arial"/>
        <family val="2"/>
      </rPr>
      <t xml:space="preserve"> Rental Cars. Our parking lots are full, and we need a place to store approximately </t>
    </r>
    <r>
      <rPr>
        <sz val="10"/>
        <color indexed="10"/>
        <rFont val="Arial"/>
        <family val="2"/>
      </rPr>
      <t>(#)</t>
    </r>
    <r>
      <rPr>
        <sz val="10"/>
        <rFont val="Arial"/>
        <family val="2"/>
      </rPr>
      <t xml:space="preserve">  additional cars? Where can we store them? Can we park them in the</t>
    </r>
    <r>
      <rPr>
        <sz val="10"/>
        <color indexed="10"/>
        <rFont val="Arial"/>
        <family val="2"/>
      </rPr>
      <t xml:space="preserve"> (Stadium)</t>
    </r>
    <r>
      <rPr>
        <sz val="10"/>
        <rFont val="Arial"/>
        <family val="2"/>
      </rPr>
      <t xml:space="preserve"> parking lot?</t>
    </r>
  </si>
  <si>
    <r>
      <t xml:space="preserve">SimCell </t>
    </r>
    <r>
      <rPr>
        <sz val="10"/>
        <color indexed="10"/>
        <rFont val="Arial"/>
        <family val="2"/>
      </rPr>
      <t>(911 Dispatcher)</t>
    </r>
  </si>
  <si>
    <r>
      <t xml:space="preserve">Follow up if no shelter </t>
    </r>
    <r>
      <rPr>
        <sz val="10"/>
        <color indexed="10"/>
        <rFont val="Arial"/>
        <family val="2"/>
      </rPr>
      <t xml:space="preserve">(Public Service Announcement) </t>
    </r>
    <r>
      <rPr>
        <sz val="10"/>
        <rFont val="Arial"/>
        <family val="2"/>
      </rPr>
      <t>is issued for special needs.</t>
    </r>
  </si>
  <si>
    <r>
      <t xml:space="preserve">Initiate planning for shelter activation and mass feeding capabilities. Coordinate prestaging of commodities and food and deploy shelter management assets and teams to </t>
    </r>
    <r>
      <rPr>
        <sz val="10"/>
        <color indexed="10"/>
        <rFont val="Arial"/>
        <family val="2"/>
      </rPr>
      <t>(Location)</t>
    </r>
    <r>
      <rPr>
        <sz val="10"/>
        <rFont val="Arial"/>
        <family val="2"/>
      </rPr>
      <t xml:space="preserve"> prelandfall.</t>
    </r>
  </si>
  <si>
    <r>
      <t xml:space="preserve">Release </t>
    </r>
    <r>
      <rPr>
        <sz val="10"/>
        <color indexed="10"/>
        <rFont val="Arial"/>
        <family val="2"/>
      </rPr>
      <t>(Public Service Announcement [PSA])</t>
    </r>
    <r>
      <rPr>
        <sz val="10"/>
        <rFont val="Arial"/>
        <family val="2"/>
      </rPr>
      <t xml:space="preserve"> for travel industry personnel and visitors of storm conditions, and to discourage travel to/from </t>
    </r>
    <r>
      <rPr>
        <sz val="10"/>
        <color indexed="10"/>
        <rFont val="Arial"/>
        <family val="2"/>
      </rPr>
      <t>(Location)</t>
    </r>
    <r>
      <rPr>
        <sz val="10"/>
        <rFont val="Arial"/>
        <family val="2"/>
      </rPr>
      <t>.</t>
    </r>
  </si>
  <si>
    <t>ESF 7</t>
  </si>
  <si>
    <r>
      <t xml:space="preserve">Follow up if </t>
    </r>
    <r>
      <rPr>
        <sz val="10"/>
        <color indexed="10"/>
        <rFont val="Arial"/>
        <family val="2"/>
      </rPr>
      <t xml:space="preserve">(Public Service Announcement) </t>
    </r>
    <r>
      <rPr>
        <sz val="10"/>
        <rFont val="Arial"/>
        <family val="2"/>
      </rPr>
      <t xml:space="preserve"> is not issued on preparedness for the storm and accessibility to goods.</t>
    </r>
  </si>
  <si>
    <t>We are trying to stock up on supplies, but the store shelves are pretty bare. Is there anywhere we can go to get water and non perishable foods, batteries, first aid materials and other emergency survival supplies before the storm?</t>
  </si>
  <si>
    <r>
      <t>(General Service Administration)</t>
    </r>
    <r>
      <rPr>
        <sz val="10"/>
        <rFont val="Arial"/>
        <family val="2"/>
      </rPr>
      <t xml:space="preserve"> Inject. (Depending on exercise play, change the lease locations).</t>
    </r>
  </si>
  <si>
    <r>
      <t xml:space="preserve">Where is the </t>
    </r>
    <r>
      <rPr>
        <sz val="10"/>
        <color indexed="10"/>
        <rFont val="Arial"/>
        <family val="2"/>
      </rPr>
      <t>(General Services Administration [GSA])</t>
    </r>
    <r>
      <rPr>
        <sz val="10"/>
        <rFont val="Arial"/>
        <family val="2"/>
      </rPr>
      <t xml:space="preserve"> going to lease a Joint Field Office in </t>
    </r>
    <r>
      <rPr>
        <sz val="10"/>
        <color indexed="10"/>
        <rFont val="Arial"/>
        <family val="2"/>
      </rPr>
      <t>(</t>
    </r>
    <r>
      <rPr>
        <sz val="10"/>
        <color indexed="10"/>
        <rFont val="Arial"/>
        <family val="2"/>
      </rPr>
      <t>City)</t>
    </r>
    <r>
      <rPr>
        <sz val="10"/>
        <rFont val="Arial"/>
        <family val="2"/>
      </rPr>
      <t xml:space="preserve">? Where are the Disaster Recovery Centers going to be located in </t>
    </r>
    <r>
      <rPr>
        <sz val="10"/>
        <color indexed="10"/>
        <rFont val="Arial"/>
        <family val="2"/>
      </rPr>
      <t>(Location)</t>
    </r>
    <r>
      <rPr>
        <sz val="10"/>
        <rFont val="Arial"/>
        <family val="2"/>
      </rPr>
      <t xml:space="preserve">, </t>
    </r>
    <r>
      <rPr>
        <sz val="10"/>
        <color indexed="10"/>
        <rFont val="Arial"/>
        <family val="2"/>
      </rPr>
      <t>(Location)</t>
    </r>
    <r>
      <rPr>
        <sz val="10"/>
        <rFont val="Arial"/>
        <family val="2"/>
      </rPr>
      <t>?</t>
    </r>
  </si>
  <si>
    <r>
      <t xml:space="preserve">SimCell </t>
    </r>
    <r>
      <rPr>
        <sz val="10"/>
        <color indexed="10"/>
        <rFont val="Arial"/>
        <family val="2"/>
      </rPr>
      <t>(Concerned Citizen)</t>
    </r>
  </si>
  <si>
    <r>
      <t xml:space="preserve">Follow up if no shelter </t>
    </r>
    <r>
      <rPr>
        <sz val="10"/>
        <color indexed="10"/>
        <rFont val="Arial"/>
        <family val="2"/>
      </rPr>
      <t xml:space="preserve">(Public Service Announcement) </t>
    </r>
    <r>
      <rPr>
        <sz val="10"/>
        <rFont val="Arial"/>
        <family val="2"/>
      </rPr>
      <t xml:space="preserve"> is issues for special needs.</t>
    </r>
  </si>
  <si>
    <t>Are you opening any shelters for families with pets? If so where?</t>
  </si>
  <si>
    <r>
      <t xml:space="preserve">SimCell </t>
    </r>
    <r>
      <rPr>
        <sz val="10"/>
        <color indexed="10"/>
        <rFont val="Arial"/>
        <family val="2"/>
      </rPr>
      <t>(Infrastructure)</t>
    </r>
  </si>
  <si>
    <r>
      <t xml:space="preserve">The </t>
    </r>
    <r>
      <rPr>
        <sz val="10"/>
        <color indexed="10"/>
        <rFont val="Arial"/>
        <family val="2"/>
      </rPr>
      <t>(Location)</t>
    </r>
    <r>
      <rPr>
        <sz val="10"/>
        <rFont val="Arial"/>
        <family val="2"/>
      </rPr>
      <t xml:space="preserve"> Water Company, </t>
    </r>
    <r>
      <rPr>
        <sz val="10"/>
        <color indexed="10"/>
        <rFont val="Arial"/>
        <family val="2"/>
      </rPr>
      <t xml:space="preserve">(Name of Company) </t>
    </r>
    <r>
      <rPr>
        <sz val="10"/>
        <rFont val="Arial"/>
        <family val="2"/>
      </rPr>
      <t>Bottling Company, and</t>
    </r>
    <r>
      <rPr>
        <sz val="10"/>
        <color indexed="10"/>
        <rFont val="Arial"/>
        <family val="2"/>
      </rPr>
      <t xml:space="preserve"> (Name of Company) </t>
    </r>
    <r>
      <rPr>
        <sz val="10"/>
        <rFont val="Arial"/>
        <family val="2"/>
      </rPr>
      <t xml:space="preserve">Water Company located on </t>
    </r>
    <r>
      <rPr>
        <sz val="10"/>
        <color indexed="10"/>
        <rFont val="Arial"/>
        <family val="2"/>
      </rPr>
      <t>(Location)</t>
    </r>
    <r>
      <rPr>
        <sz val="10"/>
        <rFont val="Arial"/>
        <family val="2"/>
      </rPr>
      <t xml:space="preserve"> have increased production in preparation for the storm. They will stop </t>
    </r>
    <r>
      <rPr>
        <sz val="10"/>
        <color indexed="10"/>
        <rFont val="Arial"/>
        <family val="2"/>
      </rPr>
      <t>(#)</t>
    </r>
    <r>
      <rPr>
        <sz val="10"/>
        <rFont val="Arial"/>
        <family val="2"/>
      </rPr>
      <t xml:space="preserve"> production at </t>
    </r>
    <r>
      <rPr>
        <sz val="10"/>
        <color indexed="10"/>
        <rFont val="Arial"/>
        <family val="2"/>
      </rPr>
      <t>(#)</t>
    </r>
    <r>
      <rPr>
        <sz val="10"/>
        <rFont val="Arial"/>
        <family val="2"/>
      </rPr>
      <t xml:space="preserve"> PM on </t>
    </r>
    <r>
      <rPr>
        <sz val="10"/>
        <color indexed="10"/>
        <rFont val="Arial"/>
        <family val="2"/>
      </rPr>
      <t>(Month/Day)</t>
    </r>
    <r>
      <rPr>
        <sz val="10"/>
        <rFont val="Arial"/>
        <family val="2"/>
      </rPr>
      <t xml:space="preserve">. </t>
    </r>
    <r>
      <rPr>
        <sz val="10"/>
        <color indexed="10"/>
        <rFont val="Arial"/>
        <family val="2"/>
      </rPr>
      <t xml:space="preserve">(#) </t>
    </r>
    <r>
      <rPr>
        <sz val="10"/>
        <rFont val="Arial"/>
        <family val="2"/>
      </rPr>
      <t xml:space="preserve">of the bottled water production companies are expecting significant damage, but the </t>
    </r>
    <r>
      <rPr>
        <sz val="10"/>
        <color indexed="10"/>
        <rFont val="Arial"/>
        <family val="2"/>
      </rPr>
      <t xml:space="preserve">(Locations) </t>
    </r>
    <r>
      <rPr>
        <sz val="10"/>
        <rFont val="Arial"/>
        <family val="2"/>
      </rPr>
      <t>report their facilities may be down for some time after the storm.</t>
    </r>
  </si>
  <si>
    <r>
      <t xml:space="preserve">We are worried that there is not enough shelter space for our tourists who have to evacuate hotels. Will there be additional air carriers coming in prelandfall and transporting stranded tourists from </t>
    </r>
    <r>
      <rPr>
        <sz val="10"/>
        <color indexed="10"/>
        <rFont val="Arial"/>
        <family val="2"/>
      </rPr>
      <t>(City/County/State)</t>
    </r>
    <r>
      <rPr>
        <sz val="10"/>
        <rFont val="Arial"/>
        <family val="2"/>
      </rPr>
      <t xml:space="preserve"> to the</t>
    </r>
    <r>
      <rPr>
        <sz val="10"/>
        <color indexed="10"/>
        <rFont val="Arial"/>
        <family val="2"/>
      </rPr>
      <t xml:space="preserve"> (States)</t>
    </r>
    <r>
      <rPr>
        <sz val="10"/>
        <rFont val="Arial"/>
        <family val="2"/>
      </rPr>
      <t xml:space="preserve"> or other countries? Will our tourists have to pay additional costs to try to get on one of the flights? What are our options for moving tourists to other locations?</t>
    </r>
  </si>
  <si>
    <t>Fax</t>
  </si>
  <si>
    <r>
      <t>SimCell</t>
    </r>
    <r>
      <rPr>
        <sz val="10"/>
        <color indexed="10"/>
        <rFont val="Arial"/>
        <family val="2"/>
      </rPr>
      <t xml:space="preserve"> (City/County)</t>
    </r>
  </si>
  <si>
    <t>ESF 6</t>
  </si>
  <si>
    <r>
      <t xml:space="preserve">Follow up if </t>
    </r>
    <r>
      <rPr>
        <sz val="10"/>
        <color indexed="10"/>
        <rFont val="Arial"/>
        <family val="2"/>
      </rPr>
      <t xml:space="preserve">(Public Service Announcement) </t>
    </r>
    <r>
      <rPr>
        <sz val="10"/>
        <rFont val="Arial"/>
        <family val="2"/>
      </rPr>
      <t>is not issued on shelter locations and when they are opening.</t>
    </r>
  </si>
  <si>
    <r>
      <t>(City/County/State Emergency Management Agency)</t>
    </r>
    <r>
      <rPr>
        <sz val="10"/>
        <rFont val="Arial"/>
        <family val="2"/>
      </rPr>
      <t>: We are activating the following shelters. Fax includes names, when they will be open, locations, and capacity, and required supplies).</t>
    </r>
  </si>
  <si>
    <r>
      <rPr>
        <sz val="10"/>
        <rFont val="Arial"/>
        <family val="2"/>
      </rPr>
      <t>FEMA</t>
    </r>
    <r>
      <rPr>
        <sz val="10"/>
        <color indexed="10"/>
        <rFont val="Arial"/>
        <family val="2"/>
      </rPr>
      <t xml:space="preserve"> (Region #) (Regional Response Coordination Center [RRCC]) </t>
    </r>
    <r>
      <rPr>
        <sz val="10"/>
        <rFont val="Arial"/>
        <family val="2"/>
      </rPr>
      <t>at Level 1 with five ESFs activated.</t>
    </r>
  </si>
  <si>
    <r>
      <t xml:space="preserve">(State Coordinating Officer - SCD) </t>
    </r>
    <r>
      <rPr>
        <sz val="10"/>
        <rFont val="Arial"/>
        <family val="2"/>
      </rPr>
      <t xml:space="preserve">activates </t>
    </r>
    <r>
      <rPr>
        <sz val="10"/>
        <color indexed="10"/>
        <rFont val="Arial"/>
        <family val="2"/>
      </rPr>
      <t>(Emergency Management Assistance Compact [EMAC] # Team)</t>
    </r>
    <r>
      <rPr>
        <sz val="10"/>
        <rFont val="Arial"/>
        <family val="2"/>
      </rPr>
      <t>.</t>
    </r>
  </si>
  <si>
    <t>Operations</t>
  </si>
  <si>
    <r>
      <t xml:space="preserve">Follow up if prelandfall </t>
    </r>
    <r>
      <rPr>
        <sz val="10"/>
        <color indexed="10"/>
        <rFont val="Arial"/>
        <family val="2"/>
      </rPr>
      <t xml:space="preserve">(Public Service Announcement) </t>
    </r>
    <r>
      <rPr>
        <sz val="10"/>
        <rFont val="Arial"/>
        <family val="2"/>
      </rPr>
      <t>is not issued on location of Points of Distribution (PODs). Follow up with additional problems with PODs access if needed.</t>
    </r>
  </si>
  <si>
    <r>
      <t>(City/County/State Emergency Management Agency)</t>
    </r>
    <r>
      <rPr>
        <sz val="10"/>
        <rFont val="Arial"/>
        <family val="2"/>
      </rPr>
      <t>:</t>
    </r>
    <r>
      <rPr>
        <sz val="10"/>
        <color indexed="10"/>
        <rFont val="Arial"/>
        <family val="2"/>
      </rPr>
      <t xml:space="preserve">  </t>
    </r>
    <r>
      <rPr>
        <sz val="10"/>
        <rFont val="Arial"/>
        <family val="2"/>
      </rPr>
      <t xml:space="preserve">We think we are going to need to set up Points of Distributions (PODs) at the following </t>
    </r>
    <r>
      <rPr>
        <sz val="10"/>
        <color indexed="10"/>
        <rFont val="Arial"/>
        <family val="2"/>
      </rPr>
      <t>(Locations)</t>
    </r>
    <r>
      <rPr>
        <sz val="10"/>
        <rFont val="Arial"/>
        <family val="2"/>
      </rPr>
      <t xml:space="preserve">. Will you be able to provide commodities to </t>
    </r>
    <r>
      <rPr>
        <sz val="10"/>
        <color indexed="10"/>
        <rFont val="Arial"/>
        <family val="2"/>
      </rPr>
      <t>(#)</t>
    </r>
    <r>
      <rPr>
        <sz val="10"/>
        <rFont val="Arial"/>
        <family val="2"/>
      </rPr>
      <t xml:space="preserve"> of these PODs? What will you be able to provide?</t>
    </r>
  </si>
  <si>
    <r>
      <t xml:space="preserve">SimCell </t>
    </r>
    <r>
      <rPr>
        <sz val="10"/>
        <color indexed="10"/>
        <rFont val="Arial"/>
        <family val="2"/>
      </rPr>
      <t>(County)</t>
    </r>
  </si>
  <si>
    <r>
      <t xml:space="preserve">Will you stage any resources on our </t>
    </r>
    <r>
      <rPr>
        <sz val="10"/>
        <color indexed="10"/>
        <rFont val="Arial"/>
        <family val="2"/>
      </rPr>
      <t>(Location)</t>
    </r>
    <r>
      <rPr>
        <sz val="10"/>
        <rFont val="Arial"/>
        <family val="2"/>
      </rPr>
      <t xml:space="preserve">?  Are you going to set up Points of Distribution (PODs) on our </t>
    </r>
    <r>
      <rPr>
        <sz val="10"/>
        <color indexed="10"/>
        <rFont val="Arial"/>
        <family val="2"/>
      </rPr>
      <t>(Location)</t>
    </r>
    <r>
      <rPr>
        <sz val="10"/>
        <rFont val="Arial"/>
        <family val="2"/>
      </rPr>
      <t xml:space="preserve">? When will they be operational?  </t>
    </r>
  </si>
  <si>
    <t>By 12:00 at latest.</t>
  </si>
  <si>
    <r>
      <t xml:space="preserve">(Video Teleconferencing [VTC]) </t>
    </r>
    <r>
      <rPr>
        <sz val="10"/>
        <rFont val="Arial"/>
        <family val="2"/>
      </rPr>
      <t>with</t>
    </r>
    <r>
      <rPr>
        <sz val="10"/>
        <color indexed="10"/>
        <rFont val="Arial"/>
        <family val="2"/>
      </rPr>
      <t xml:space="preserve"> (Regional Response Coordination Center [RRCC]), (State Coordinating Officer [SCO]), (National Weather Service [NWS])</t>
    </r>
    <r>
      <rPr>
        <sz val="10"/>
        <rFont val="Arial"/>
        <family val="2"/>
      </rPr>
      <t>.</t>
    </r>
  </si>
  <si>
    <r>
      <t xml:space="preserve">Initiate Task Force formation (mass evacuation, and debris, protect </t>
    </r>
    <r>
      <rPr>
        <sz val="10"/>
        <color indexed="10"/>
        <rFont val="Arial"/>
        <family val="2"/>
      </rPr>
      <t xml:space="preserve">[Location] </t>
    </r>
    <r>
      <rPr>
        <sz val="10"/>
        <rFont val="Arial"/>
        <family val="2"/>
      </rPr>
      <t>resources) to address specific functional areas and issues.</t>
    </r>
  </si>
  <si>
    <t xml:space="preserve">At the request of the FL, MS and AL governors, the President has approved a Major Disaster Declaration for all counties affected by Hurricane AL in Florida, Mississippi and Alabama.  Both the National Response Framework (NRF) and the Stafford Act have been activated.  Representatives from the Federal Emergency Management Agency will begin coordinating Federal-level support to affected states.
</t>
  </si>
  <si>
    <r>
      <t>(Unified Command Group [UCG])</t>
    </r>
    <r>
      <rPr>
        <sz val="10"/>
        <rFont val="Arial"/>
        <family val="2"/>
      </rPr>
      <t xml:space="preserve"> recommends implementing travel restrictions and halt tourist influx at points of departure upon 1C transition.</t>
    </r>
  </si>
  <si>
    <r>
      <t xml:space="preserve">SimCell </t>
    </r>
    <r>
      <rPr>
        <sz val="10"/>
        <color indexed="10"/>
        <rFont val="Arial"/>
        <family val="2"/>
      </rPr>
      <t>(Governor's Office)</t>
    </r>
  </si>
  <si>
    <t>ESF 5</t>
  </si>
  <si>
    <r>
      <t>If there is no</t>
    </r>
    <r>
      <rPr>
        <sz val="10"/>
        <color indexed="10"/>
        <rFont val="Arial"/>
        <family val="2"/>
      </rPr>
      <t xml:space="preserve"> (Emergency Management Assistance Compact)</t>
    </r>
    <r>
      <rPr>
        <sz val="10"/>
        <rFont val="Arial"/>
        <family val="2"/>
      </rPr>
      <t xml:space="preserve"> by 11:00AM.</t>
    </r>
  </si>
  <si>
    <t>The Governor would like to know if a request letter has been prepared to the Emergency Management Assistance Compact (EMAC) National Coordination Group (NCG) to advise that assistance may be needed in response to the hurricane. If not please ensure that the letter articulates the scope of the emergency and the anticipated needs of our State.</t>
  </si>
  <si>
    <r>
      <t xml:space="preserve">SimCell </t>
    </r>
    <r>
      <rPr>
        <sz val="10"/>
        <color indexed="10"/>
        <rFont val="Arial"/>
        <family val="2"/>
      </rPr>
      <t>(City)</t>
    </r>
  </si>
  <si>
    <r>
      <t>ESF</t>
    </r>
    <r>
      <rPr>
        <sz val="10"/>
        <color indexed="10"/>
        <rFont val="Arial"/>
        <family val="2"/>
      </rPr>
      <t xml:space="preserve"> (#)</t>
    </r>
  </si>
  <si>
    <r>
      <t xml:space="preserve">Many tourists have been checking out of their hotel and have headed to the </t>
    </r>
    <r>
      <rPr>
        <sz val="10"/>
        <color indexed="10"/>
        <rFont val="Arial"/>
        <family val="2"/>
      </rPr>
      <t xml:space="preserve">(City) </t>
    </r>
    <r>
      <rPr>
        <sz val="10"/>
        <rFont val="Arial"/>
        <family val="2"/>
      </rPr>
      <t xml:space="preserve">International Airport. Most have not confirmed reservation changes. Airport workers are overwhelmed. Please send out public service announcement that visitors without confirmed reservations should not go to the airport. Current estimate shows </t>
    </r>
    <r>
      <rPr>
        <sz val="10"/>
        <color indexed="10"/>
        <rFont val="Arial"/>
        <family val="2"/>
      </rPr>
      <t>(#)</t>
    </r>
    <r>
      <rPr>
        <sz val="10"/>
        <rFont val="Arial"/>
        <family val="2"/>
      </rPr>
      <t xml:space="preserve"> tourists at</t>
    </r>
    <r>
      <rPr>
        <sz val="10"/>
        <color indexed="10"/>
        <rFont val="Arial"/>
        <family val="2"/>
      </rPr>
      <t xml:space="preserve"> (City)</t>
    </r>
    <r>
      <rPr>
        <sz val="10"/>
        <rFont val="Arial"/>
        <family val="2"/>
      </rPr>
      <t xml:space="preserve"> at this time. We cannot shelter</t>
    </r>
    <r>
      <rPr>
        <sz val="10"/>
        <color indexed="10"/>
        <rFont val="Arial"/>
        <family val="2"/>
      </rPr>
      <t xml:space="preserve"> (#) </t>
    </r>
    <r>
      <rPr>
        <sz val="10"/>
        <rFont val="Arial"/>
        <family val="2"/>
      </rPr>
      <t>of these people at the airport; we need assistance getting people to move to shelters.</t>
    </r>
  </si>
  <si>
    <t>ESF 1</t>
  </si>
  <si>
    <t>1, 6</t>
  </si>
  <si>
    <t xml:space="preserve">Follow up if not contacted with answer or plan. </t>
  </si>
  <si>
    <r>
      <t xml:space="preserve">Port Update:
- </t>
    </r>
    <r>
      <rPr>
        <sz val="10"/>
        <color indexed="10"/>
        <rFont val="Arial"/>
        <family val="2"/>
      </rPr>
      <t>(City)</t>
    </r>
    <r>
      <rPr>
        <sz val="10"/>
        <rFont val="Arial"/>
        <family val="2"/>
      </rPr>
      <t xml:space="preserve"> Fire Department reports that the building located on Pier </t>
    </r>
    <r>
      <rPr>
        <sz val="10"/>
        <color indexed="10"/>
        <rFont val="Arial"/>
        <family val="2"/>
      </rPr>
      <t>(#)</t>
    </r>
    <r>
      <rPr>
        <sz val="10"/>
        <rFont val="Arial"/>
        <family val="2"/>
      </rPr>
      <t xml:space="preserve"> that provides accommodations and a headquarters for the fire boat crew has collapsed.
- Pier</t>
    </r>
    <r>
      <rPr>
        <sz val="10"/>
        <color indexed="10"/>
        <rFont val="Arial"/>
        <family val="2"/>
      </rPr>
      <t xml:space="preserve"> (#)</t>
    </r>
    <r>
      <rPr>
        <sz val="10"/>
        <rFont val="Arial"/>
        <family val="2"/>
      </rPr>
      <t xml:space="preserve"> has been completely blocked by floating debris.  A</t>
    </r>
    <r>
      <rPr>
        <sz val="10"/>
        <color indexed="10"/>
        <rFont val="Arial"/>
        <family val="2"/>
      </rPr>
      <t xml:space="preserve"> (#)-</t>
    </r>
    <r>
      <rPr>
        <sz val="10"/>
        <rFont val="Arial"/>
        <family val="2"/>
      </rPr>
      <t xml:space="preserve">ft. access roadway that extends across the inner slip has been washed out.
- Several piers along </t>
    </r>
    <r>
      <rPr>
        <sz val="10"/>
        <color indexed="10"/>
        <rFont val="Arial"/>
        <family val="2"/>
      </rPr>
      <t xml:space="preserve">(Location) </t>
    </r>
    <r>
      <rPr>
        <sz val="10"/>
        <rFont val="Arial"/>
        <family val="2"/>
      </rPr>
      <t xml:space="preserve">have suffered severe structural damage. Fishing vessels, equipment, and supplies have been lost or damaged. Structures on the wharf to include the former cannery and the </t>
    </r>
    <r>
      <rPr>
        <sz val="10"/>
        <color indexed="10"/>
        <rFont val="Arial"/>
        <family val="2"/>
      </rPr>
      <t>(Name)</t>
    </r>
    <r>
      <rPr>
        <sz val="10"/>
        <rFont val="Arial"/>
        <family val="2"/>
      </rPr>
      <t xml:space="preserve"> Restaurant have been inundated with flood waters.
- Parking lot areas at the foot of </t>
    </r>
    <r>
      <rPr>
        <sz val="10"/>
        <color indexed="10"/>
        <rFont val="Arial"/>
        <family val="2"/>
      </rPr>
      <t xml:space="preserve">(Name) </t>
    </r>
    <r>
      <rPr>
        <sz val="10"/>
        <rFont val="Arial"/>
        <family val="2"/>
      </rPr>
      <t xml:space="preserve">Streets have been consumed by debris and vessels washed up on shore blocking inland access to Pier </t>
    </r>
    <r>
      <rPr>
        <sz val="10"/>
        <color indexed="10"/>
        <rFont val="Arial"/>
        <family val="2"/>
      </rPr>
      <t>(#).</t>
    </r>
    <r>
      <rPr>
        <sz val="10"/>
        <rFont val="Arial"/>
        <family val="2"/>
      </rPr>
      <t xml:space="preserve">
- On the East Side of</t>
    </r>
    <r>
      <rPr>
        <sz val="10"/>
        <color indexed="10"/>
        <rFont val="Arial"/>
        <family val="2"/>
      </rPr>
      <t xml:space="preserve"> (Location)</t>
    </r>
    <r>
      <rPr>
        <sz val="10"/>
        <rFont val="Arial"/>
        <family val="2"/>
      </rPr>
      <t xml:space="preserve"> Drainage Canal, below </t>
    </r>
    <r>
      <rPr>
        <sz val="10"/>
        <color indexed="10"/>
        <rFont val="Arial"/>
        <family val="2"/>
      </rPr>
      <t xml:space="preserve">(highway) </t>
    </r>
    <r>
      <rPr>
        <sz val="10"/>
        <rFont val="Arial"/>
        <family val="2"/>
      </rPr>
      <t xml:space="preserve"> Bridge, Pier </t>
    </r>
    <r>
      <rPr>
        <sz val="10"/>
        <color indexed="10"/>
        <rFont val="Arial"/>
        <family val="2"/>
      </rPr>
      <t>(#)</t>
    </r>
    <r>
      <rPr>
        <sz val="10"/>
        <rFont val="Arial"/>
        <family val="2"/>
      </rPr>
      <t xml:space="preserve"> has been completely washed out.
- At Pier</t>
    </r>
    <r>
      <rPr>
        <sz val="10"/>
        <color indexed="10"/>
        <rFont val="Arial"/>
        <family val="2"/>
      </rPr>
      <t xml:space="preserve"> (#)</t>
    </r>
    <r>
      <rPr>
        <sz val="10"/>
        <rFont val="Arial"/>
        <family val="2"/>
      </rPr>
      <t xml:space="preserve"> a transit shed used for storage and automobile parking has been washed out scattering equipment and supplies across the piers and leaving abandoned vehicles blocking portions of Pier </t>
    </r>
    <r>
      <rPr>
        <sz val="10"/>
        <color indexed="10"/>
        <rFont val="Arial"/>
        <family val="2"/>
      </rPr>
      <t>(#)</t>
    </r>
    <r>
      <rPr>
        <sz val="10"/>
        <rFont val="Arial"/>
        <family val="2"/>
      </rPr>
      <t xml:space="preserve">.
</t>
    </r>
  </si>
  <si>
    <r>
      <t>County perdisreps</t>
    </r>
    <r>
      <rPr>
        <sz val="10"/>
        <color indexed="10"/>
        <rFont val="Arial"/>
        <family val="2"/>
      </rPr>
      <t xml:space="preserve"> (Periodic Situation Reports) </t>
    </r>
    <r>
      <rPr>
        <sz val="10"/>
        <rFont val="Arial"/>
        <family val="2"/>
      </rPr>
      <t>provided.</t>
    </r>
  </si>
  <si>
    <r>
      <t xml:space="preserve">Hospital Update:  Generator fuel is running low in most medical facilities. Satellite phone batteries are wearing down and medical supplies are running low in ALL hospitals. The four </t>
    </r>
    <r>
      <rPr>
        <sz val="10"/>
        <color indexed="10"/>
        <rFont val="Arial"/>
        <family val="2"/>
      </rPr>
      <t>(Hospital)</t>
    </r>
    <r>
      <rPr>
        <sz val="10"/>
        <rFont val="Arial"/>
        <family val="2"/>
      </rPr>
      <t xml:space="preserve"> medical equipment cached </t>
    </r>
    <r>
      <rPr>
        <sz val="10"/>
        <color indexed="10"/>
        <rFont val="Arial"/>
        <family val="2"/>
      </rPr>
      <t>(Location)</t>
    </r>
    <r>
      <rPr>
        <sz val="10"/>
        <rFont val="Arial"/>
        <family val="2"/>
      </rPr>
      <t xml:space="preserve"> has been damaged and cannot be relied on; incomplete inventory makes gap analysis difficult. Need basic first aid supplies, as well as intravenous fluids, emergency room supplies, general hospital supplies. Expect supplies of most materials will run out in approximately </t>
    </r>
    <r>
      <rPr>
        <sz val="10"/>
        <color indexed="10"/>
        <rFont val="Arial"/>
        <family val="2"/>
      </rPr>
      <t xml:space="preserve">(#) </t>
    </r>
    <r>
      <rPr>
        <sz val="10"/>
        <rFont val="Arial"/>
        <family val="2"/>
      </rPr>
      <t>hours.</t>
    </r>
  </si>
  <si>
    <r>
      <t>DoD Inject 138:  See</t>
    </r>
    <r>
      <rPr>
        <sz val="10"/>
        <color indexed="10"/>
        <rFont val="Arial"/>
        <family val="2"/>
      </rPr>
      <t xml:space="preserve"> (Name) </t>
    </r>
    <r>
      <rPr>
        <sz val="10"/>
        <rFont val="Arial"/>
        <family val="2"/>
      </rPr>
      <t>for details and additional information.</t>
    </r>
  </si>
  <si>
    <r>
      <t xml:space="preserve">Form a Seaport Unified Command of key partners which may include but are not limited to: </t>
    </r>
    <r>
      <rPr>
        <sz val="10"/>
        <color indexed="10"/>
        <rFont val="Arial"/>
        <family val="2"/>
      </rPr>
      <t>(</t>
    </r>
    <r>
      <rPr>
        <sz val="10"/>
        <color indexed="10"/>
        <rFont val="Arial"/>
        <family val="2"/>
      </rPr>
      <t>U.S. Coast Guard [USCG]), FEMA, U.S. Department of Transportation [DOT])</t>
    </r>
    <r>
      <rPr>
        <sz val="10"/>
        <rFont val="Arial"/>
        <family val="2"/>
      </rPr>
      <t>,</t>
    </r>
    <r>
      <rPr>
        <sz val="10"/>
        <color indexed="10"/>
        <rFont val="Arial"/>
        <family val="2"/>
      </rPr>
      <t xml:space="preserve"> (Department of Transportation [DOT]) </t>
    </r>
    <r>
      <rPr>
        <sz val="10"/>
        <rFont val="Arial"/>
        <family val="2"/>
      </rPr>
      <t>Harbors,</t>
    </r>
    <r>
      <rPr>
        <sz val="10"/>
        <color indexed="10"/>
        <rFont val="Arial"/>
        <family val="2"/>
      </rPr>
      <t xml:space="preserve"> (Joint Task Force-Hurricane Day [JTF-HD]) (DoD)</t>
    </r>
    <r>
      <rPr>
        <sz val="10"/>
        <rFont val="Arial"/>
        <family val="2"/>
      </rPr>
      <t>,</t>
    </r>
    <r>
      <rPr>
        <sz val="10"/>
        <color indexed="10"/>
        <rFont val="Arial"/>
        <family val="2"/>
      </rPr>
      <t xml:space="preserve"> (Department of Health-Hospital Emergency Room [DOH HEER])</t>
    </r>
    <r>
      <rPr>
        <sz val="10"/>
        <rFont val="Arial"/>
        <family val="2"/>
      </rPr>
      <t>, to ensure continuity of port operations and decisionmaking.</t>
    </r>
  </si>
  <si>
    <t>Handout</t>
  </si>
  <si>
    <t>All</t>
  </si>
  <si>
    <r>
      <t>Weather Package</t>
    </r>
    <r>
      <rPr>
        <sz val="10"/>
        <color indexed="10"/>
        <rFont val="Arial"/>
        <family val="2"/>
      </rPr>
      <t xml:space="preserve"> (#):</t>
    </r>
    <r>
      <rPr>
        <sz val="10"/>
        <rFont val="Arial"/>
        <family val="2"/>
      </rPr>
      <t xml:space="preserve"> </t>
    </r>
    <r>
      <rPr>
        <sz val="10"/>
        <color indexed="10"/>
        <rFont val="Arial"/>
        <family val="2"/>
      </rPr>
      <t>(Month/Year) (Time)</t>
    </r>
    <r>
      <rPr>
        <sz val="10"/>
        <rFont val="Arial"/>
        <family val="2"/>
      </rPr>
      <t xml:space="preserve"> announce </t>
    </r>
    <r>
      <rPr>
        <sz val="10"/>
        <color indexed="10"/>
        <rFont val="Arial"/>
        <family val="2"/>
      </rPr>
      <t>(State)</t>
    </r>
    <r>
      <rPr>
        <sz val="10"/>
        <rFont val="Arial"/>
        <family val="2"/>
      </rPr>
      <t xml:space="preserve"> in </t>
    </r>
    <r>
      <rPr>
        <sz val="10"/>
        <color indexed="10"/>
        <rFont val="Arial"/>
        <family val="2"/>
      </rPr>
      <t xml:space="preserve">(percent) to (percent) </t>
    </r>
    <r>
      <rPr>
        <sz val="10"/>
        <rFont val="Arial"/>
        <family val="2"/>
      </rPr>
      <t xml:space="preserve">cone of uncertainty: predict </t>
    </r>
    <r>
      <rPr>
        <sz val="10"/>
        <color indexed="10"/>
        <rFont val="Arial"/>
        <family val="2"/>
      </rPr>
      <t>(Tropical Force [TF])</t>
    </r>
    <r>
      <rPr>
        <sz val="10"/>
        <rFont val="Arial"/>
        <family val="2"/>
      </rPr>
      <t xml:space="preserve"> winds at </t>
    </r>
    <r>
      <rPr>
        <sz val="10"/>
        <color indexed="10"/>
        <rFont val="Arial"/>
        <family val="2"/>
      </rPr>
      <t>(#)</t>
    </r>
    <r>
      <rPr>
        <sz val="10"/>
        <rFont val="Arial"/>
        <family val="2"/>
      </rPr>
      <t xml:space="preserve"> on </t>
    </r>
    <r>
      <rPr>
        <sz val="10"/>
        <color indexed="10"/>
        <rFont val="Arial"/>
        <family val="2"/>
      </rPr>
      <t>(Month/Year)</t>
    </r>
    <r>
      <rPr>
        <sz val="10"/>
        <rFont val="Arial"/>
        <family val="2"/>
      </rPr>
      <t>; forecast the below.</t>
    </r>
  </si>
  <si>
    <r>
      <t>Decision made to transition from</t>
    </r>
    <r>
      <rPr>
        <sz val="10"/>
        <color indexed="10"/>
        <rFont val="Arial"/>
        <family val="2"/>
      </rPr>
      <t xml:space="preserve"> (Operations P</t>
    </r>
    <r>
      <rPr>
        <sz val="10"/>
        <color indexed="10"/>
        <rFont val="Arial"/>
        <family val="2"/>
      </rPr>
      <t>lan [OPLAN])</t>
    </r>
    <r>
      <rPr>
        <sz val="10"/>
        <rFont val="Arial"/>
        <family val="2"/>
      </rPr>
      <t xml:space="preserve"> Phase 1B to 1C.</t>
    </r>
  </si>
  <si>
    <t>Expected Action:
- Initiate deployment of resources per the Operations Plan (OPLAN) and Execution Schedule.
- Coordinate prestaging of assets to quickly restart water distribution systems, power grid, fuel distribution, etc. postlandfall.</t>
  </si>
  <si>
    <r>
      <t>Initial assessment of tourist population reports</t>
    </r>
    <r>
      <rPr>
        <sz val="10"/>
        <color indexed="10"/>
        <rFont val="Arial"/>
        <family val="2"/>
      </rPr>
      <t xml:space="preserve"> (#) </t>
    </r>
    <r>
      <rPr>
        <sz val="10"/>
        <rFont val="Arial"/>
        <family val="2"/>
      </rPr>
      <t xml:space="preserve">tourists in hotels on </t>
    </r>
    <r>
      <rPr>
        <sz val="10"/>
        <color indexed="10"/>
        <rFont val="Arial"/>
        <family val="2"/>
      </rPr>
      <t>(Location)</t>
    </r>
    <r>
      <rPr>
        <sz val="10"/>
        <rFont val="Arial"/>
        <family val="2"/>
      </rPr>
      <t xml:space="preserve"> </t>
    </r>
    <r>
      <rPr>
        <sz val="10"/>
        <color indexed="10"/>
        <rFont val="Arial"/>
        <family val="2"/>
      </rPr>
      <t>(#) percent</t>
    </r>
    <r>
      <rPr>
        <sz val="10"/>
        <rFont val="Arial"/>
        <family val="2"/>
      </rPr>
      <t xml:space="preserve"> of hotels are without emergency power for elevators. </t>
    </r>
    <r>
      <rPr>
        <sz val="10"/>
        <color indexed="10"/>
        <rFont val="Arial"/>
        <family val="2"/>
      </rPr>
      <t>(#)</t>
    </r>
    <r>
      <rPr>
        <sz val="10"/>
        <rFont val="Arial"/>
        <family val="2"/>
      </rPr>
      <t xml:space="preserve"> tourists are special needs. Request generator support for elevators.</t>
    </r>
  </si>
  <si>
    <r>
      <t xml:space="preserve">This is </t>
    </r>
    <r>
      <rPr>
        <sz val="10"/>
        <color indexed="10"/>
        <rFont val="Arial"/>
        <family val="2"/>
      </rPr>
      <t>(City/County/State Emergency Management Agency)</t>
    </r>
    <r>
      <rPr>
        <sz val="10"/>
        <rFont val="Arial"/>
        <family val="2"/>
      </rPr>
      <t xml:space="preserve"> . When can we expect the </t>
    </r>
    <r>
      <rPr>
        <sz val="10"/>
        <color indexed="10"/>
        <rFont val="Arial"/>
        <family val="2"/>
      </rPr>
      <t>(Location)</t>
    </r>
    <r>
      <rPr>
        <sz val="10"/>
        <rFont val="Arial"/>
        <family val="2"/>
      </rPr>
      <t xml:space="preserve"> to be operational so that we can receive fuel and supplies?</t>
    </r>
  </si>
  <si>
    <r>
      <rPr>
        <sz val="10"/>
        <color indexed="10"/>
        <rFont val="Arial"/>
        <family val="2"/>
      </rPr>
      <t>(Company Name)</t>
    </r>
    <r>
      <rPr>
        <sz val="10"/>
        <rFont val="Arial"/>
        <family val="2"/>
      </rPr>
      <t xml:space="preserve"> barges and </t>
    </r>
    <r>
      <rPr>
        <sz val="10"/>
        <color indexed="10"/>
        <rFont val="Arial"/>
        <family val="2"/>
      </rPr>
      <t>(State)</t>
    </r>
    <r>
      <rPr>
        <sz val="10"/>
        <rFont val="Arial"/>
        <family val="2"/>
      </rPr>
      <t xml:space="preserve">Tug and Barge were generally successful in conducting storm evasion, but the following barges were damaged: </t>
    </r>
    <r>
      <rPr>
        <sz val="10"/>
        <color indexed="10"/>
        <rFont val="Arial"/>
        <family val="2"/>
      </rPr>
      <t>(Location)</t>
    </r>
    <r>
      <rPr>
        <sz val="10"/>
        <rFont val="Arial"/>
        <family val="2"/>
      </rPr>
      <t xml:space="preserve"> </t>
    </r>
    <r>
      <rPr>
        <sz val="10"/>
        <color indexed="10"/>
        <rFont val="Arial"/>
        <family val="2"/>
      </rPr>
      <t>(</t>
    </r>
    <r>
      <rPr>
        <sz val="10"/>
        <color indexed="10"/>
        <rFont val="Arial"/>
        <family val="2"/>
      </rPr>
      <t>#-ton barge</t>
    </r>
    <r>
      <rPr>
        <sz val="10"/>
        <rFont val="Arial"/>
        <family val="2"/>
      </rPr>
      <t xml:space="preserve">), </t>
    </r>
    <r>
      <rPr>
        <sz val="10"/>
        <color indexed="10"/>
        <rFont val="Arial"/>
        <family val="2"/>
      </rPr>
      <t>(Location)</t>
    </r>
    <r>
      <rPr>
        <sz val="10"/>
        <rFont val="Arial"/>
        <family val="2"/>
      </rPr>
      <t xml:space="preserve"> </t>
    </r>
    <r>
      <rPr>
        <sz val="10"/>
        <color indexed="10"/>
        <rFont val="Arial"/>
        <family val="2"/>
      </rPr>
      <t>(#-ton barge),</t>
    </r>
    <r>
      <rPr>
        <sz val="10"/>
        <rFont val="Arial"/>
        <family val="2"/>
      </rPr>
      <t xml:space="preserve"> </t>
    </r>
    <r>
      <rPr>
        <sz val="10"/>
        <color indexed="10"/>
        <rFont val="Arial"/>
        <family val="2"/>
      </rPr>
      <t>(Location)</t>
    </r>
    <r>
      <rPr>
        <sz val="10"/>
        <rFont val="Arial"/>
        <family val="2"/>
      </rPr>
      <t xml:space="preserve"> </t>
    </r>
    <r>
      <rPr>
        <sz val="10"/>
        <color indexed="10"/>
        <rFont val="Arial"/>
        <family val="2"/>
      </rPr>
      <t>(#-ton barge)</t>
    </r>
    <r>
      <rPr>
        <sz val="10"/>
        <rFont val="Arial"/>
        <family val="2"/>
      </rPr>
      <t>.</t>
    </r>
  </si>
  <si>
    <r>
      <t xml:space="preserve">(#) </t>
    </r>
    <r>
      <rPr>
        <sz val="10"/>
        <rFont val="Arial"/>
        <family val="2"/>
      </rPr>
      <t xml:space="preserve">power poles and </t>
    </r>
    <r>
      <rPr>
        <sz val="10"/>
        <color indexed="10"/>
        <rFont val="Arial"/>
        <family val="2"/>
      </rPr>
      <t xml:space="preserve">(#) </t>
    </r>
    <r>
      <rPr>
        <sz val="10"/>
        <rFont val="Arial"/>
        <family val="2"/>
      </rPr>
      <t xml:space="preserve">cherry pickers arrive at </t>
    </r>
    <r>
      <rPr>
        <sz val="10"/>
        <color indexed="10"/>
        <rFont val="Arial"/>
        <family val="2"/>
      </rPr>
      <t>(Location)</t>
    </r>
    <r>
      <rPr>
        <sz val="10"/>
        <rFont val="Arial"/>
        <family val="2"/>
      </rPr>
      <t xml:space="preserve">. </t>
    </r>
    <r>
      <rPr>
        <sz val="10"/>
        <color indexed="10"/>
        <rFont val="Arial"/>
        <family val="2"/>
      </rPr>
      <t xml:space="preserve"> (Electric Company)</t>
    </r>
    <r>
      <rPr>
        <sz val="10"/>
        <rFont val="Arial"/>
        <family val="2"/>
      </rPr>
      <t xml:space="preserve"> requests assistance in getting supplies to </t>
    </r>
    <r>
      <rPr>
        <sz val="10"/>
        <color indexed="10"/>
        <rFont val="Arial"/>
        <family val="2"/>
      </rPr>
      <t xml:space="preserve">(City). </t>
    </r>
  </si>
  <si>
    <t>J2 provided current PIR, Collection Plan, Report Formats, and reporting requirements to each TF.</t>
  </si>
  <si>
    <t>RFI to lay baseline reporting requirements of each TF, time reports are due to the J2…</t>
  </si>
  <si>
    <t xml:space="preserve">On 01 May, 0400 HRS CDT, The National Hurricane Center issues Tropical Depression Advisory "One".  Current Location 14.5 N 74.1 W Max Sustained Wind 30mph  </t>
  </si>
  <si>
    <t>Tropical Depression One Forms</t>
  </si>
  <si>
    <t>Tropical Storm Al Update 2</t>
  </si>
  <si>
    <t>Tropical Storm Al Update 3</t>
  </si>
  <si>
    <t>Tropical Storm Al Update 4</t>
  </si>
  <si>
    <t>Tropical Storm Al Update 5</t>
  </si>
  <si>
    <t>Tropical Storm Al Update 6</t>
  </si>
  <si>
    <t>Tropical Storm Al Update 7</t>
  </si>
  <si>
    <t>Tropical Storm Al Update 8</t>
  </si>
  <si>
    <t>Tropical Storm Al Update 9</t>
  </si>
  <si>
    <t>Tropical Storm Al Update 10</t>
  </si>
  <si>
    <t>Tropical Storm Al Update 11</t>
  </si>
  <si>
    <t>Tropical Storm Al Update 12</t>
  </si>
  <si>
    <t>Tropical Storm Al Update 13</t>
  </si>
  <si>
    <t>Tropical Storm Al Update 14</t>
  </si>
  <si>
    <t>Tropical Storm Al Update 15</t>
  </si>
  <si>
    <t>Tropical Storm Al Update 16</t>
  </si>
  <si>
    <t>Tropical Storm Al Update 17</t>
  </si>
  <si>
    <t>Tropical Storm Al Update 18</t>
  </si>
  <si>
    <t>Tropical Storm Al Update 19</t>
  </si>
  <si>
    <t>Tropical Storm Al Update 20</t>
  </si>
  <si>
    <t>Tropical Storm Al Update 21</t>
  </si>
  <si>
    <t>Tropical Storm Al Update 22</t>
  </si>
  <si>
    <t>Tropical Storm Al Update 23</t>
  </si>
  <si>
    <r>
      <t xml:space="preserve">A joint basis with </t>
    </r>
    <r>
      <rPr>
        <sz val="10"/>
        <color indexed="10"/>
        <rFont val="Arial"/>
        <family val="2"/>
      </rPr>
      <t xml:space="preserve">(State Coordinating Officer), </t>
    </r>
    <r>
      <rPr>
        <sz val="10"/>
        <rFont val="Arial"/>
        <family val="2"/>
      </rPr>
      <t xml:space="preserve">Federal Emergency Management Agency (FEMA) </t>
    </r>
    <r>
      <rPr>
        <sz val="10"/>
        <color indexed="10"/>
        <rFont val="Arial"/>
        <family val="2"/>
      </rPr>
      <t>(Region #)</t>
    </r>
    <r>
      <rPr>
        <sz val="10"/>
        <rFont val="Arial"/>
        <family val="2"/>
      </rPr>
      <t xml:space="preserve">, FEMA Regional Response Coordination Center (RRCC) and </t>
    </r>
    <r>
      <rPr>
        <sz val="10"/>
        <color indexed="10"/>
        <rFont val="Arial"/>
        <family val="2"/>
      </rPr>
      <t>(</t>
    </r>
    <r>
      <rPr>
        <sz val="10"/>
        <color indexed="10"/>
        <rFont val="Arial"/>
        <family val="2"/>
      </rPr>
      <t xml:space="preserve">Appropriate Military Command) </t>
    </r>
    <r>
      <rPr>
        <sz val="10"/>
        <rFont val="Arial"/>
        <family val="2"/>
      </rPr>
      <t xml:space="preserve">(via the </t>
    </r>
    <r>
      <rPr>
        <sz val="10"/>
        <color indexed="10"/>
        <rFont val="Arial"/>
        <family val="2"/>
      </rPr>
      <t>[</t>
    </r>
    <r>
      <rPr>
        <sz val="10"/>
        <color indexed="10"/>
        <rFont val="Arial"/>
        <family val="2"/>
      </rPr>
      <t>Defense Coordinating Office]</t>
    </r>
    <r>
      <rPr>
        <sz val="10"/>
        <rFont val="Arial"/>
        <family val="2"/>
      </rPr>
      <t xml:space="preserve">). Crisis action planning will focus on vulnerabilities and resource availability. Crisis action planning will result in a </t>
    </r>
    <r>
      <rPr>
        <sz val="10"/>
        <color indexed="10"/>
        <rFont val="Arial"/>
        <family val="2"/>
      </rPr>
      <t>(State Coordinating Officer)</t>
    </r>
    <r>
      <rPr>
        <sz val="10"/>
        <rFont val="Arial"/>
        <family val="2"/>
      </rPr>
      <t xml:space="preserve">/FEMA </t>
    </r>
    <r>
      <rPr>
        <sz val="10"/>
        <color indexed="10"/>
        <rFont val="Arial"/>
        <family val="2"/>
      </rPr>
      <t xml:space="preserve">(Region #) </t>
    </r>
    <r>
      <rPr>
        <sz val="10"/>
        <rFont val="Arial"/>
        <family val="2"/>
      </rPr>
      <t xml:space="preserve">Planning Order. Begin incident-specific operational planning. </t>
    </r>
  </si>
  <si>
    <t>Phone</t>
  </si>
  <si>
    <r>
      <t xml:space="preserve">SimCell </t>
    </r>
    <r>
      <rPr>
        <sz val="10"/>
        <color indexed="10"/>
        <rFont val="Arial"/>
        <family val="2"/>
      </rPr>
      <t>(City/County)</t>
    </r>
  </si>
  <si>
    <t>Emergency Support Function (ESF) 1</t>
  </si>
  <si>
    <r>
      <t xml:space="preserve">Department of Defense (DoD) Inject 20:  See </t>
    </r>
    <r>
      <rPr>
        <sz val="10"/>
        <color indexed="10"/>
        <rFont val="Arial"/>
        <family val="2"/>
      </rPr>
      <t>(Name)</t>
    </r>
    <r>
      <rPr>
        <sz val="10"/>
        <rFont val="Arial"/>
        <family val="2"/>
      </rPr>
      <t xml:space="preserve"> for details and additional information.</t>
    </r>
  </si>
  <si>
    <t>Locals request field storage containers be transported to designated locations to augment fuel storage capability at essential sites.</t>
  </si>
  <si>
    <t>(Insert Inject Mode)</t>
  </si>
  <si>
    <t>Control</t>
  </si>
  <si>
    <t>1, 5</t>
  </si>
  <si>
    <r>
      <t xml:space="preserve">(Location) </t>
    </r>
    <r>
      <rPr>
        <sz val="10"/>
        <rFont val="Arial"/>
        <family val="2"/>
      </rPr>
      <t>Community Correctional Center reports that they need correctional officers to backfill slots for employees who have not shown up for work.</t>
    </r>
  </si>
  <si>
    <t>We have volunteers helping with the debris cleanup, and several have sustained minor cuts and scrapes from the debris out here. They are a little concerned because they are not sure they remember the last time they had a tetanus shot. Is there somewhere to can go or someone who can come out and give us the shot so they can continue assisting?</t>
  </si>
  <si>
    <r>
      <t xml:space="preserve">Requests for medical support of </t>
    </r>
    <r>
      <rPr>
        <sz val="10"/>
        <color indexed="10"/>
        <rFont val="Arial"/>
        <family val="2"/>
      </rPr>
      <t>(ESF #)</t>
    </r>
    <r>
      <rPr>
        <sz val="10"/>
        <rFont val="Arial"/>
        <family val="2"/>
      </rPr>
      <t>, in LIST shelters. Many injuries have showed up looking for medical care. Certain shelters are not able to adequately assist the special needs persons that have arrived.</t>
    </r>
  </si>
  <si>
    <r>
      <t xml:space="preserve">Numerous power lines, telephone poles, and trees are down in sections from </t>
    </r>
    <r>
      <rPr>
        <sz val="10"/>
        <color indexed="10"/>
        <rFont val="Arial"/>
        <family val="2"/>
      </rPr>
      <t>(Location)</t>
    </r>
    <r>
      <rPr>
        <sz val="10"/>
        <rFont val="Arial"/>
        <family val="2"/>
      </rPr>
      <t xml:space="preserve">. </t>
    </r>
    <r>
      <rPr>
        <sz val="10"/>
        <color indexed="10"/>
        <rFont val="Arial"/>
        <family val="2"/>
      </rPr>
      <t xml:space="preserve"> (Electric Company) </t>
    </r>
    <r>
      <rPr>
        <sz val="10"/>
        <rFont val="Arial"/>
        <family val="2"/>
      </rPr>
      <t xml:space="preserve">is overwhelmed. Need additional electrical repair crews.  </t>
    </r>
  </si>
  <si>
    <t>ESF 1 will coordinate with Department of Transportation to take appropriate actions to address situation.</t>
  </si>
  <si>
    <r>
      <t xml:space="preserve">This is the </t>
    </r>
    <r>
      <rPr>
        <sz val="10"/>
        <color indexed="10"/>
        <rFont val="Arial"/>
        <family val="2"/>
      </rPr>
      <t xml:space="preserve">(Name) </t>
    </r>
    <r>
      <rPr>
        <sz val="10"/>
        <rFont val="Arial"/>
        <family val="2"/>
      </rPr>
      <t xml:space="preserve"> from </t>
    </r>
    <r>
      <rPr>
        <sz val="10"/>
        <color indexed="10"/>
        <rFont val="Arial"/>
        <family val="2"/>
      </rPr>
      <t>(</t>
    </r>
    <r>
      <rPr>
        <sz val="10"/>
        <color indexed="10"/>
        <rFont val="Arial"/>
        <family val="2"/>
      </rPr>
      <t>City/County/State Emergency Management Agency),</t>
    </r>
    <r>
      <rPr>
        <sz val="10"/>
        <rFont val="Arial"/>
        <family val="2"/>
      </rPr>
      <t xml:space="preserve"> we need assistance to address the major rockslide caused by heavy rain that’s blocking  </t>
    </r>
    <r>
      <rPr>
        <sz val="10"/>
        <color indexed="10"/>
        <rFont val="Arial"/>
        <family val="2"/>
      </rPr>
      <t>(Highway)</t>
    </r>
    <r>
      <rPr>
        <sz val="10"/>
        <rFont val="Arial"/>
        <family val="2"/>
      </rPr>
      <t xml:space="preserve"> and cutting off traffic to the </t>
    </r>
    <r>
      <rPr>
        <sz val="10"/>
        <color indexed="10"/>
        <rFont val="Arial"/>
        <family val="2"/>
      </rPr>
      <t>(Location) from (Location)</t>
    </r>
    <r>
      <rPr>
        <sz val="10"/>
        <rFont val="Arial"/>
        <family val="2"/>
      </rPr>
      <t xml:space="preserve">.  </t>
    </r>
  </si>
  <si>
    <t>SUBJECT</t>
  </si>
  <si>
    <t>INJECTED BY</t>
  </si>
  <si>
    <t>STORYLINE/THREAD</t>
  </si>
  <si>
    <t>INJECT MODE</t>
  </si>
  <si>
    <t>SEND FROM (Simulated)</t>
  </si>
  <si>
    <t>SEND TO</t>
  </si>
  <si>
    <t>IMPLEMENTER (Actual Narrative)</t>
  </si>
  <si>
    <t>BACKGROUND INFORMATION</t>
  </si>
  <si>
    <t>Master Scenario Events List (MSEL)</t>
  </si>
  <si>
    <t>ESF</t>
  </si>
  <si>
    <t>DESCRIPTION</t>
  </si>
  <si>
    <t>EXPECTED ACTION</t>
  </si>
  <si>
    <t>NOTES/REMARKS</t>
  </si>
  <si>
    <t>MSEL NUMBER</t>
  </si>
  <si>
    <t>Hurricane Scenario</t>
  </si>
  <si>
    <t>5, 15</t>
  </si>
  <si>
    <t>DATE</t>
  </si>
  <si>
    <t>Email</t>
  </si>
  <si>
    <t>JOC, All</t>
  </si>
  <si>
    <t>Keane</t>
  </si>
  <si>
    <t>Inject Author</t>
  </si>
  <si>
    <t>Simcell - National Hurricane Center</t>
  </si>
  <si>
    <t>RFI</t>
  </si>
  <si>
    <t>Each Task Force</t>
  </si>
  <si>
    <t>TF S2</t>
  </si>
  <si>
    <t>JOC, J2</t>
  </si>
  <si>
    <t>Weather Update/Storm Track</t>
  </si>
  <si>
    <t>J2 Provides latest Weather and Storm Track to the TFs</t>
  </si>
  <si>
    <t>Weather RFI from Task Force to J2</t>
  </si>
  <si>
    <t>Houlton</t>
  </si>
  <si>
    <t>RFI for PIR, Collection Plan, Report Formats, and reporting requirements</t>
  </si>
  <si>
    <r>
      <t xml:space="preserve">Numerous small hazardous material spills from flooded household materials and orphaned containers have been reported/observed by first responders in </t>
    </r>
    <r>
      <rPr>
        <sz val="10"/>
        <color indexed="10"/>
        <rFont val="Arial"/>
        <family val="2"/>
      </rPr>
      <t>(Location).</t>
    </r>
    <r>
      <rPr>
        <sz val="10"/>
        <rFont val="Arial"/>
        <family val="2"/>
      </rPr>
      <t xml:space="preserve"> Need HazMat team to recover those materials presenting high health risk. </t>
    </r>
  </si>
  <si>
    <r>
      <t xml:space="preserve">Shelter Update: The following shelters have reported some minor damage and injuries; however, they are still able to hold evacuees: </t>
    </r>
    <r>
      <rPr>
        <sz val="10"/>
        <color indexed="10"/>
        <rFont val="Arial"/>
        <family val="2"/>
      </rPr>
      <t xml:space="preserve">(University) </t>
    </r>
    <r>
      <rPr>
        <sz val="10"/>
        <rFont val="Arial"/>
        <family val="2"/>
      </rPr>
      <t xml:space="preserve">and </t>
    </r>
    <r>
      <rPr>
        <sz val="10"/>
        <color indexed="10"/>
        <rFont val="Arial"/>
        <family val="2"/>
      </rPr>
      <t>(High School)</t>
    </r>
    <r>
      <rPr>
        <sz val="10"/>
        <rFont val="Arial"/>
        <family val="2"/>
      </rPr>
      <t>.</t>
    </r>
  </si>
  <si>
    <r>
      <t>SimCell</t>
    </r>
    <r>
      <rPr>
        <sz val="10"/>
        <color indexed="10"/>
        <rFont val="Arial"/>
        <family val="2"/>
      </rPr>
      <t xml:space="preserve"> (Utilities)</t>
    </r>
  </si>
  <si>
    <r>
      <t>(Radio)</t>
    </r>
    <r>
      <rPr>
        <sz val="10"/>
        <rFont val="Arial"/>
        <family val="2"/>
      </rPr>
      <t xml:space="preserve"> Transmitting Facility was damaged by high winds. </t>
    </r>
    <r>
      <rPr>
        <sz val="10"/>
        <color indexed="10"/>
        <rFont val="Arial"/>
        <family val="2"/>
      </rPr>
      <t>(Radio Station #)</t>
    </r>
    <r>
      <rPr>
        <sz val="10"/>
        <rFont val="Arial"/>
        <family val="2"/>
      </rPr>
      <t xml:space="preserve"> radio tower is toppled over, dented, and is not repairable.  Additionally, there are </t>
    </r>
    <r>
      <rPr>
        <sz val="10"/>
        <color indexed="10"/>
        <rFont val="Arial"/>
        <family val="2"/>
      </rPr>
      <t>(#)</t>
    </r>
    <r>
      <rPr>
        <sz val="10"/>
        <rFont val="Arial"/>
        <family val="2"/>
      </rPr>
      <t xml:space="preserve"> cell sites down in </t>
    </r>
    <r>
      <rPr>
        <sz val="10"/>
        <color indexed="10"/>
        <rFont val="Arial"/>
        <family val="2"/>
      </rPr>
      <t>(Location)</t>
    </r>
    <r>
      <rPr>
        <sz val="10"/>
        <rFont val="Arial"/>
        <family val="2"/>
      </rPr>
      <t xml:space="preserve">.   </t>
    </r>
    <r>
      <rPr>
        <sz val="10"/>
        <color indexed="10"/>
        <rFont val="Arial"/>
        <family val="2"/>
      </rPr>
      <t>(Communications Company)</t>
    </r>
    <r>
      <rPr>
        <sz val="10"/>
        <rFont val="Arial"/>
        <family val="2"/>
      </rPr>
      <t xml:space="preserve"> requests debris removal on route to all cell sites, and fuel service for generators. </t>
    </r>
  </si>
  <si>
    <t>8, 11</t>
  </si>
  <si>
    <r>
      <t>DoD Inject 130:  See</t>
    </r>
    <r>
      <rPr>
        <sz val="10"/>
        <color indexed="40"/>
        <rFont val="Arial"/>
        <family val="2"/>
      </rPr>
      <t xml:space="preserve"> </t>
    </r>
    <r>
      <rPr>
        <sz val="10"/>
        <color indexed="10"/>
        <rFont val="Arial"/>
        <family val="2"/>
      </rPr>
      <t xml:space="preserve">(Name) </t>
    </r>
    <r>
      <rPr>
        <sz val="10"/>
        <rFont val="Arial"/>
        <family val="2"/>
      </rPr>
      <t>for details and additional information.</t>
    </r>
  </si>
  <si>
    <r>
      <t>Local officials request the spraying of pesticides to control the mosquito population. Flooding has left many areas prime for mosquitoes to breed, and there is a fear of mosquitoes passing diseases with the increased standing water. Local authorities and companies who normally spray need assistance to cover all the areas in</t>
    </r>
    <r>
      <rPr>
        <sz val="10"/>
        <color indexed="10"/>
        <rFont val="Arial"/>
        <family val="2"/>
      </rPr>
      <t xml:space="preserve"> (Location)</t>
    </r>
    <r>
      <rPr>
        <sz val="10"/>
        <rFont val="Arial"/>
        <family val="2"/>
      </rPr>
      <t>.</t>
    </r>
  </si>
  <si>
    <t>SitRep-type document outlining status of response efforts, shelter status, fire/ems/search and rescue, transportation, debris clearance status, health/medical, HazMat, utility updates.</t>
  </si>
  <si>
    <r>
      <t xml:space="preserve">Fuel task force assigned responsibility. Potential tasks for </t>
    </r>
    <r>
      <rPr>
        <sz val="10"/>
        <color indexed="10"/>
        <rFont val="Arial"/>
        <family val="2"/>
      </rPr>
      <t xml:space="preserve">(Defense Logistics Agency) </t>
    </r>
    <r>
      <rPr>
        <sz val="10"/>
        <rFont val="Arial"/>
        <family val="2"/>
      </rPr>
      <t xml:space="preserve">and </t>
    </r>
    <r>
      <rPr>
        <sz val="10"/>
        <color indexed="10"/>
        <rFont val="Arial"/>
        <family val="2"/>
      </rPr>
      <t>(General Services Administration)</t>
    </r>
    <r>
      <rPr>
        <sz val="10"/>
        <rFont val="Arial"/>
        <family val="2"/>
      </rPr>
      <t>.</t>
    </r>
  </si>
  <si>
    <t xml:space="preserve">Fuel demand for hospital generators outweighs supply.  Need to prioritize deliveries.  </t>
  </si>
  <si>
    <r>
      <t>(President of the United Sta</t>
    </r>
    <r>
      <rPr>
        <sz val="10"/>
        <color indexed="10"/>
        <rFont val="Arial"/>
        <family val="2"/>
      </rPr>
      <t>tes [POTUS])</t>
    </r>
    <r>
      <rPr>
        <sz val="10"/>
        <rFont val="Arial"/>
        <family val="2"/>
      </rPr>
      <t xml:space="preserve"> plans to visit</t>
    </r>
    <r>
      <rPr>
        <sz val="10"/>
        <color indexed="10"/>
        <rFont val="Arial"/>
        <family val="2"/>
      </rPr>
      <t xml:space="preserve"> (Location) </t>
    </r>
    <r>
      <rPr>
        <sz val="10"/>
        <rFont val="Arial"/>
        <family val="2"/>
      </rPr>
      <t>to ensure FEMA is meeting obligations.</t>
    </r>
  </si>
  <si>
    <t>Coordinate to provide requested resource.</t>
  </si>
  <si>
    <r>
      <t>This is the Shelter Manager at the</t>
    </r>
    <r>
      <rPr>
        <sz val="10"/>
        <color indexed="10"/>
        <rFont val="Arial"/>
        <family val="2"/>
      </rPr>
      <t xml:space="preserve"> (shelter)</t>
    </r>
    <r>
      <rPr>
        <sz val="10"/>
        <rFont val="Arial"/>
        <family val="2"/>
      </rPr>
      <t>. Our shelter as well as other shelters on the</t>
    </r>
    <r>
      <rPr>
        <sz val="10"/>
        <color indexed="10"/>
        <rFont val="Arial"/>
        <family val="2"/>
      </rPr>
      <t xml:space="preserve"> (Location)</t>
    </r>
    <r>
      <rPr>
        <sz val="10"/>
        <rFont val="Arial"/>
        <family val="2"/>
      </rPr>
      <t xml:space="preserve"> need any available nurses to provide adequate medical support services.</t>
    </r>
  </si>
  <si>
    <r>
      <t xml:space="preserve">Port Update:
- Service lines for supplying fresh and salt water and compressed air located at Pier </t>
    </r>
    <r>
      <rPr>
        <sz val="10"/>
        <color indexed="10"/>
        <rFont val="Arial"/>
        <family val="2"/>
      </rPr>
      <t>(#)</t>
    </r>
    <r>
      <rPr>
        <sz val="10"/>
        <rFont val="Arial"/>
        <family val="2"/>
      </rPr>
      <t xml:space="preserve"> have sustained an unknown amount of damage and must be surveyed before returning to operation.
- </t>
    </r>
    <r>
      <rPr>
        <sz val="10"/>
        <color indexed="10"/>
        <rFont val="Arial"/>
        <family val="2"/>
      </rPr>
      <t>(Company)</t>
    </r>
    <r>
      <rPr>
        <sz val="10"/>
        <rFont val="Arial"/>
        <family val="2"/>
      </rPr>
      <t xml:space="preserve"> reports that several of their wheeled, ground, and refrigerated containers originally located on the Pier </t>
    </r>
    <r>
      <rPr>
        <sz val="10"/>
        <color indexed="10"/>
        <rFont val="Arial"/>
        <family val="2"/>
      </rPr>
      <t xml:space="preserve">(#) </t>
    </r>
    <r>
      <rPr>
        <sz val="10"/>
        <rFont val="Arial"/>
        <family val="2"/>
      </rPr>
      <t>have been displaced and several are now floating or sunk in the harbor.   
- The fish handling supplies have been lost, disabling the capabilities of Piers</t>
    </r>
    <r>
      <rPr>
        <sz val="10"/>
        <color indexed="10"/>
        <rFont val="Arial"/>
        <family val="2"/>
      </rPr>
      <t xml:space="preserve"> (#)</t>
    </r>
    <r>
      <rPr>
        <sz val="10"/>
        <rFont val="Arial"/>
        <family val="2"/>
      </rPr>
      <t xml:space="preserve"> to operate. Pier </t>
    </r>
    <r>
      <rPr>
        <sz val="10"/>
        <color indexed="10"/>
        <rFont val="Arial"/>
        <family val="2"/>
      </rPr>
      <t>(#)</t>
    </r>
    <r>
      <rPr>
        <sz val="10"/>
        <rFont val="Arial"/>
        <family val="2"/>
      </rPr>
      <t xml:space="preserve"> has suffered structural damage and is leaning into the harbor. Mudslides at the rear of Pier</t>
    </r>
    <r>
      <rPr>
        <sz val="10"/>
        <color indexed="10"/>
        <rFont val="Arial"/>
        <family val="2"/>
      </rPr>
      <t xml:space="preserve"> (#)</t>
    </r>
    <r>
      <rPr>
        <sz val="10"/>
        <rFont val="Arial"/>
        <family val="2"/>
      </rPr>
      <t xml:space="preserve"> have blocked a lane of the </t>
    </r>
    <r>
      <rPr>
        <sz val="10"/>
        <color indexed="10"/>
        <rFont val="Arial"/>
        <family val="2"/>
      </rPr>
      <t>(Highway).</t>
    </r>
    <r>
      <rPr>
        <sz val="10"/>
        <rFont val="Arial"/>
        <family val="2"/>
      </rPr>
      <t xml:space="preserve">
- At Pier</t>
    </r>
    <r>
      <rPr>
        <sz val="10"/>
        <color indexed="10"/>
        <rFont val="Arial"/>
        <family val="2"/>
      </rPr>
      <t xml:space="preserve"> (#) </t>
    </r>
    <r>
      <rPr>
        <sz val="10"/>
        <rFont val="Arial"/>
        <family val="2"/>
      </rPr>
      <t>lumber, automobiles, and other miscellaneous items are blocking access to the piers. Loading and offloading equipment has been significantly damaged. A neighboring structure was on fire, and the remains of the structure are still smoldering.
- At Pier</t>
    </r>
    <r>
      <rPr>
        <sz val="10"/>
        <color indexed="10"/>
        <rFont val="Arial"/>
        <family val="2"/>
      </rPr>
      <t xml:space="preserve"> (#),</t>
    </r>
    <r>
      <rPr>
        <sz val="10"/>
        <rFont val="Arial"/>
        <family val="2"/>
      </rPr>
      <t xml:space="preserve"> vegetative debris and damaged trucks are blocking the transfer rails for the marine railway.
- Cargo containers have been knocked off their stacks at the </t>
    </r>
    <r>
      <rPr>
        <sz val="10"/>
        <color indexed="10"/>
        <rFont val="Arial"/>
        <family val="2"/>
      </rPr>
      <t>(Location)</t>
    </r>
    <r>
      <rPr>
        <sz val="10"/>
        <rFont val="Arial"/>
        <family val="2"/>
      </rPr>
      <t xml:space="preserve"> Container Terminal and will need to be restacked.</t>
    </r>
  </si>
  <si>
    <r>
      <t xml:space="preserve">The following shelters have reported they are still able to hold evacuees: </t>
    </r>
    <r>
      <rPr>
        <sz val="10"/>
        <color indexed="10"/>
        <rFont val="Arial"/>
        <family val="2"/>
      </rPr>
      <t>(High School)</t>
    </r>
    <r>
      <rPr>
        <sz val="10"/>
        <rFont val="Arial"/>
        <family val="2"/>
      </rPr>
      <t>.</t>
    </r>
  </si>
  <si>
    <t>ESF 11</t>
  </si>
  <si>
    <r>
      <t xml:space="preserve">Shipment of food arriving by air from </t>
    </r>
    <r>
      <rPr>
        <sz val="10"/>
        <color indexed="10"/>
        <rFont val="Arial"/>
        <family val="2"/>
      </rPr>
      <t>(</t>
    </r>
    <r>
      <rPr>
        <sz val="10"/>
        <color indexed="10"/>
        <rFont val="Arial"/>
        <family val="2"/>
      </rPr>
      <t>Country</t>
    </r>
    <r>
      <rPr>
        <sz val="10"/>
        <rFont val="Arial"/>
        <family val="2"/>
      </rPr>
      <t xml:space="preserve">) needs to know what coordination is needed to clear customs and </t>
    </r>
    <r>
      <rPr>
        <sz val="10"/>
        <color indexed="10"/>
        <rFont val="Arial"/>
        <family val="2"/>
      </rPr>
      <t>(United States Department of Agriculture [USDA])</t>
    </r>
    <r>
      <rPr>
        <sz val="10"/>
        <rFont val="Arial"/>
        <family val="2"/>
      </rPr>
      <t xml:space="preserve"> criteria.</t>
    </r>
  </si>
  <si>
    <r>
      <t>(Department of Health)</t>
    </r>
    <r>
      <rPr>
        <sz val="10"/>
        <rFont val="Arial"/>
        <family val="2"/>
      </rPr>
      <t xml:space="preserve"> provides information on avoiding contamination and water safety.</t>
    </r>
  </si>
  <si>
    <r>
      <t xml:space="preserve">Residents in </t>
    </r>
    <r>
      <rPr>
        <sz val="10"/>
        <color indexed="10"/>
        <rFont val="Arial"/>
        <family val="2"/>
      </rPr>
      <t>(Location)</t>
    </r>
    <r>
      <rPr>
        <sz val="10"/>
        <rFont val="Arial"/>
        <family val="2"/>
      </rPr>
      <t xml:space="preserve"> report the sewer is backed up and pouring out onto the street.  Request assistance on providing information to the public on what they should do if they see raw sewage backups.</t>
    </r>
  </si>
  <si>
    <t>ESF 17</t>
  </si>
  <si>
    <r>
      <t xml:space="preserve">(Hotel) </t>
    </r>
    <r>
      <rPr>
        <sz val="10"/>
        <rFont val="Arial"/>
        <family val="2"/>
      </rPr>
      <t>sustained damages to many units from flying debris. The rain also caused water damage to many of those units. The hotel is displacing over</t>
    </r>
    <r>
      <rPr>
        <sz val="10"/>
        <color indexed="10"/>
        <rFont val="Arial"/>
        <family val="2"/>
      </rPr>
      <t xml:space="preserve"> (#)</t>
    </r>
    <r>
      <rPr>
        <sz val="10"/>
        <rFont val="Arial"/>
        <family val="2"/>
      </rPr>
      <t xml:space="preserve"> tourists.</t>
    </r>
  </si>
  <si>
    <r>
      <t xml:space="preserve">A majority of the hotels in </t>
    </r>
    <r>
      <rPr>
        <sz val="10"/>
        <color indexed="10"/>
        <rFont val="Arial"/>
        <family val="2"/>
      </rPr>
      <t>(Location)</t>
    </r>
    <r>
      <rPr>
        <sz val="10"/>
        <rFont val="Arial"/>
        <family val="2"/>
      </rPr>
      <t xml:space="preserve"> are without power as their generators flooded. Guests are on the higher floors, but hotels do not have a way to feed all of the guests or provide water for another </t>
    </r>
    <r>
      <rPr>
        <sz val="10"/>
        <color indexed="10"/>
        <rFont val="Arial"/>
        <family val="2"/>
      </rPr>
      <t>(#)</t>
    </r>
    <r>
      <rPr>
        <sz val="10"/>
        <rFont val="Arial"/>
        <family val="2"/>
      </rPr>
      <t xml:space="preserve"> hours. First aid supplies are needed immediately. In addition, guests are getting anxious and want to contact their families to let them know they are okay. The guests would like to know how long until they can go home or what their options are for leaving </t>
    </r>
    <r>
      <rPr>
        <sz val="10"/>
        <color indexed="10"/>
        <rFont val="Arial"/>
        <family val="2"/>
      </rPr>
      <t>(Location)</t>
    </r>
    <r>
      <rPr>
        <sz val="10"/>
        <rFont val="Arial"/>
        <family val="2"/>
      </rPr>
      <t xml:space="preserve">. Can we send them to other </t>
    </r>
    <r>
      <rPr>
        <sz val="10"/>
        <color indexed="10"/>
        <rFont val="Arial"/>
        <family val="2"/>
      </rPr>
      <t>(Locations)</t>
    </r>
    <r>
      <rPr>
        <sz val="10"/>
        <rFont val="Arial"/>
        <family val="2"/>
      </rPr>
      <t>?  What other news should we provide them?</t>
    </r>
  </si>
  <si>
    <t>The shelters are beyond capacity. Where are the tents? We need some kind of cover for these people to sleep under.</t>
  </si>
  <si>
    <r>
      <t xml:space="preserve">Government of </t>
    </r>
    <r>
      <rPr>
        <sz val="10"/>
        <color indexed="10"/>
        <rFont val="Arial"/>
        <family val="2"/>
      </rPr>
      <t>(Country)</t>
    </r>
    <r>
      <rPr>
        <sz val="10"/>
        <rFont val="Arial"/>
        <family val="2"/>
      </rPr>
      <t xml:space="preserve"> offers to send (Country's) defense forces to assist with </t>
    </r>
    <r>
      <rPr>
        <sz val="10"/>
        <color indexed="10"/>
        <rFont val="Arial"/>
        <family val="2"/>
      </rPr>
      <t xml:space="preserve">(Search and Rescue [SAR]) </t>
    </r>
    <r>
      <rPr>
        <sz val="10"/>
        <rFont val="Arial"/>
        <family val="2"/>
      </rPr>
      <t xml:space="preserve">and disaster relief. </t>
    </r>
  </si>
  <si>
    <r>
      <t xml:space="preserve">DoD Inject 49:  See </t>
    </r>
    <r>
      <rPr>
        <sz val="10"/>
        <color indexed="10"/>
        <rFont val="Arial"/>
        <family val="2"/>
      </rPr>
      <t>(Name)</t>
    </r>
    <r>
      <rPr>
        <sz val="10"/>
        <rFont val="Arial"/>
        <family val="2"/>
      </rPr>
      <t xml:space="preserve"> for details and additional information.</t>
    </r>
  </si>
  <si>
    <r>
      <t xml:space="preserve">Locals are requesting support producing potable water at the rate of </t>
    </r>
    <r>
      <rPr>
        <sz val="10"/>
        <color indexed="10"/>
        <rFont val="Arial"/>
        <family val="2"/>
      </rPr>
      <t>(#)</t>
    </r>
    <r>
      <rPr>
        <sz val="10"/>
        <rFont val="Arial"/>
        <family val="2"/>
      </rPr>
      <t xml:space="preserve">-gallons/day in </t>
    </r>
    <r>
      <rPr>
        <sz val="10"/>
        <color indexed="10"/>
        <rFont val="Arial"/>
        <family val="2"/>
      </rPr>
      <t>(Location).</t>
    </r>
  </si>
  <si>
    <t>Provide information or a time for a briefing.</t>
  </si>
  <si>
    <r>
      <t xml:space="preserve">This is Deputy Chief of Staff </t>
    </r>
    <r>
      <rPr>
        <sz val="10"/>
        <color indexed="10"/>
        <rFont val="Arial"/>
        <family val="2"/>
      </rPr>
      <t>(Name)</t>
    </r>
    <r>
      <rPr>
        <sz val="10"/>
        <rFont val="Arial"/>
        <family val="2"/>
      </rPr>
      <t xml:space="preserve"> calling from the Office of the Governor. The Chief of staff would like to be briefed on what the status of the response is.</t>
    </r>
  </si>
  <si>
    <r>
      <t xml:space="preserve">What is the status of potable water staging?  How much do you anticipate we will have for each </t>
    </r>
    <r>
      <rPr>
        <sz val="10"/>
        <color indexed="10"/>
        <rFont val="Arial"/>
        <family val="2"/>
      </rPr>
      <t>(Point of Distribution [POD])</t>
    </r>
    <r>
      <rPr>
        <sz val="10"/>
        <rFont val="Arial"/>
        <family val="2"/>
      </rPr>
      <t xml:space="preserve">?  Have purifications units been requested?  </t>
    </r>
  </si>
  <si>
    <r>
      <t xml:space="preserve">SimCell </t>
    </r>
    <r>
      <rPr>
        <sz val="10"/>
        <color indexed="10"/>
        <rFont val="Arial"/>
        <family val="2"/>
      </rPr>
      <t>(Police Department)</t>
    </r>
  </si>
  <si>
    <r>
      <t xml:space="preserve">(City) </t>
    </r>
    <r>
      <rPr>
        <sz val="10"/>
        <rFont val="Arial"/>
        <family val="2"/>
      </rPr>
      <t xml:space="preserve">Police Department requests additional security or law enforcement assistance for the following: 
- Looting at the damaged Wal-Mart and other stores in </t>
    </r>
    <r>
      <rPr>
        <sz val="10"/>
        <color indexed="10"/>
        <rFont val="Arial"/>
        <family val="2"/>
      </rPr>
      <t>(Location).</t>
    </r>
    <r>
      <rPr>
        <sz val="10"/>
        <rFont val="Arial"/>
        <family val="2"/>
      </rPr>
      <t xml:space="preserve">
- Searching for </t>
    </r>
    <r>
      <rPr>
        <sz val="10"/>
        <color indexed="10"/>
        <rFont val="Arial"/>
        <family val="2"/>
      </rPr>
      <t>(#)</t>
    </r>
    <r>
      <rPr>
        <sz val="10"/>
        <rFont val="Arial"/>
        <family val="2"/>
      </rPr>
      <t xml:space="preserve"> inmates missing from the </t>
    </r>
    <r>
      <rPr>
        <sz val="10"/>
        <color indexed="10"/>
        <rFont val="Arial"/>
        <family val="2"/>
      </rPr>
      <t xml:space="preserve">(Location) </t>
    </r>
    <r>
      <rPr>
        <sz val="10"/>
        <rFont val="Arial"/>
        <family val="2"/>
      </rPr>
      <t xml:space="preserve">Community Correctional Center.
- Responding to the several reports have been received from shelters regarding assaults. </t>
    </r>
  </si>
  <si>
    <r>
      <t xml:space="preserve">This is </t>
    </r>
    <r>
      <rPr>
        <sz val="10"/>
        <color indexed="10"/>
        <rFont val="Arial"/>
        <family val="2"/>
      </rPr>
      <t>(City/County Emergency Management Agency).</t>
    </r>
    <r>
      <rPr>
        <sz val="10"/>
        <rFont val="Arial"/>
        <family val="2"/>
      </rPr>
      <t xml:space="preserve"> Do we have an idea of when we can obtain additional fuel since ships are unable to offload at the port? </t>
    </r>
  </si>
  <si>
    <t>Provide requested information or resources.</t>
  </si>
  <si>
    <r>
      <t xml:space="preserve">We have several people at the </t>
    </r>
    <r>
      <rPr>
        <sz val="10"/>
        <color indexed="10"/>
        <rFont val="Arial"/>
        <family val="2"/>
      </rPr>
      <t>(S</t>
    </r>
    <r>
      <rPr>
        <sz val="10"/>
        <color indexed="10"/>
        <rFont val="Arial"/>
        <family val="2"/>
      </rPr>
      <t>helter)</t>
    </r>
    <r>
      <rPr>
        <sz val="10"/>
        <rFont val="Arial"/>
        <family val="2"/>
      </rPr>
      <t xml:space="preserve"> who did not bring enough insulin to last more than</t>
    </r>
    <r>
      <rPr>
        <sz val="10"/>
        <color indexed="10"/>
        <rFont val="Arial"/>
        <family val="2"/>
      </rPr>
      <t xml:space="preserve"> (#) </t>
    </r>
    <r>
      <rPr>
        <sz val="10"/>
        <rFont val="Arial"/>
        <family val="2"/>
      </rPr>
      <t>days. We have none here to provide.  Can you send someone or tell me where we could go to get them help?</t>
    </r>
  </si>
  <si>
    <t>Where?  Prioritize?  Cross-reference.</t>
  </si>
  <si>
    <r>
      <t>(State)</t>
    </r>
    <r>
      <rPr>
        <sz val="10"/>
        <rFont val="Arial"/>
        <family val="2"/>
      </rPr>
      <t xml:space="preserve"> Board of Water Supply reports there is no significant damage to physical infrastructure.  However, the electric power outage requires generators to power the pumps.  There is critical need for </t>
    </r>
    <r>
      <rPr>
        <sz val="10"/>
        <color indexed="10"/>
        <rFont val="Arial"/>
        <family val="2"/>
      </rPr>
      <t xml:space="preserve">(#) </t>
    </r>
    <r>
      <rPr>
        <sz val="10"/>
        <rFont val="Arial"/>
        <family val="2"/>
      </rPr>
      <t xml:space="preserve">portable generators to be deployed, installed, and refueled on regular basis to keep power system operational.  </t>
    </r>
  </si>
  <si>
    <r>
      <t xml:space="preserve">(General Services Administration) </t>
    </r>
    <r>
      <rPr>
        <sz val="10"/>
        <rFont val="Arial"/>
        <family val="2"/>
      </rPr>
      <t>Inject.</t>
    </r>
  </si>
  <si>
    <r>
      <t xml:space="preserve">Request </t>
    </r>
    <r>
      <rPr>
        <sz val="10"/>
        <color indexed="10"/>
        <rFont val="Arial"/>
        <family val="2"/>
      </rPr>
      <t>(General Services Administration [GSA])</t>
    </r>
    <r>
      <rPr>
        <sz val="10"/>
        <rFont val="Arial"/>
        <family val="2"/>
      </rPr>
      <t xml:space="preserve"> to report status of Federal buildings in (</t>
    </r>
    <r>
      <rPr>
        <sz val="10"/>
        <color indexed="10"/>
        <rFont val="Arial"/>
        <family val="2"/>
      </rPr>
      <t xml:space="preserve">Location) </t>
    </r>
    <r>
      <rPr>
        <sz val="10"/>
        <rFont val="Arial"/>
        <family val="2"/>
      </rPr>
      <t xml:space="preserve">and the other </t>
    </r>
    <r>
      <rPr>
        <sz val="10"/>
        <color indexed="10"/>
        <rFont val="Arial"/>
        <family val="2"/>
      </rPr>
      <t>(Locations).</t>
    </r>
  </si>
  <si>
    <r>
      <t>(Boat)</t>
    </r>
    <r>
      <rPr>
        <sz val="10"/>
        <rFont val="Arial"/>
        <family val="2"/>
      </rPr>
      <t xml:space="preserve"> harbor is closed because of </t>
    </r>
    <r>
      <rPr>
        <sz val="10"/>
        <color indexed="10"/>
        <rFont val="Arial"/>
        <family val="2"/>
      </rPr>
      <t>(#)</t>
    </r>
    <r>
      <rPr>
        <sz val="10"/>
        <rFont val="Arial"/>
        <family val="2"/>
      </rPr>
      <t xml:space="preserve"> capsized boats and other floating and sunken debris in the water. Twenty-one boats are damaged, capsized, and aground at </t>
    </r>
    <r>
      <rPr>
        <sz val="10"/>
        <color indexed="10"/>
        <rFont val="Arial"/>
        <family val="2"/>
      </rPr>
      <t>(Location).</t>
    </r>
    <r>
      <rPr>
        <sz val="10"/>
        <rFont val="Arial"/>
        <family val="2"/>
      </rPr>
      <t xml:space="preserve"> Boat owners are requesting help in salvaging operations. The </t>
    </r>
    <r>
      <rPr>
        <sz val="10"/>
        <color indexed="10"/>
        <rFont val="Arial"/>
        <family val="2"/>
      </rPr>
      <t>(State)</t>
    </r>
    <r>
      <rPr>
        <sz val="10"/>
        <rFont val="Arial"/>
        <family val="2"/>
      </rPr>
      <t xml:space="preserve"> Yacht Club needs help clearing </t>
    </r>
    <r>
      <rPr>
        <sz val="10"/>
        <color indexed="10"/>
        <rFont val="Arial"/>
        <family val="2"/>
      </rPr>
      <t xml:space="preserve">(#) </t>
    </r>
    <r>
      <rPr>
        <sz val="10"/>
        <rFont val="Arial"/>
        <family val="2"/>
      </rPr>
      <t>berths that have sunken boats in them. Are there any public resources to help the private sector? Can we get assistance in handling influx of citizens coming into the harbor and wharves to check on property?</t>
    </r>
  </si>
  <si>
    <r>
      <t xml:space="preserve">Road Update: Debris Blocked: </t>
    </r>
    <r>
      <rPr>
        <sz val="10"/>
        <color indexed="10"/>
        <rFont val="Arial"/>
        <family val="2"/>
      </rPr>
      <t>(Freeway)</t>
    </r>
    <r>
      <rPr>
        <sz val="10"/>
        <rFont val="Arial"/>
        <family val="2"/>
      </rPr>
      <t xml:space="preserve"> by </t>
    </r>
    <r>
      <rPr>
        <sz val="10"/>
        <color indexed="10"/>
        <rFont val="Arial"/>
        <family val="2"/>
      </rPr>
      <t>(Location).</t>
    </r>
    <r>
      <rPr>
        <sz val="10"/>
        <rFont val="Arial"/>
        <family val="2"/>
      </rPr>
      <t xml:space="preserve"> Blocked:  Roads in </t>
    </r>
    <r>
      <rPr>
        <sz val="10"/>
        <color indexed="10"/>
        <rFont val="Arial"/>
        <family val="2"/>
      </rPr>
      <t>(Location)</t>
    </r>
    <r>
      <rPr>
        <sz val="10"/>
        <rFont val="Arial"/>
        <family val="2"/>
      </rPr>
      <t xml:space="preserve"> are impassible due to standing flood waters, sections of</t>
    </r>
    <r>
      <rPr>
        <sz val="10"/>
        <color indexed="10"/>
        <rFont val="Arial"/>
        <family val="2"/>
      </rPr>
      <t xml:space="preserve"> (Highway)</t>
    </r>
    <r>
      <rPr>
        <sz val="10"/>
        <rFont val="Arial"/>
        <family val="2"/>
      </rPr>
      <t xml:space="preserve"> from  are closed due to standing water and clogged storm drains.</t>
    </r>
  </si>
  <si>
    <r>
      <t xml:space="preserve">This is Dr. </t>
    </r>
    <r>
      <rPr>
        <sz val="10"/>
        <color indexed="10"/>
        <rFont val="Arial"/>
        <family val="2"/>
      </rPr>
      <t>(Name)</t>
    </r>
    <r>
      <rPr>
        <sz val="10"/>
        <rFont val="Arial"/>
        <family val="2"/>
      </rPr>
      <t xml:space="preserve"> with a request for assistance.  The </t>
    </r>
    <r>
      <rPr>
        <sz val="10"/>
        <color indexed="10"/>
        <rFont val="Arial"/>
        <family val="2"/>
      </rPr>
      <t xml:space="preserve">(City) </t>
    </r>
    <r>
      <rPr>
        <sz val="10"/>
        <rFont val="Arial"/>
        <family val="2"/>
      </rPr>
      <t xml:space="preserve">morgue is at capacity, and with a large number of deceased from </t>
    </r>
    <r>
      <rPr>
        <sz val="10"/>
        <color indexed="10"/>
        <rFont val="Arial"/>
        <family val="2"/>
      </rPr>
      <t xml:space="preserve">(Hurricane) </t>
    </r>
    <r>
      <rPr>
        <sz val="10"/>
        <rFont val="Arial"/>
        <family val="2"/>
      </rPr>
      <t>there is a need for</t>
    </r>
    <r>
      <rPr>
        <sz val="10"/>
        <color indexed="10"/>
        <rFont val="Arial"/>
        <family val="2"/>
      </rPr>
      <t xml:space="preserve"> (#) </t>
    </r>
    <r>
      <rPr>
        <sz val="10"/>
        <rFont val="Arial"/>
        <family val="2"/>
      </rPr>
      <t>refrigerated containers.</t>
    </r>
  </si>
  <si>
    <r>
      <t>Chevron tank farm at Pier</t>
    </r>
    <r>
      <rPr>
        <sz val="10"/>
        <color indexed="10"/>
        <rFont val="Arial"/>
        <family val="2"/>
      </rPr>
      <t xml:space="preserve"> (#)</t>
    </r>
    <r>
      <rPr>
        <sz val="10"/>
        <rFont val="Arial"/>
        <family val="2"/>
      </rPr>
      <t xml:space="preserve"> has several </t>
    </r>
    <r>
      <rPr>
        <sz val="10"/>
        <color indexed="10"/>
        <rFont val="Arial"/>
        <family val="2"/>
      </rPr>
      <t>(Size/#)</t>
    </r>
    <r>
      <rPr>
        <sz val="10"/>
        <rFont val="Arial"/>
        <family val="2"/>
      </rPr>
      <t xml:space="preserve">-gallon tanks shifted off their bases.  Contents have spilled into </t>
    </r>
    <r>
      <rPr>
        <sz val="10"/>
        <color indexed="10"/>
        <rFont val="Arial"/>
        <family val="2"/>
      </rPr>
      <t>(City)</t>
    </r>
    <r>
      <rPr>
        <sz val="10"/>
        <rFont val="Arial"/>
        <family val="2"/>
      </rPr>
      <t xml:space="preserve"> Harbor, and empty tanks are sitting on </t>
    </r>
    <r>
      <rPr>
        <sz val="10"/>
        <color indexed="10"/>
        <rFont val="Arial"/>
        <family val="2"/>
      </rPr>
      <t>(Highway)</t>
    </r>
    <r>
      <rPr>
        <sz val="10"/>
        <rFont val="Arial"/>
        <family val="2"/>
      </rPr>
      <t>.  The related oil spill will impact port restoration operations and will require immediate containment and cleanup.  The tanks contained diesel, Jet-A, and gasoline.</t>
    </r>
  </si>
  <si>
    <r>
      <t xml:space="preserve">Road Update: Flooding: </t>
    </r>
    <r>
      <rPr>
        <sz val="10"/>
        <color indexed="10"/>
        <rFont val="Arial"/>
        <family val="2"/>
      </rPr>
      <t>(Highway)</t>
    </r>
    <r>
      <rPr>
        <sz val="10"/>
        <rFont val="Arial"/>
        <family val="2"/>
      </rPr>
      <t xml:space="preserve"> near</t>
    </r>
    <r>
      <rPr>
        <sz val="10"/>
        <color indexed="10"/>
        <rFont val="Arial"/>
        <family val="2"/>
      </rPr>
      <t xml:space="preserve"> (Beach Park) </t>
    </r>
    <r>
      <rPr>
        <sz val="10"/>
        <rFont val="Arial"/>
        <family val="2"/>
      </rPr>
      <t xml:space="preserve">and between </t>
    </r>
    <r>
      <rPr>
        <sz val="10"/>
        <color indexed="10"/>
        <rFont val="Arial"/>
        <family val="2"/>
      </rPr>
      <t>(City)</t>
    </r>
    <r>
      <rPr>
        <sz val="10"/>
        <rFont val="Arial"/>
        <family val="2"/>
      </rPr>
      <t xml:space="preserve"> and </t>
    </r>
    <r>
      <rPr>
        <sz val="10"/>
        <color indexed="10"/>
        <rFont val="Arial"/>
        <family val="2"/>
      </rPr>
      <t>(City)</t>
    </r>
    <r>
      <rPr>
        <sz val="10"/>
        <rFont val="Arial"/>
        <family val="2"/>
      </rPr>
      <t>, (</t>
    </r>
    <r>
      <rPr>
        <sz val="10"/>
        <color indexed="10"/>
        <rFont val="Arial"/>
        <family val="2"/>
      </rPr>
      <t>Street) (City)</t>
    </r>
    <r>
      <rPr>
        <sz val="10"/>
        <rFont val="Arial"/>
        <family val="2"/>
      </rPr>
      <t xml:space="preserve"> in the </t>
    </r>
    <r>
      <rPr>
        <sz val="10"/>
        <color indexed="10"/>
        <rFont val="Arial"/>
        <family val="2"/>
      </rPr>
      <t xml:space="preserve">(Location) </t>
    </r>
    <r>
      <rPr>
        <sz val="10"/>
        <rFont val="Arial"/>
        <family val="2"/>
      </rPr>
      <t xml:space="preserve">area. Two right-side lanes on the </t>
    </r>
    <r>
      <rPr>
        <sz val="10"/>
        <color indexed="10"/>
        <rFont val="Arial"/>
        <family val="2"/>
      </rPr>
      <t>(Freeway)</t>
    </r>
    <r>
      <rPr>
        <sz val="10"/>
        <rFont val="Arial"/>
        <family val="2"/>
      </rPr>
      <t>, westbound.</t>
    </r>
  </si>
  <si>
    <r>
      <t xml:space="preserve">(General Services Administration)  </t>
    </r>
    <r>
      <rPr>
        <sz val="10"/>
        <rFont val="Arial"/>
        <family val="2"/>
      </rPr>
      <t xml:space="preserve">Inject.  Logistics will set up a fuel task force, provide POD location, and arrange coordination activities between </t>
    </r>
    <r>
      <rPr>
        <sz val="10"/>
        <color indexed="10"/>
        <rFont val="Arial"/>
        <family val="2"/>
      </rPr>
      <t>(United State Army Corps of Engineers)</t>
    </r>
    <r>
      <rPr>
        <sz val="10"/>
        <rFont val="Arial"/>
        <family val="2"/>
      </rPr>
      <t>,</t>
    </r>
    <r>
      <rPr>
        <sz val="10"/>
        <color indexed="10"/>
        <rFont val="Arial"/>
        <family val="2"/>
      </rPr>
      <t xml:space="preserve"> (Defense Logistics Agency)</t>
    </r>
    <r>
      <rPr>
        <sz val="10"/>
        <rFont val="Arial"/>
        <family val="2"/>
      </rPr>
      <t>,</t>
    </r>
    <r>
      <rPr>
        <sz val="10"/>
        <color indexed="10"/>
        <rFont val="Arial"/>
        <family val="2"/>
      </rPr>
      <t xml:space="preserve"> (General Services Administration)</t>
    </r>
    <r>
      <rPr>
        <sz val="10"/>
        <rFont val="Arial"/>
        <family val="2"/>
      </rPr>
      <t>,</t>
    </r>
    <r>
      <rPr>
        <sz val="10"/>
        <color indexed="10"/>
        <rFont val="Arial"/>
        <family val="2"/>
      </rPr>
      <t xml:space="preserve"> </t>
    </r>
    <r>
      <rPr>
        <sz val="10"/>
        <rFont val="Arial"/>
        <family val="2"/>
      </rPr>
      <t xml:space="preserve">and others.  Fuel task force assigned responsibility. Potential tasks for </t>
    </r>
    <r>
      <rPr>
        <sz val="10"/>
        <color indexed="10"/>
        <rFont val="Arial"/>
        <family val="2"/>
      </rPr>
      <t xml:space="preserve">(Defense Logistics Agency) </t>
    </r>
    <r>
      <rPr>
        <sz val="10"/>
        <rFont val="Arial"/>
        <family val="2"/>
      </rPr>
      <t xml:space="preserve">and </t>
    </r>
    <r>
      <rPr>
        <sz val="10"/>
        <color indexed="10"/>
        <rFont val="Arial"/>
        <family val="2"/>
      </rPr>
      <t>(General Services Administration)</t>
    </r>
    <r>
      <rPr>
        <sz val="10"/>
        <rFont val="Arial"/>
        <family val="2"/>
      </rPr>
      <t>.</t>
    </r>
  </si>
  <si>
    <r>
      <t xml:space="preserve">Has Defense Logistics Agency (DLA) been tasked to augment fuel deliveries by contracting with </t>
    </r>
    <r>
      <rPr>
        <sz val="10"/>
        <color indexed="10"/>
        <rFont val="Arial"/>
        <family val="2"/>
      </rPr>
      <t>(Location)</t>
    </r>
    <r>
      <rPr>
        <sz val="10"/>
        <rFont val="Arial"/>
        <family val="2"/>
      </rPr>
      <t xml:space="preserve"> sources? Expedite deliveries to arrive within </t>
    </r>
    <r>
      <rPr>
        <sz val="10"/>
        <color indexed="10"/>
        <rFont val="Arial"/>
        <family val="2"/>
      </rPr>
      <t xml:space="preserve">(#) </t>
    </r>
    <r>
      <rPr>
        <sz val="10"/>
        <rFont val="Arial"/>
        <family val="2"/>
      </rPr>
      <t>days.  Have fuel asset contracts with private sector been written?  Is there an established fuel reimbursement process in place?  Have fuel tanks, bladders, and transport vehicles been located to supplement existing fuel delivery points of distribution (PODs).  What is the status of supplementing delivery to the PODs?</t>
    </r>
  </si>
  <si>
    <r>
      <t>(Unified Command Grou</t>
    </r>
    <r>
      <rPr>
        <sz val="10"/>
        <color indexed="10"/>
        <rFont val="Arial"/>
        <family val="2"/>
      </rPr>
      <t>p [UCG])</t>
    </r>
    <r>
      <rPr>
        <sz val="10"/>
        <rFont val="Arial"/>
        <family val="2"/>
      </rPr>
      <t xml:space="preserve"> requests brief on the port assessment, strategy to maintain continuity, and throughput estimates for the next </t>
    </r>
    <r>
      <rPr>
        <sz val="10"/>
        <color indexed="10"/>
        <rFont val="Arial"/>
        <family val="2"/>
      </rPr>
      <t xml:space="preserve">(#) </t>
    </r>
    <r>
      <rPr>
        <sz val="10"/>
        <rFont val="Arial"/>
        <family val="2"/>
      </rPr>
      <t>days.  Plans to schedule briefing.</t>
    </r>
  </si>
  <si>
    <r>
      <t xml:space="preserve">Shelter manager from </t>
    </r>
    <r>
      <rPr>
        <sz val="10"/>
        <color indexed="10"/>
        <rFont val="Arial"/>
        <family val="2"/>
      </rPr>
      <t xml:space="preserve">(High School) </t>
    </r>
    <r>
      <rPr>
        <sz val="10"/>
        <rFont val="Arial"/>
        <family val="2"/>
      </rPr>
      <t xml:space="preserve">reports that they took in a rush of evacuees just after the storm. They are currently housing </t>
    </r>
    <r>
      <rPr>
        <sz val="10"/>
        <color indexed="10"/>
        <rFont val="Arial"/>
        <family val="2"/>
      </rPr>
      <t xml:space="preserve">(#) </t>
    </r>
    <r>
      <rPr>
        <sz val="10"/>
        <rFont val="Arial"/>
        <family val="2"/>
      </rPr>
      <t xml:space="preserve">people. Many of them are in need of medications that they could not bring or they lost in the storm (insulin, blood pressure, inhalers, etc.) and other first aid. We need more hygiene kits. In addition, we have about </t>
    </r>
    <r>
      <rPr>
        <sz val="10"/>
        <color indexed="10"/>
        <rFont val="Arial"/>
        <family val="2"/>
      </rPr>
      <t xml:space="preserve">(#) </t>
    </r>
    <r>
      <rPr>
        <sz val="10"/>
        <rFont val="Arial"/>
        <family val="2"/>
      </rPr>
      <t xml:space="preserve">people who need evacuation for medical attention. </t>
    </r>
    <r>
      <rPr>
        <sz val="10"/>
        <color indexed="10"/>
        <rFont val="Arial"/>
        <family val="2"/>
      </rPr>
      <t xml:space="preserve">(#) </t>
    </r>
    <r>
      <rPr>
        <sz val="10"/>
        <rFont val="Arial"/>
        <family val="2"/>
      </rPr>
      <t xml:space="preserve">person is on continuous oxygen, one person needs dialysis, </t>
    </r>
    <r>
      <rPr>
        <sz val="10"/>
        <color indexed="10"/>
        <rFont val="Arial"/>
        <family val="2"/>
      </rPr>
      <t xml:space="preserve">(#) </t>
    </r>
    <r>
      <rPr>
        <sz val="10"/>
        <rFont val="Arial"/>
        <family val="2"/>
      </rPr>
      <t xml:space="preserve">people with pretty bad looking fractures, </t>
    </r>
    <r>
      <rPr>
        <sz val="10"/>
        <color indexed="10"/>
        <rFont val="Arial"/>
        <family val="2"/>
      </rPr>
      <t xml:space="preserve">(#) </t>
    </r>
    <r>
      <rPr>
        <sz val="10"/>
        <rFont val="Arial"/>
        <family val="2"/>
      </rPr>
      <t>elderly complaining of chest pains and difficulty breathing, and (</t>
    </r>
    <r>
      <rPr>
        <sz val="10"/>
        <color indexed="10"/>
        <rFont val="Arial"/>
        <family val="2"/>
      </rPr>
      <t>#)</t>
    </r>
    <r>
      <rPr>
        <sz val="10"/>
        <rFont val="Arial"/>
        <family val="2"/>
      </rPr>
      <t xml:space="preserve"> with pretty bad lacerations that we are having trouble stopping the bleeding from. </t>
    </r>
  </si>
  <si>
    <r>
      <t>GSA</t>
    </r>
    <r>
      <rPr>
        <sz val="10"/>
        <color indexed="10"/>
        <rFont val="Arial"/>
        <family val="2"/>
      </rPr>
      <t xml:space="preserve"> (General Services Administration)</t>
    </r>
  </si>
  <si>
    <r>
      <t>(General Services Administration)</t>
    </r>
    <r>
      <rPr>
        <sz val="10"/>
        <rFont val="Arial"/>
        <family val="2"/>
      </rPr>
      <t xml:space="preserve"> Inject: Logistics coordinates the requirements.</t>
    </r>
  </si>
  <si>
    <r>
      <t xml:space="preserve">Task ESF 11,  </t>
    </r>
    <r>
      <rPr>
        <sz val="10"/>
        <color indexed="10"/>
        <rFont val="Arial"/>
        <family val="2"/>
      </rPr>
      <t>(Defense Logistics Agency [DLA]</t>
    </r>
    <r>
      <rPr>
        <sz val="10"/>
        <rFont val="Arial"/>
        <family val="2"/>
      </rPr>
      <t xml:space="preserve">) and/or </t>
    </r>
    <r>
      <rPr>
        <sz val="10"/>
        <color indexed="10"/>
        <rFont val="Arial"/>
        <family val="2"/>
      </rPr>
      <t xml:space="preserve">(General Services Administration [GSA]) </t>
    </r>
    <r>
      <rPr>
        <sz val="10"/>
        <rFont val="Arial"/>
        <family val="2"/>
      </rPr>
      <t xml:space="preserve">to purchase </t>
    </r>
    <r>
      <rPr>
        <sz val="10"/>
        <color indexed="10"/>
        <rFont val="Arial"/>
        <family val="2"/>
      </rPr>
      <t>(Meals-Ready-to-Eat [MREs])</t>
    </r>
    <r>
      <rPr>
        <sz val="10"/>
        <rFont val="Arial"/>
        <family val="2"/>
      </rPr>
      <t xml:space="preserve">, tray packs, and/or bulk food for distribution by mass care. Provide sufficient quantity to support </t>
    </r>
    <r>
      <rPr>
        <sz val="10"/>
        <color indexed="10"/>
        <rFont val="Arial"/>
        <family val="2"/>
      </rPr>
      <t>(###,###)</t>
    </r>
    <r>
      <rPr>
        <sz val="10"/>
        <rFont val="Arial"/>
        <family val="2"/>
      </rPr>
      <t xml:space="preserve"> population for</t>
    </r>
    <r>
      <rPr>
        <sz val="10"/>
        <color indexed="10"/>
        <rFont val="Arial"/>
        <family val="2"/>
      </rPr>
      <t xml:space="preserve"> (#) </t>
    </r>
    <r>
      <rPr>
        <sz val="10"/>
        <rFont val="Arial"/>
        <family val="2"/>
      </rPr>
      <t>days.  Is this being coordinated?</t>
    </r>
  </si>
  <si>
    <r>
      <t xml:space="preserve">Incorporation into Mass Communication Plan. Establish delivery method: meal or bulk. Educate </t>
    </r>
    <r>
      <rPr>
        <sz val="10"/>
        <color indexed="10"/>
        <rFont val="Arial"/>
        <family val="2"/>
      </rPr>
      <t>(State Travel/Visitor Industry)</t>
    </r>
    <r>
      <rPr>
        <sz val="10"/>
        <rFont val="Arial"/>
        <family val="2"/>
      </rPr>
      <t xml:space="preserve"> on distribution plan </t>
    </r>
    <r>
      <rPr>
        <sz val="10"/>
        <color indexed="10"/>
        <rFont val="Arial"/>
        <family val="2"/>
      </rPr>
      <t>(Points of Distribution)</t>
    </r>
    <r>
      <rPr>
        <sz val="10"/>
        <rFont val="Arial"/>
        <family val="2"/>
      </rPr>
      <t xml:space="preserve"> bulk delivery. </t>
    </r>
  </si>
  <si>
    <r>
      <t xml:space="preserve">(Area Tourist Agency) </t>
    </r>
    <r>
      <rPr>
        <sz val="10"/>
        <rFont val="Arial"/>
        <family val="2"/>
      </rPr>
      <t xml:space="preserve"> requests support for tourists at many hotels. Need prepared meals as much as possible. Hotels don't have any method to cook.</t>
    </r>
    <r>
      <rPr>
        <sz val="10"/>
        <color indexed="10"/>
        <rFont val="Arial"/>
        <family val="2"/>
      </rPr>
      <t xml:space="preserve"> (#) </t>
    </r>
    <r>
      <rPr>
        <sz val="10"/>
        <rFont val="Arial"/>
        <family val="2"/>
      </rPr>
      <t xml:space="preserve">people will need to be fed in </t>
    </r>
    <r>
      <rPr>
        <sz val="10"/>
        <color indexed="10"/>
        <rFont val="Arial"/>
        <family val="2"/>
      </rPr>
      <t>(City)</t>
    </r>
    <r>
      <rPr>
        <sz val="10"/>
        <rFont val="Arial"/>
        <family val="2"/>
      </rPr>
      <t xml:space="preserve"> hotels each day. Delivery must start the morning of </t>
    </r>
    <r>
      <rPr>
        <sz val="10"/>
        <color indexed="10"/>
        <rFont val="Arial"/>
        <family val="2"/>
      </rPr>
      <t>(Month/Day).</t>
    </r>
    <r>
      <rPr>
        <sz val="10"/>
        <rFont val="Arial"/>
        <family val="2"/>
      </rPr>
      <t xml:space="preserve"> </t>
    </r>
  </si>
  <si>
    <r>
      <t xml:space="preserve">ESF </t>
    </r>
    <r>
      <rPr>
        <sz val="10"/>
        <color indexed="10"/>
        <rFont val="Arial"/>
        <family val="2"/>
      </rPr>
      <t>(#)</t>
    </r>
    <r>
      <rPr>
        <sz val="10"/>
        <rFont val="Arial"/>
        <family val="2"/>
      </rPr>
      <t xml:space="preserve"> will coordinate with DOD to provide the requested support.</t>
    </r>
  </si>
  <si>
    <r>
      <t xml:space="preserve">This is </t>
    </r>
    <r>
      <rPr>
        <sz val="10"/>
        <color indexed="10"/>
        <rFont val="Arial"/>
        <family val="2"/>
      </rPr>
      <t>(Name)</t>
    </r>
    <r>
      <rPr>
        <sz val="10"/>
        <rFont val="Arial"/>
        <family val="2"/>
      </rPr>
      <t xml:space="preserve"> with </t>
    </r>
    <r>
      <rPr>
        <sz val="10"/>
        <color indexed="10"/>
        <rFont val="Arial"/>
        <family val="2"/>
      </rPr>
      <t>(City/County/State Emergency Management Agency).</t>
    </r>
    <r>
      <rPr>
        <sz val="10"/>
        <rFont val="Arial"/>
        <family val="2"/>
      </rPr>
      <t xml:space="preserve"> Can you provide security support for </t>
    </r>
    <r>
      <rPr>
        <sz val="10"/>
        <color indexed="10"/>
        <rFont val="Arial"/>
        <family val="2"/>
      </rPr>
      <t>(Location)</t>
    </r>
    <r>
      <rPr>
        <sz val="10"/>
        <rFont val="Arial"/>
        <family val="2"/>
      </rPr>
      <t>?</t>
    </r>
  </si>
  <si>
    <r>
      <t xml:space="preserve">SimCell </t>
    </r>
    <r>
      <rPr>
        <sz val="10"/>
        <color indexed="10"/>
        <rFont val="Arial"/>
        <family val="2"/>
      </rPr>
      <t>(</t>
    </r>
    <r>
      <rPr>
        <sz val="10"/>
        <color indexed="10"/>
        <rFont val="Arial"/>
        <family val="2"/>
      </rPr>
      <t>City and County)</t>
    </r>
  </si>
  <si>
    <r>
      <t xml:space="preserve">ESF </t>
    </r>
    <r>
      <rPr>
        <sz val="10"/>
        <color indexed="10"/>
        <rFont val="Arial"/>
        <family val="2"/>
      </rPr>
      <t>(#)</t>
    </r>
    <r>
      <rPr>
        <sz val="10"/>
        <rFont val="Arial"/>
        <family val="2"/>
      </rPr>
      <t xml:space="preserve"> will coordinate with</t>
    </r>
    <r>
      <rPr>
        <sz val="10"/>
        <color indexed="10"/>
        <rFont val="Arial"/>
        <family val="2"/>
      </rPr>
      <t xml:space="preserve"> (State Emergency Management Agency) </t>
    </r>
    <r>
      <rPr>
        <sz val="10"/>
        <rFont val="Arial"/>
        <family val="2"/>
      </rPr>
      <t>to provide requested resources.</t>
    </r>
  </si>
  <si>
    <r>
      <t xml:space="preserve">The terminals in the </t>
    </r>
    <r>
      <rPr>
        <sz val="10"/>
        <color indexed="10"/>
        <rFont val="Arial"/>
        <family val="2"/>
      </rPr>
      <t xml:space="preserve">(Locations) </t>
    </r>
    <r>
      <rPr>
        <sz val="10"/>
        <rFont val="Arial"/>
        <family val="2"/>
      </rPr>
      <t xml:space="preserve">are interlinked and receive products or load barges over Pier </t>
    </r>
    <r>
      <rPr>
        <sz val="10"/>
        <color indexed="10"/>
        <rFont val="Arial"/>
        <family val="2"/>
      </rPr>
      <t xml:space="preserve">(#) </t>
    </r>
    <r>
      <rPr>
        <sz val="10"/>
        <rFont val="Arial"/>
        <family val="2"/>
      </rPr>
      <t xml:space="preserve">and </t>
    </r>
    <r>
      <rPr>
        <sz val="10"/>
        <color indexed="10"/>
        <rFont val="Arial"/>
        <family val="2"/>
      </rPr>
      <t xml:space="preserve">(#). </t>
    </r>
    <r>
      <rPr>
        <sz val="10"/>
        <rFont val="Arial"/>
        <family val="2"/>
      </rPr>
      <t xml:space="preserve">Jet fuel is brought in by the </t>
    </r>
    <r>
      <rPr>
        <sz val="10"/>
        <color indexed="10"/>
        <rFont val="Arial"/>
        <family val="2"/>
      </rPr>
      <t>(Fueling Facilities Corporation)</t>
    </r>
    <r>
      <rPr>
        <sz val="10"/>
        <rFont val="Arial"/>
        <family val="2"/>
      </rPr>
      <t xml:space="preserve"> at </t>
    </r>
    <r>
      <rPr>
        <sz val="10"/>
        <color indexed="10"/>
        <rFont val="Arial"/>
        <family val="2"/>
      </rPr>
      <t>(Location) i</t>
    </r>
    <r>
      <rPr>
        <sz val="10"/>
        <rFont val="Arial"/>
        <family val="2"/>
      </rPr>
      <t xml:space="preserve">n </t>
    </r>
    <r>
      <rPr>
        <sz val="10"/>
        <color indexed="10"/>
        <rFont val="Arial"/>
        <family val="2"/>
      </rPr>
      <t>(Location)</t>
    </r>
    <r>
      <rPr>
        <sz val="10"/>
        <rFont val="Arial"/>
        <family val="2"/>
      </rPr>
      <t xml:space="preserve">.  The company operates a terminal that is linked into storage across the </t>
    </r>
    <r>
      <rPr>
        <sz val="10"/>
        <color indexed="10"/>
        <rFont val="Arial"/>
        <family val="2"/>
      </rPr>
      <t xml:space="preserve">(Location) </t>
    </r>
    <r>
      <rPr>
        <sz val="10"/>
        <rFont val="Arial"/>
        <family val="2"/>
      </rPr>
      <t xml:space="preserve">as well as tanks at the airport. These systems were in the inundation zone and were damaged. The pipeline and riser system for </t>
    </r>
    <r>
      <rPr>
        <sz val="10"/>
        <color indexed="10"/>
        <rFont val="Arial"/>
        <family val="2"/>
      </rPr>
      <t>(Location)</t>
    </r>
    <r>
      <rPr>
        <sz val="10"/>
        <rFont val="Arial"/>
        <family val="2"/>
      </rPr>
      <t xml:space="preserve"> is damaged from an apparent impact by a heavy object.  A full assessment will be required. Estimated time of repair: </t>
    </r>
    <r>
      <rPr>
        <sz val="10"/>
        <color indexed="10"/>
        <rFont val="Arial"/>
        <family val="2"/>
      </rPr>
      <t xml:space="preserve">(#) </t>
    </r>
    <r>
      <rPr>
        <sz val="10"/>
        <rFont val="Arial"/>
        <family val="2"/>
      </rPr>
      <t>months.</t>
    </r>
  </si>
  <si>
    <t xml:space="preserve">Will need to make up capacity on the fly if inquiries come in. </t>
  </si>
  <si>
    <r>
      <t xml:space="preserve">The following hotels in neighbor </t>
    </r>
    <r>
      <rPr>
        <sz val="10"/>
        <color indexed="10"/>
        <rFont val="Arial"/>
        <family val="2"/>
      </rPr>
      <t>(Locations)</t>
    </r>
    <r>
      <rPr>
        <sz val="10"/>
        <rFont val="Arial"/>
        <family val="2"/>
      </rPr>
      <t xml:space="preserve"> are not at capacity and are willing to take tourists from </t>
    </r>
    <r>
      <rPr>
        <sz val="10"/>
        <color indexed="10"/>
        <rFont val="Arial"/>
        <family val="2"/>
      </rPr>
      <t>(Location)</t>
    </r>
    <r>
      <rPr>
        <sz val="10"/>
        <rFont val="Arial"/>
        <family val="2"/>
      </rPr>
      <t xml:space="preserve"> if they would like to continue their vacations in another location. The hotels will charge them the same rate they were getting in </t>
    </r>
    <r>
      <rPr>
        <sz val="10"/>
        <color indexed="10"/>
        <rFont val="Arial"/>
        <family val="2"/>
      </rPr>
      <t>(Location)</t>
    </r>
    <r>
      <rPr>
        <sz val="10"/>
        <rFont val="Arial"/>
        <family val="2"/>
      </rPr>
      <t xml:space="preserve"> </t>
    </r>
    <r>
      <rPr>
        <sz val="10"/>
        <color indexed="10"/>
        <rFont val="Arial"/>
        <family val="2"/>
      </rPr>
      <t xml:space="preserve">(Hotels) </t>
    </r>
    <r>
      <rPr>
        <sz val="10"/>
        <rFont val="Arial"/>
        <family val="2"/>
      </rPr>
      <t>and</t>
    </r>
    <r>
      <rPr>
        <sz val="10"/>
        <color indexed="10"/>
        <rFont val="Arial"/>
        <family val="2"/>
      </rPr>
      <t xml:space="preserve"> (Resorts).</t>
    </r>
    <r>
      <rPr>
        <sz val="10"/>
        <rFont val="Arial"/>
        <family val="2"/>
      </rPr>
      <t xml:space="preserve">  Are there any </t>
    </r>
    <r>
      <rPr>
        <sz val="10"/>
        <color indexed="10"/>
        <rFont val="Arial"/>
        <family val="2"/>
      </rPr>
      <t>(Transportation Systems)</t>
    </r>
    <r>
      <rPr>
        <sz val="10"/>
        <rFont val="Arial"/>
        <family val="2"/>
      </rPr>
      <t xml:space="preserve"> still willing to transport tourists? </t>
    </r>
  </si>
  <si>
    <t>5, 14</t>
  </si>
  <si>
    <r>
      <t xml:space="preserve">Private Sector Update:
- </t>
    </r>
    <r>
      <rPr>
        <sz val="10"/>
        <color indexed="10"/>
        <rFont val="Arial"/>
        <family val="2"/>
      </rPr>
      <t>(#)</t>
    </r>
    <r>
      <rPr>
        <sz val="10"/>
        <rFont val="Arial"/>
        <family val="2"/>
      </rPr>
      <t xml:space="preserve"> businesses along </t>
    </r>
    <r>
      <rPr>
        <sz val="10"/>
        <color indexed="10"/>
        <rFont val="Arial"/>
        <family val="2"/>
      </rPr>
      <t>(Location)</t>
    </r>
    <r>
      <rPr>
        <sz val="10"/>
        <rFont val="Arial"/>
        <family val="2"/>
      </rPr>
      <t xml:space="preserve"> suffered major wind and rain damages. Owners are requesting assistance to clear debris.
- We have reports that in </t>
    </r>
    <r>
      <rPr>
        <sz val="10"/>
        <color indexed="10"/>
        <rFont val="Arial"/>
        <family val="2"/>
      </rPr>
      <t>(Location)</t>
    </r>
    <r>
      <rPr>
        <sz val="10"/>
        <rFont val="Arial"/>
        <family val="2"/>
      </rPr>
      <t xml:space="preserve">, </t>
    </r>
    <r>
      <rPr>
        <sz val="10"/>
        <color indexed="10"/>
        <rFont val="Arial"/>
        <family val="2"/>
      </rPr>
      <t xml:space="preserve">(#) </t>
    </r>
    <r>
      <rPr>
        <sz val="10"/>
        <rFont val="Arial"/>
        <family val="2"/>
      </rPr>
      <t xml:space="preserve">basement parking garages along </t>
    </r>
    <r>
      <rPr>
        <sz val="10"/>
        <color indexed="10"/>
        <rFont val="Arial"/>
        <family val="2"/>
      </rPr>
      <t>(Name)</t>
    </r>
    <r>
      <rPr>
        <sz val="10"/>
        <rFont val="Arial"/>
        <family val="2"/>
      </rPr>
      <t xml:space="preserve"> Avenue have been flooded by seawater, the </t>
    </r>
    <r>
      <rPr>
        <sz val="10"/>
        <color indexed="10"/>
        <rFont val="Arial"/>
        <family val="2"/>
      </rPr>
      <t xml:space="preserve">(City) </t>
    </r>
    <r>
      <rPr>
        <sz val="10"/>
        <rFont val="Arial"/>
        <family val="2"/>
      </rPr>
      <t xml:space="preserve">Country Club reports four feet of standing water on the majority of their property, and the </t>
    </r>
    <r>
      <rPr>
        <sz val="10"/>
        <color indexed="10"/>
        <rFont val="Arial"/>
        <family val="2"/>
      </rPr>
      <t xml:space="preserve">(Shopping Center) </t>
    </r>
    <r>
      <rPr>
        <sz val="10"/>
        <rFont val="Arial"/>
        <family val="2"/>
      </rPr>
      <t>suffered heavy flooding in the lower parking level. Sand and debris have clogged many storm drains. Sump pumps are inoperable because of the power outage. Windows and glass sliding doors from hotels and commercial buildings are blown out.
- Forty businesses in the</t>
    </r>
    <r>
      <rPr>
        <sz val="10"/>
        <color indexed="10"/>
        <rFont val="Arial"/>
        <family val="2"/>
      </rPr>
      <t xml:space="preserve"> (Location)</t>
    </r>
    <r>
      <rPr>
        <sz val="10"/>
        <rFont val="Arial"/>
        <family val="2"/>
      </rPr>
      <t xml:space="preserve"> area have been damaged by high winds and standing flood waters.
- The </t>
    </r>
    <r>
      <rPr>
        <sz val="10"/>
        <color indexed="10"/>
        <rFont val="Arial"/>
        <family val="2"/>
      </rPr>
      <t xml:space="preserve"> (Institute)</t>
    </r>
    <r>
      <rPr>
        <sz val="10"/>
        <rFont val="Arial"/>
        <family val="2"/>
      </rPr>
      <t xml:space="preserve"> and </t>
    </r>
    <r>
      <rPr>
        <sz val="10"/>
        <color indexed="10"/>
        <rFont val="Arial"/>
        <family val="2"/>
      </rPr>
      <t>(University)</t>
    </r>
    <r>
      <rPr>
        <sz val="10"/>
        <rFont val="Arial"/>
        <family val="2"/>
      </rPr>
      <t xml:space="preserve"> have been damaged by the (</t>
    </r>
    <r>
      <rPr>
        <sz val="10"/>
        <color indexed="10"/>
        <rFont val="Arial"/>
        <family val="2"/>
      </rPr>
      <t xml:space="preserve">Stream) </t>
    </r>
    <r>
      <rPr>
        <sz val="10"/>
        <rFont val="Arial"/>
        <family val="2"/>
      </rPr>
      <t>overtopping its banks.</t>
    </r>
  </si>
  <si>
    <r>
      <t xml:space="preserve">This is </t>
    </r>
    <r>
      <rPr>
        <sz val="10"/>
        <color indexed="10"/>
        <rFont val="Arial"/>
        <family val="2"/>
      </rPr>
      <t>(Name)</t>
    </r>
    <r>
      <rPr>
        <sz val="10"/>
        <rFont val="Arial"/>
        <family val="2"/>
      </rPr>
      <t xml:space="preserve"> at Chevron.  A collapsed structure and tank has created a major refinery fuel spill.  We need assistance as the spill is too large for us to handle with our internal HazMat team.</t>
    </r>
  </si>
  <si>
    <t>ESF 17 will coordinate with Department of Business, Economic Development, and Tourism to address requested support.</t>
  </si>
  <si>
    <r>
      <t xml:space="preserve">This is </t>
    </r>
    <r>
      <rPr>
        <sz val="10"/>
        <color indexed="10"/>
        <rFont val="Arial"/>
        <family val="2"/>
      </rPr>
      <t>(Name)</t>
    </r>
    <r>
      <rPr>
        <sz val="10"/>
        <rFont val="Arial"/>
        <family val="2"/>
      </rPr>
      <t xml:space="preserve"> with</t>
    </r>
    <r>
      <rPr>
        <sz val="10"/>
        <color indexed="10"/>
        <rFont val="Arial"/>
        <family val="2"/>
      </rPr>
      <t xml:space="preserve"> the (City/County/State Emergency Management Agency) </t>
    </r>
    <r>
      <rPr>
        <sz val="10"/>
        <rFont val="Arial"/>
        <family val="2"/>
      </rPr>
      <t xml:space="preserve">with a </t>
    </r>
    <r>
      <rPr>
        <sz val="10"/>
        <color indexed="10"/>
        <rFont val="Arial"/>
        <family val="2"/>
      </rPr>
      <t>(Request for Federal Assistance [RFA])</t>
    </r>
    <r>
      <rPr>
        <sz val="10"/>
        <rFont val="Arial"/>
        <family val="2"/>
      </rPr>
      <t xml:space="preserve">. There are </t>
    </r>
    <r>
      <rPr>
        <sz val="10"/>
        <color indexed="10"/>
        <rFont val="Arial"/>
        <family val="2"/>
      </rPr>
      <t>(#)</t>
    </r>
    <r>
      <rPr>
        <sz val="10"/>
        <rFont val="Arial"/>
        <family val="2"/>
      </rPr>
      <t xml:space="preserve"> tourists that would like to continue their vacation but want to move to the </t>
    </r>
    <r>
      <rPr>
        <sz val="10"/>
        <color indexed="10"/>
        <rFont val="Arial"/>
        <family val="2"/>
      </rPr>
      <t xml:space="preserve">(Location) </t>
    </r>
    <r>
      <rPr>
        <sz val="10"/>
        <rFont val="Arial"/>
        <family val="2"/>
      </rPr>
      <t>which was not impacted as greatly as other areas by the hurricane.</t>
    </r>
  </si>
  <si>
    <r>
      <t>SimCell</t>
    </r>
    <r>
      <rPr>
        <sz val="10"/>
        <color indexed="10"/>
        <rFont val="Arial"/>
        <family val="2"/>
      </rPr>
      <t xml:space="preserve"> (County)</t>
    </r>
  </si>
  <si>
    <r>
      <t xml:space="preserve">This is </t>
    </r>
    <r>
      <rPr>
        <sz val="10"/>
        <color indexed="10"/>
        <rFont val="Arial"/>
        <family val="2"/>
      </rPr>
      <t>(City/County/State Emergency Management Agency)</t>
    </r>
    <r>
      <rPr>
        <sz val="10"/>
        <rFont val="Arial"/>
        <family val="2"/>
      </rPr>
      <t xml:space="preserve">. We are running low on basic essentials that we normally get from </t>
    </r>
    <r>
      <rPr>
        <sz val="10"/>
        <color indexed="10"/>
        <rFont val="Arial"/>
        <family val="2"/>
      </rPr>
      <t>(City)</t>
    </r>
    <r>
      <rPr>
        <sz val="10"/>
        <rFont val="Arial"/>
        <family val="2"/>
      </rPr>
      <t xml:space="preserve"> Harbor. When can we expect to begin receiving supplies in from the damaged </t>
    </r>
    <r>
      <rPr>
        <sz val="10"/>
        <color indexed="10"/>
        <rFont val="Arial"/>
        <family val="2"/>
      </rPr>
      <t>(Location)</t>
    </r>
    <r>
      <rPr>
        <sz val="10"/>
        <rFont val="Arial"/>
        <family val="2"/>
      </rPr>
      <t>?</t>
    </r>
  </si>
  <si>
    <r>
      <t xml:space="preserve">Road Update: Debris Blocked: Most arteries in </t>
    </r>
    <r>
      <rPr>
        <sz val="10"/>
        <color indexed="10"/>
        <rFont val="Arial"/>
        <family val="2"/>
      </rPr>
      <t>(City) (Highway)</t>
    </r>
    <r>
      <rPr>
        <sz val="10"/>
        <rFont val="Arial"/>
        <family val="2"/>
      </rPr>
      <t xml:space="preserve"> in </t>
    </r>
    <r>
      <rPr>
        <sz val="10"/>
        <color indexed="10"/>
        <rFont val="Arial"/>
        <family val="2"/>
      </rPr>
      <t xml:space="preserve">(Location)  </t>
    </r>
    <r>
      <rPr>
        <sz val="10"/>
        <rFont val="Arial"/>
        <family val="2"/>
      </rPr>
      <t xml:space="preserve">viaduct, </t>
    </r>
    <r>
      <rPr>
        <sz val="10"/>
        <color indexed="10"/>
        <rFont val="Arial"/>
        <family val="2"/>
      </rPr>
      <t xml:space="preserve"> (Highway)</t>
    </r>
    <r>
      <rPr>
        <sz val="10"/>
        <rFont val="Arial"/>
        <family val="2"/>
      </rPr>
      <t xml:space="preserve"> near </t>
    </r>
    <r>
      <rPr>
        <sz val="10"/>
        <color indexed="10"/>
        <rFont val="Arial"/>
        <family val="2"/>
      </rPr>
      <t>(Beach)</t>
    </r>
    <r>
      <rPr>
        <sz val="10"/>
        <rFont val="Arial"/>
        <family val="2"/>
      </rPr>
      <t xml:space="preserve">, large sinkhole covering two lanes on the </t>
    </r>
    <r>
      <rPr>
        <sz val="10"/>
        <color indexed="10"/>
        <rFont val="Arial"/>
        <family val="2"/>
      </rPr>
      <t xml:space="preserve">(Location) </t>
    </r>
    <r>
      <rPr>
        <sz val="10"/>
        <rFont val="Arial"/>
        <family val="2"/>
      </rPr>
      <t xml:space="preserve">bound side of the </t>
    </r>
    <r>
      <rPr>
        <sz val="10"/>
        <color indexed="10"/>
        <rFont val="Arial"/>
        <family val="2"/>
      </rPr>
      <t>(Highway)</t>
    </r>
    <r>
      <rPr>
        <sz val="10"/>
        <rFont val="Arial"/>
        <family val="2"/>
      </rPr>
      <t xml:space="preserve"> before</t>
    </r>
    <r>
      <rPr>
        <sz val="10"/>
        <color indexed="10"/>
        <rFont val="Arial"/>
        <family val="2"/>
      </rPr>
      <t xml:space="preserve"> (Tunnel)</t>
    </r>
    <r>
      <rPr>
        <sz val="10"/>
        <rFont val="Arial"/>
        <family val="2"/>
      </rPr>
      <t xml:space="preserve">. Landslide Blocked: </t>
    </r>
    <r>
      <rPr>
        <sz val="10"/>
        <color indexed="10"/>
        <rFont val="Arial"/>
        <family val="2"/>
      </rPr>
      <t>(Highway</t>
    </r>
    <r>
      <rPr>
        <sz val="10"/>
        <rFont val="Arial"/>
        <family val="2"/>
      </rPr>
      <t>) in both directions near</t>
    </r>
    <r>
      <rPr>
        <sz val="10"/>
        <color indexed="10"/>
        <rFont val="Arial"/>
        <family val="2"/>
      </rPr>
      <t xml:space="preserve"> (lighthouse)</t>
    </r>
    <r>
      <rPr>
        <sz val="10"/>
        <rFont val="Arial"/>
        <family val="2"/>
      </rPr>
      <t>,</t>
    </r>
    <r>
      <rPr>
        <sz val="10"/>
        <color indexed="10"/>
        <rFont val="Arial"/>
        <family val="2"/>
      </rPr>
      <t xml:space="preserve"> (Highway)</t>
    </r>
    <r>
      <rPr>
        <sz val="10"/>
        <rFont val="Arial"/>
        <family val="2"/>
      </rPr>
      <t xml:space="preserve"> at </t>
    </r>
    <r>
      <rPr>
        <sz val="10"/>
        <color indexed="10"/>
        <rFont val="Arial"/>
        <family val="2"/>
      </rPr>
      <t>(Location).</t>
    </r>
  </si>
  <si>
    <r>
      <t>All free standing dialysis centers are not operational due to power outage.</t>
    </r>
    <r>
      <rPr>
        <sz val="10"/>
        <color indexed="10"/>
        <rFont val="Arial"/>
        <family val="2"/>
      </rPr>
      <t xml:space="preserve"> (Army Medical Center) </t>
    </r>
    <r>
      <rPr>
        <sz val="10"/>
        <rFont val="Arial"/>
        <family val="2"/>
      </rPr>
      <t xml:space="preserve">has dedicated generators for its dialysis unit and can take some of the load from other centers. Transportation to </t>
    </r>
    <r>
      <rPr>
        <sz val="10"/>
        <color indexed="10"/>
        <rFont val="Arial"/>
        <family val="2"/>
      </rPr>
      <t xml:space="preserve">(Hospital) </t>
    </r>
    <r>
      <rPr>
        <sz val="10"/>
        <rFont val="Arial"/>
        <family val="2"/>
      </rPr>
      <t>will be an issue due to debris. Can you verify?</t>
    </r>
  </si>
  <si>
    <r>
      <t xml:space="preserve">This is </t>
    </r>
    <r>
      <rPr>
        <sz val="10"/>
        <color indexed="10"/>
        <rFont val="Arial"/>
        <family val="2"/>
      </rPr>
      <t xml:space="preserve">(City) </t>
    </r>
    <r>
      <rPr>
        <sz val="10"/>
        <rFont val="Arial"/>
        <family val="2"/>
      </rPr>
      <t xml:space="preserve"> Councilman</t>
    </r>
    <r>
      <rPr>
        <sz val="10"/>
        <color indexed="10"/>
        <rFont val="Arial"/>
        <family val="2"/>
      </rPr>
      <t xml:space="preserve"> (Name).</t>
    </r>
    <r>
      <rPr>
        <sz val="10"/>
        <rFont val="Arial"/>
        <family val="2"/>
      </rPr>
      <t xml:space="preserve"> Could you please provide us a current status report on the progress of the State and Federal coordination of the emergency response?</t>
    </r>
  </si>
  <si>
    <r>
      <t xml:space="preserve">(City Fire Department) </t>
    </r>
    <r>
      <rPr>
        <sz val="10"/>
        <rFont val="Arial"/>
        <family val="2"/>
      </rPr>
      <t>requests</t>
    </r>
    <r>
      <rPr>
        <sz val="10"/>
        <color indexed="10"/>
        <rFont val="Arial"/>
        <family val="2"/>
      </rPr>
      <t xml:space="preserve"> (#) </t>
    </r>
    <r>
      <rPr>
        <sz val="10"/>
        <rFont val="Arial"/>
        <family val="2"/>
      </rPr>
      <t xml:space="preserve">additional type II </t>
    </r>
    <r>
      <rPr>
        <sz val="10"/>
        <color indexed="10"/>
        <rFont val="Arial"/>
        <family val="2"/>
      </rPr>
      <t>(Urban Search and Re</t>
    </r>
    <r>
      <rPr>
        <sz val="10"/>
        <color indexed="10"/>
        <rFont val="Arial"/>
        <family val="2"/>
      </rPr>
      <t>scue [USAR])</t>
    </r>
    <r>
      <rPr>
        <sz val="10"/>
        <rFont val="Arial"/>
        <family val="2"/>
      </rPr>
      <t xml:space="preserve"> teams.</t>
    </r>
  </si>
  <si>
    <r>
      <t>(Government of Country)</t>
    </r>
    <r>
      <rPr>
        <sz val="10"/>
        <rFont val="Arial"/>
        <family val="2"/>
      </rPr>
      <t xml:space="preserve"> requests status report of</t>
    </r>
    <r>
      <rPr>
        <sz val="10"/>
        <color indexed="10"/>
        <rFont val="Arial"/>
        <family val="2"/>
      </rPr>
      <t xml:space="preserve"> (Name of)</t>
    </r>
    <r>
      <rPr>
        <sz val="10"/>
        <rFont val="Arial"/>
        <family val="2"/>
      </rPr>
      <t xml:space="preserve"> nationals in </t>
    </r>
    <r>
      <rPr>
        <sz val="10"/>
        <color indexed="10"/>
        <rFont val="Arial"/>
        <family val="2"/>
      </rPr>
      <t xml:space="preserve">(Location). </t>
    </r>
  </si>
  <si>
    <r>
      <t xml:space="preserve">Buses, handi-trans, ambulances with diminished capacity because of being relocated out of inundation zone, debris blocking roads, downed power lines. What is the plan for medical evacuation? Currently we have patients needing evacuation for: Staff at Assisted Living Facility in </t>
    </r>
    <r>
      <rPr>
        <sz val="10"/>
        <color indexed="10"/>
        <rFont val="Arial"/>
        <family val="2"/>
      </rPr>
      <t>(Clinics and Area Hospitals).</t>
    </r>
    <r>
      <rPr>
        <sz val="10"/>
        <rFont val="Arial"/>
        <family val="2"/>
      </rPr>
      <t xml:space="preserve"> Will they be evacuated on a single flight, or will they be trickled over time? How long will it be before they are evacuated? </t>
    </r>
  </si>
  <si>
    <t>Details on damage for each location are found in truth binder.</t>
  </si>
  <si>
    <r>
      <t xml:space="preserve">Search and rescue resources are requested for the following shelter locations. Walls at these locations have failed as a result of damage related to the storm: </t>
    </r>
    <r>
      <rPr>
        <sz val="10"/>
        <color indexed="10"/>
        <rFont val="Arial"/>
        <family val="2"/>
      </rPr>
      <t>(Locations)</t>
    </r>
    <r>
      <rPr>
        <sz val="10"/>
        <rFont val="Arial"/>
        <family val="2"/>
      </rPr>
      <t xml:space="preserve">. Mass casualties are expected. </t>
    </r>
  </si>
  <si>
    <r>
      <t xml:space="preserve">The hotel manager at </t>
    </r>
    <r>
      <rPr>
        <sz val="10"/>
        <color indexed="10"/>
        <rFont val="Arial"/>
        <family val="2"/>
      </rPr>
      <t>(Hotel)</t>
    </r>
    <r>
      <rPr>
        <sz val="10"/>
        <rFont val="Arial"/>
        <family val="2"/>
      </rPr>
      <t xml:space="preserve"> estimates that </t>
    </r>
    <r>
      <rPr>
        <sz val="10"/>
        <color indexed="10"/>
        <rFont val="Arial"/>
        <family val="2"/>
      </rPr>
      <t xml:space="preserve">(#) </t>
    </r>
    <r>
      <rPr>
        <sz val="10"/>
        <rFont val="Arial"/>
        <family val="2"/>
      </rPr>
      <t xml:space="preserve">guests were injured during the storm from debris and need first aid supplies. </t>
    </r>
  </si>
  <si>
    <r>
      <t>(Name of Communications)</t>
    </r>
    <r>
      <rPr>
        <sz val="10"/>
        <rFont val="Arial"/>
        <family val="2"/>
      </rPr>
      <t xml:space="preserve"> reports moderate damage to underground transmission lines. Also linked to </t>
    </r>
    <r>
      <rPr>
        <sz val="10"/>
        <color indexed="10"/>
        <rFont val="Arial"/>
        <family val="2"/>
      </rPr>
      <t>(Name of Communications)</t>
    </r>
    <r>
      <rPr>
        <sz val="10"/>
        <rFont val="Arial"/>
        <family val="2"/>
      </rPr>
      <t xml:space="preserve">, and where our system is linked to theirs, we have lost service in those areas as well. Debris blocking access to certain facilities. Need access to roads not yet open to public to reach equipment. </t>
    </r>
  </si>
  <si>
    <r>
      <t xml:space="preserve">Transmission lines in </t>
    </r>
    <r>
      <rPr>
        <sz val="10"/>
        <color indexed="10"/>
        <rFont val="Arial"/>
        <family val="2"/>
      </rPr>
      <t xml:space="preserve">(Locations) </t>
    </r>
    <r>
      <rPr>
        <sz val="10"/>
        <rFont val="Arial"/>
        <family val="2"/>
      </rPr>
      <t xml:space="preserve">have suffered extensive damage and downed poles and debris issues hindering access to areas. </t>
    </r>
    <r>
      <rPr>
        <sz val="10"/>
        <color indexed="10"/>
        <rFont val="Arial"/>
        <family val="2"/>
      </rPr>
      <t xml:space="preserve"> (Electric Company) </t>
    </r>
    <r>
      <rPr>
        <sz val="10"/>
        <rFont val="Arial"/>
        <family val="2"/>
      </rPr>
      <t xml:space="preserve">Transmission Lines </t>
    </r>
    <r>
      <rPr>
        <sz val="10"/>
        <color indexed="10"/>
        <rFont val="Arial"/>
        <family val="2"/>
      </rPr>
      <t>(#)</t>
    </r>
    <r>
      <rPr>
        <sz val="10"/>
        <rFont val="Arial"/>
        <family val="2"/>
      </rPr>
      <t xml:space="preserve"> were not impacted.</t>
    </r>
  </si>
  <si>
    <r>
      <t>SimCell</t>
    </r>
    <r>
      <rPr>
        <sz val="10"/>
        <color indexed="10"/>
        <rFont val="Arial"/>
        <family val="2"/>
      </rPr>
      <t xml:space="preserve"> (</t>
    </r>
    <r>
      <rPr>
        <sz val="10"/>
        <color indexed="10"/>
        <rFont val="Arial"/>
        <family val="2"/>
      </rPr>
      <t>City/County)</t>
    </r>
  </si>
  <si>
    <t>ESF 3 will coordinate with Department of Accounting and General Services to provide the requested support.</t>
  </si>
  <si>
    <r>
      <t>(Name)</t>
    </r>
    <r>
      <rPr>
        <sz val="10"/>
        <rFont val="Arial"/>
        <family val="2"/>
      </rPr>
      <t xml:space="preserve"> here with </t>
    </r>
    <r>
      <rPr>
        <sz val="10"/>
        <color indexed="10"/>
        <rFont val="Arial"/>
        <family val="2"/>
      </rPr>
      <t xml:space="preserve">(City/County/State Emergency Management Agency). </t>
    </r>
    <r>
      <rPr>
        <sz val="10"/>
        <rFont val="Arial"/>
        <family val="2"/>
      </rPr>
      <t>We need engineering support, and additional pumps and equipment are needed to support operations of pumping several reservoirs to safe levels.</t>
    </r>
  </si>
  <si>
    <t>ESF 10 will coordinate with Department of Health to address situation and provide resources.</t>
  </si>
  <si>
    <r>
      <t>This is the Governor's Office calling.</t>
    </r>
    <r>
      <rPr>
        <sz val="10"/>
        <color indexed="10"/>
        <rFont val="Arial"/>
        <family val="2"/>
      </rPr>
      <t>(He/she)</t>
    </r>
    <r>
      <rPr>
        <sz val="10"/>
        <rFont val="Arial"/>
        <family val="2"/>
      </rPr>
      <t xml:space="preserve"> would like talking points on the temporary housing strategy to transition from tents on lawns to something more livable.  Need talking points by </t>
    </r>
    <r>
      <rPr>
        <sz val="10"/>
        <color indexed="10"/>
        <rFont val="Arial"/>
        <family val="2"/>
      </rPr>
      <t>(</t>
    </r>
    <r>
      <rPr>
        <sz val="10"/>
        <color indexed="10"/>
        <rFont val="Arial"/>
        <family val="2"/>
      </rPr>
      <t>Time).</t>
    </r>
  </si>
  <si>
    <r>
      <t xml:space="preserve">DoD Inject 76:  See </t>
    </r>
    <r>
      <rPr>
        <sz val="10"/>
        <color indexed="10"/>
        <rFont val="Arial"/>
        <family val="2"/>
      </rPr>
      <t>(Name)</t>
    </r>
    <r>
      <rPr>
        <sz val="10"/>
        <rFont val="Arial"/>
        <family val="2"/>
      </rPr>
      <t xml:space="preserve"> for details and additional information.</t>
    </r>
  </si>
  <si>
    <r>
      <t>(Area)</t>
    </r>
    <r>
      <rPr>
        <sz val="10"/>
        <rFont val="Arial"/>
        <family val="2"/>
      </rPr>
      <t xml:space="preserve"> establishes a </t>
    </r>
    <r>
      <rPr>
        <sz val="10"/>
        <color indexed="10"/>
        <rFont val="Arial"/>
        <family val="2"/>
      </rPr>
      <t>(Base Support Installation [BSI])</t>
    </r>
    <r>
      <rPr>
        <sz val="10"/>
        <rFont val="Arial"/>
        <family val="2"/>
      </rPr>
      <t xml:space="preserve"> at </t>
    </r>
    <r>
      <rPr>
        <sz val="10"/>
        <color indexed="10"/>
        <rFont val="Arial"/>
        <family val="2"/>
      </rPr>
      <t>(Location)</t>
    </r>
    <r>
      <rPr>
        <sz val="10"/>
        <rFont val="Arial"/>
        <family val="2"/>
      </rPr>
      <t>.</t>
    </r>
  </si>
  <si>
    <r>
      <t xml:space="preserve">DoD Inject 77:  See </t>
    </r>
    <r>
      <rPr>
        <sz val="10"/>
        <color indexed="10"/>
        <rFont val="Arial"/>
        <family val="2"/>
      </rPr>
      <t xml:space="preserve">(Name) </t>
    </r>
    <r>
      <rPr>
        <sz val="10"/>
        <rFont val="Arial"/>
        <family val="2"/>
      </rPr>
      <t>for details and additional information.</t>
    </r>
  </si>
  <si>
    <r>
      <t xml:space="preserve">Request for Joint Logistics Over the Shore (JLOTS).  FEMA assigns this mission to DoD, drafts an </t>
    </r>
    <r>
      <rPr>
        <sz val="10"/>
        <color indexed="10"/>
        <rFont val="Arial"/>
        <family val="2"/>
      </rPr>
      <t>(Marshalling Area</t>
    </r>
    <r>
      <rPr>
        <sz val="10"/>
        <rFont val="Arial"/>
        <family val="2"/>
      </rPr>
      <t xml:space="preserve">), and sends it to the </t>
    </r>
    <r>
      <rPr>
        <sz val="10"/>
        <color indexed="10"/>
        <rFont val="Arial"/>
        <family val="2"/>
      </rPr>
      <t xml:space="preserve">(District Corps of Engineers) </t>
    </r>
    <r>
      <rPr>
        <sz val="10"/>
        <rFont val="Arial"/>
        <family val="2"/>
      </rPr>
      <t>for validation.</t>
    </r>
  </si>
  <si>
    <r>
      <t xml:space="preserve">Wastewater/HazMat Update:
- More than </t>
    </r>
    <r>
      <rPr>
        <sz val="10"/>
        <color indexed="10"/>
        <rFont val="Arial"/>
        <family val="2"/>
      </rPr>
      <t>(#)</t>
    </r>
    <r>
      <rPr>
        <sz val="10"/>
        <rFont val="Arial"/>
        <family val="2"/>
      </rPr>
      <t xml:space="preserve"> gallons of untreated sewage overflowed from a manhole near </t>
    </r>
    <r>
      <rPr>
        <sz val="10"/>
        <color indexed="10"/>
        <rFont val="Arial"/>
        <family val="2"/>
      </rPr>
      <t>(Highway)</t>
    </r>
    <r>
      <rPr>
        <sz val="10"/>
        <rFont val="Arial"/>
        <family val="2"/>
      </rPr>
      <t>. The sewer main was blocked with pieces of lumber, plastic bags, and grease. Some of the spill flowed into nearby (</t>
    </r>
    <r>
      <rPr>
        <sz val="10"/>
        <color indexed="10"/>
        <rFont val="Arial"/>
        <family val="2"/>
      </rPr>
      <t xml:space="preserve">Name) </t>
    </r>
    <r>
      <rPr>
        <sz val="10"/>
        <rFont val="Arial"/>
        <family val="2"/>
      </rPr>
      <t>Park. It is unknown how the foreign objects got into the sewage system.  While the rain didn’t cause the spill, it contributed to the volume.  
-</t>
    </r>
    <r>
      <rPr>
        <sz val="10"/>
        <color indexed="10"/>
        <rFont val="Arial"/>
        <family val="2"/>
      </rPr>
      <t xml:space="preserve"> (Wastewater Treatment Plant), (#) (Highway).</t>
    </r>
    <r>
      <rPr>
        <sz val="10"/>
        <rFont val="Arial"/>
        <family val="2"/>
      </rPr>
      <t xml:space="preserve"> About </t>
    </r>
    <r>
      <rPr>
        <sz val="10"/>
        <color indexed="10"/>
        <rFont val="Arial"/>
        <family val="2"/>
      </rPr>
      <t xml:space="preserve">(#) </t>
    </r>
    <r>
      <rPr>
        <sz val="10"/>
        <rFont val="Arial"/>
        <family val="2"/>
      </rPr>
      <t>gallons of partially treated wastewater spilled when injection wells at the plant overflowed. The wastewater had been filtered and disinfected.  Some of it ran into an adjacent ravine.
-</t>
    </r>
    <r>
      <rPr>
        <sz val="10"/>
        <color indexed="10"/>
        <rFont val="Arial"/>
        <family val="2"/>
      </rPr>
      <t xml:space="preserve"> (Golf Course), (Address) .</t>
    </r>
    <r>
      <rPr>
        <sz val="10"/>
        <rFont val="Arial"/>
        <family val="2"/>
      </rPr>
      <t xml:space="preserve"> An estimated </t>
    </r>
    <r>
      <rPr>
        <sz val="10"/>
        <color indexed="10"/>
        <rFont val="Arial"/>
        <family val="2"/>
      </rPr>
      <t xml:space="preserve">(#) </t>
    </r>
    <r>
      <rPr>
        <sz val="10"/>
        <rFont val="Arial"/>
        <family val="2"/>
      </rPr>
      <t xml:space="preserve">to </t>
    </r>
    <r>
      <rPr>
        <sz val="10"/>
        <color indexed="10"/>
        <rFont val="Arial"/>
        <family val="2"/>
      </rPr>
      <t>(#)</t>
    </r>
    <r>
      <rPr>
        <sz val="10"/>
        <rFont val="Arial"/>
        <family val="2"/>
      </rPr>
      <t xml:space="preserve"> gallons of untreated sewage overflowed from a manhole on the driving range of the military golf course. The wastewater was confined to the driving range. 
-</t>
    </r>
    <r>
      <rPr>
        <sz val="10"/>
        <color indexed="10"/>
        <rFont val="Arial"/>
        <family val="2"/>
      </rPr>
      <t xml:space="preserve"> (Locations) </t>
    </r>
    <r>
      <rPr>
        <sz val="10"/>
        <rFont val="Arial"/>
        <family val="2"/>
      </rPr>
      <t xml:space="preserve">Roughly </t>
    </r>
    <r>
      <rPr>
        <sz val="10"/>
        <color indexed="10"/>
        <rFont val="Arial"/>
        <family val="2"/>
      </rPr>
      <t xml:space="preserve">(#) </t>
    </r>
    <r>
      <rPr>
        <sz val="10"/>
        <rFont val="Arial"/>
        <family val="2"/>
      </rPr>
      <t xml:space="preserve">gallons of untreated sewage flowed from a manhole. The spill occurred where the city sewage system that serves </t>
    </r>
    <r>
      <rPr>
        <sz val="10"/>
        <color indexed="10"/>
        <rFont val="Arial"/>
        <family val="2"/>
      </rPr>
      <t>(</t>
    </r>
    <r>
      <rPr>
        <sz val="10"/>
        <color indexed="10"/>
        <rFont val="Arial"/>
        <family val="2"/>
      </rPr>
      <t>City)</t>
    </r>
    <r>
      <rPr>
        <sz val="10"/>
        <rFont val="Arial"/>
        <family val="2"/>
      </rPr>
      <t xml:space="preserve"> joins the privately operated </t>
    </r>
    <r>
      <rPr>
        <sz val="10"/>
        <color indexed="10"/>
        <rFont val="Arial"/>
        <family val="2"/>
      </rPr>
      <t>(system)</t>
    </r>
    <r>
      <rPr>
        <sz val="10"/>
        <rFont val="Arial"/>
        <family val="2"/>
      </rPr>
      <t>.</t>
    </r>
  </si>
  <si>
    <t>Details on numbers of evacuations for each location are found in fax to be injected later, and in truth binder.</t>
  </si>
  <si>
    <r>
      <t xml:space="preserve">SimCell </t>
    </r>
    <r>
      <rPr>
        <sz val="10"/>
        <color indexed="10"/>
        <rFont val="Arial"/>
        <family val="2"/>
      </rPr>
      <t>(Political)</t>
    </r>
  </si>
  <si>
    <r>
      <t xml:space="preserve">This is </t>
    </r>
    <r>
      <rPr>
        <sz val="10"/>
        <color indexed="10"/>
        <rFont val="Arial"/>
        <family val="2"/>
      </rPr>
      <t>(Name)</t>
    </r>
    <r>
      <rPr>
        <sz val="10"/>
        <rFont val="Arial"/>
        <family val="2"/>
      </rPr>
      <t xml:space="preserve">, Chief of Staff to U.S. </t>
    </r>
    <r>
      <rPr>
        <sz val="10"/>
        <rFont val="Arial"/>
        <family val="2"/>
      </rPr>
      <t xml:space="preserve">Senator </t>
    </r>
    <r>
      <rPr>
        <sz val="10"/>
        <color indexed="10"/>
        <rFont val="Arial"/>
        <family val="2"/>
      </rPr>
      <t>(Name)</t>
    </r>
    <r>
      <rPr>
        <sz val="10"/>
        <rFont val="Arial"/>
        <family val="2"/>
      </rPr>
      <t xml:space="preserve">.  When can we expect a formal briefing on the situation for the </t>
    </r>
    <r>
      <rPr>
        <sz val="10"/>
        <color indexed="10"/>
        <rFont val="Arial"/>
        <family val="2"/>
      </rPr>
      <t>(Location)</t>
    </r>
    <r>
      <rPr>
        <sz val="10"/>
        <rFont val="Arial"/>
        <family val="2"/>
      </rPr>
      <t>?</t>
    </r>
  </si>
  <si>
    <t>4, 9</t>
  </si>
  <si>
    <r>
      <t>(City Fire Department [FD])</t>
    </r>
    <r>
      <rPr>
        <sz val="10"/>
        <rFont val="Arial"/>
        <family val="2"/>
      </rPr>
      <t xml:space="preserve"> reports a house collapsed on neighborhood rescuers while trying to extract trapped family members and neighbors.  </t>
    </r>
    <r>
      <rPr>
        <sz val="10"/>
        <color indexed="10"/>
        <rFont val="Arial"/>
        <family val="2"/>
      </rPr>
      <t>(#)</t>
    </r>
    <r>
      <rPr>
        <sz val="10"/>
        <rFont val="Arial"/>
        <family val="2"/>
      </rPr>
      <t xml:space="preserve"> dead, over </t>
    </r>
    <r>
      <rPr>
        <sz val="10"/>
        <color indexed="10"/>
        <rFont val="Arial"/>
        <family val="2"/>
      </rPr>
      <t>(#)</t>
    </r>
    <r>
      <rPr>
        <sz val="10"/>
        <rFont val="Arial"/>
        <family val="2"/>
      </rPr>
      <t xml:space="preserve"> injured.  Search and rescue assistance is needed.</t>
    </r>
  </si>
  <si>
    <r>
      <t xml:space="preserve">(Area) </t>
    </r>
    <r>
      <rPr>
        <sz val="10"/>
        <rFont val="Arial"/>
        <family val="2"/>
      </rPr>
      <t xml:space="preserve">stream topped its banks and flooded </t>
    </r>
    <r>
      <rPr>
        <sz val="10"/>
        <color indexed="10"/>
        <rFont val="Arial"/>
        <family val="2"/>
      </rPr>
      <t xml:space="preserve">(Elementary School). </t>
    </r>
  </si>
  <si>
    <r>
      <t xml:space="preserve">(#) </t>
    </r>
    <r>
      <rPr>
        <sz val="10"/>
        <rFont val="Arial"/>
        <family val="2"/>
      </rPr>
      <t>percent</t>
    </r>
    <r>
      <rPr>
        <sz val="10"/>
        <color indexed="10"/>
        <rFont val="Arial"/>
        <family val="2"/>
      </rPr>
      <t xml:space="preserve"> </t>
    </r>
    <r>
      <rPr>
        <sz val="10"/>
        <rFont val="Arial"/>
        <family val="2"/>
      </rPr>
      <t xml:space="preserve">of the cellular network is inoperable because of relay tower outages.  Text message capability is extremely sporadic, and no voice communications are available.  Approximately </t>
    </r>
    <r>
      <rPr>
        <sz val="10"/>
        <color indexed="10"/>
        <rFont val="Arial"/>
        <family val="2"/>
      </rPr>
      <t>(#)</t>
    </r>
    <r>
      <rPr>
        <sz val="10"/>
        <rFont val="Arial"/>
        <family val="2"/>
      </rPr>
      <t xml:space="preserve"> percent of cell sites in </t>
    </r>
    <r>
      <rPr>
        <sz val="10"/>
        <color indexed="10"/>
        <rFont val="Arial"/>
        <family val="2"/>
      </rPr>
      <t xml:space="preserve">(Location) </t>
    </r>
    <r>
      <rPr>
        <sz val="10"/>
        <rFont val="Arial"/>
        <family val="2"/>
      </rPr>
      <t xml:space="preserve">have backup battery or generator power available.  </t>
    </r>
    <r>
      <rPr>
        <sz val="10"/>
        <color indexed="10"/>
        <rFont val="Arial"/>
        <family val="2"/>
      </rPr>
      <t>(#)</t>
    </r>
    <r>
      <rPr>
        <sz val="10"/>
        <rFont val="Arial"/>
        <family val="2"/>
      </rPr>
      <t xml:space="preserve"> percent of sites and towers are down because of flooding and wind damage, with debris blocking access for repairs and generator startups for the site.  (Communications Company) cellular service reports that the MCS (mobile cellular switch) is on generator backup with only </t>
    </r>
    <r>
      <rPr>
        <sz val="10"/>
        <color indexed="10"/>
        <rFont val="Arial"/>
        <family val="2"/>
      </rPr>
      <t xml:space="preserve">(#) </t>
    </r>
    <r>
      <rPr>
        <sz val="10"/>
        <rFont val="Arial"/>
        <family val="2"/>
      </rPr>
      <t xml:space="preserve">days of fuel.  Several cell sites in </t>
    </r>
    <r>
      <rPr>
        <sz val="10"/>
        <color indexed="10"/>
        <rFont val="Arial"/>
        <family val="2"/>
      </rPr>
      <t>(Location)</t>
    </r>
    <r>
      <rPr>
        <sz val="10"/>
        <rFont val="Arial"/>
        <family val="2"/>
      </rPr>
      <t xml:space="preserve"> are down because of transport issues (either </t>
    </r>
    <r>
      <rPr>
        <sz val="10"/>
        <color indexed="10"/>
        <rFont val="Arial"/>
        <family val="2"/>
      </rPr>
      <t>[</t>
    </r>
    <r>
      <rPr>
        <sz val="10"/>
        <color indexed="10"/>
        <rFont val="Arial"/>
        <family val="2"/>
      </rPr>
      <t xml:space="preserve">Name] </t>
    </r>
    <r>
      <rPr>
        <sz val="10"/>
        <rFont val="Arial"/>
        <family val="2"/>
      </rPr>
      <t xml:space="preserve">Telcom/Time Warner/AT&amp;T Microwave).  Need estimate from them on time to recovery.  There are tower failures affecting microwave hops.  Microwave dish alignment or cellular antenna failures.  Verizon, T-Mobile, Sprint/Nextel all report widespread outages, time to repair is unknown.  Debris blocks many cell relay tower locations, making repairs difficult.  </t>
    </r>
  </si>
  <si>
    <t xml:space="preserve">Details on damage for each location are found in truth binder and should be called in as updates or faxed if players do not call back for more detail.  </t>
  </si>
  <si>
    <r>
      <t xml:space="preserve">(Electric Company Name) </t>
    </r>
    <r>
      <rPr>
        <sz val="10"/>
        <rFont val="Arial"/>
        <family val="2"/>
      </rPr>
      <t xml:space="preserve">reports the entire </t>
    </r>
    <r>
      <rPr>
        <sz val="10"/>
        <color indexed="10"/>
        <rFont val="Arial"/>
        <family val="2"/>
      </rPr>
      <t>(Location)</t>
    </r>
    <r>
      <rPr>
        <sz val="10"/>
        <rFont val="Arial"/>
        <family val="2"/>
      </rPr>
      <t xml:space="preserve"> power outage will take approximately </t>
    </r>
    <r>
      <rPr>
        <sz val="10"/>
        <color indexed="10"/>
        <rFont val="Arial"/>
        <family val="2"/>
      </rPr>
      <t>(#)</t>
    </r>
    <r>
      <rPr>
        <sz val="10"/>
        <rFont val="Arial"/>
        <family val="2"/>
      </rPr>
      <t xml:space="preserve"> days to repair and reports there is damage to the following power plants: </t>
    </r>
    <r>
      <rPr>
        <sz val="10"/>
        <color indexed="10"/>
        <rFont val="Arial"/>
        <family val="2"/>
      </rPr>
      <t>(Locations)</t>
    </r>
    <r>
      <rPr>
        <sz val="10"/>
        <rFont val="Arial"/>
        <family val="2"/>
      </rPr>
      <t xml:space="preserve">.  Extensive damage throughout </t>
    </r>
    <r>
      <rPr>
        <sz val="10"/>
        <color indexed="10"/>
        <rFont val="Arial"/>
        <family val="2"/>
      </rPr>
      <t>(Location)</t>
    </r>
    <r>
      <rPr>
        <sz val="10"/>
        <rFont val="Arial"/>
        <family val="2"/>
      </rPr>
      <t>, downed poles and debris issues are hindering access to areas.</t>
    </r>
  </si>
  <si>
    <t>At the request of Governor Riley, the Alabama Adjutant General has directed the Joint Force Headquarters make preparations to fully activate and deploy a Joint Task Force in support of emergency response in the region of the Hurricane AL impact area. The JTF will be tasked with Defense Support to Civilian Authorities and other specific missions as identified by the Alabama Emergency Management Division. The JFHQ will prepare an Operations Order that outlines primary mission assignments, responsibilities and parameters.  JTF personnel should report to their assigned armory / staging area for immediate RSOI and deployment to the JOA.</t>
  </si>
  <si>
    <r>
      <rPr>
        <sz val="10"/>
        <color indexed="10"/>
        <rFont val="Arial"/>
        <family val="2"/>
      </rPr>
      <t>(Plant Name)</t>
    </r>
    <r>
      <rPr>
        <sz val="10"/>
        <rFont val="Arial"/>
        <family val="2"/>
      </rPr>
      <t xml:space="preserve"> unable to make asphalt at plant in </t>
    </r>
    <r>
      <rPr>
        <sz val="10"/>
        <color indexed="10"/>
        <rFont val="Arial"/>
        <family val="2"/>
      </rPr>
      <t xml:space="preserve">(Location) </t>
    </r>
    <r>
      <rPr>
        <sz val="10"/>
        <rFont val="Arial"/>
        <family val="2"/>
      </rPr>
      <t xml:space="preserve">due to hurricane damage. In addition, the </t>
    </r>
    <r>
      <rPr>
        <sz val="10"/>
        <color indexed="10"/>
        <rFont val="Arial"/>
        <family val="2"/>
      </rPr>
      <t>(Name)</t>
    </r>
    <r>
      <rPr>
        <sz val="10"/>
        <rFont val="Arial"/>
        <family val="2"/>
      </rPr>
      <t xml:space="preserve"> Asphalt facility located between Piers </t>
    </r>
    <r>
      <rPr>
        <sz val="10"/>
        <color indexed="10"/>
        <rFont val="Arial"/>
        <family val="2"/>
      </rPr>
      <t>(#)</t>
    </r>
    <r>
      <rPr>
        <sz val="10"/>
        <rFont val="Arial"/>
        <family val="2"/>
      </rPr>
      <t xml:space="preserve"> and </t>
    </r>
    <r>
      <rPr>
        <sz val="10"/>
        <color indexed="10"/>
        <rFont val="Arial"/>
        <family val="2"/>
      </rPr>
      <t>(#)</t>
    </r>
    <r>
      <rPr>
        <sz val="10"/>
        <rFont val="Arial"/>
        <family val="2"/>
      </rPr>
      <t xml:space="preserve"> at </t>
    </r>
    <r>
      <rPr>
        <sz val="10"/>
        <color indexed="10"/>
        <rFont val="Arial"/>
        <family val="2"/>
      </rPr>
      <t xml:space="preserve">(Location) </t>
    </r>
    <r>
      <rPr>
        <sz val="10"/>
        <rFont val="Arial"/>
        <family val="2"/>
      </rPr>
      <t xml:space="preserve">Harbor is also damaged. Expected time to repair both facilities is </t>
    </r>
    <r>
      <rPr>
        <sz val="10"/>
        <color indexed="10"/>
        <rFont val="Arial"/>
        <family val="2"/>
      </rPr>
      <t>(#)</t>
    </r>
    <r>
      <rPr>
        <sz val="10"/>
        <rFont val="Arial"/>
        <family val="2"/>
      </rPr>
      <t xml:space="preserve"> months.</t>
    </r>
  </si>
  <si>
    <r>
      <t xml:space="preserve">SimCell </t>
    </r>
    <r>
      <rPr>
        <sz val="10"/>
        <color indexed="10"/>
        <rFont val="Arial"/>
        <family val="2"/>
      </rPr>
      <t>(City County)</t>
    </r>
  </si>
  <si>
    <r>
      <t xml:space="preserve">(City/County/State Emergency Management Agency) </t>
    </r>
    <r>
      <rPr>
        <sz val="10"/>
        <rFont val="Arial"/>
        <family val="2"/>
      </rPr>
      <t>volunteers report sections of</t>
    </r>
    <r>
      <rPr>
        <sz val="10"/>
        <color indexed="10"/>
        <rFont val="Arial"/>
        <family val="2"/>
      </rPr>
      <t xml:space="preserve"> (Highway) </t>
    </r>
    <r>
      <rPr>
        <sz val="10"/>
        <rFont val="Arial"/>
        <family val="2"/>
      </rPr>
      <t xml:space="preserve">in the (Area) are covered with sand and debris. In addition, mud, debris, and standing water have caused road closures in </t>
    </r>
    <r>
      <rPr>
        <sz val="10"/>
        <color indexed="10"/>
        <rFont val="Arial"/>
        <family val="2"/>
      </rPr>
      <t>(Locations)</t>
    </r>
    <r>
      <rPr>
        <sz val="10"/>
        <rFont val="Arial"/>
        <family val="2"/>
      </rPr>
      <t>. Area residents are requesting help in clearing the mud and debris. Transportation road crews have been requested to assist with debris clearance.</t>
    </r>
  </si>
  <si>
    <r>
      <t xml:space="preserve">ESF 6 will coordinate with </t>
    </r>
    <r>
      <rPr>
        <sz val="10"/>
        <color indexed="10"/>
        <rFont val="Arial"/>
        <family val="2"/>
      </rPr>
      <t>(City/County Emergency Management Agency)</t>
    </r>
    <r>
      <rPr>
        <sz val="10"/>
        <rFont val="Arial"/>
        <family val="2"/>
      </rPr>
      <t xml:space="preserve"> to provide tents to various locations around the </t>
    </r>
    <r>
      <rPr>
        <sz val="10"/>
        <color indexed="10"/>
        <rFont val="Arial"/>
        <family val="2"/>
      </rPr>
      <t>(City/County/State)</t>
    </r>
    <r>
      <rPr>
        <sz val="10"/>
        <rFont val="Arial"/>
        <family val="2"/>
      </rPr>
      <t>.</t>
    </r>
  </si>
  <si>
    <r>
      <t xml:space="preserve">This is </t>
    </r>
    <r>
      <rPr>
        <sz val="10"/>
        <color indexed="10"/>
        <rFont val="Arial"/>
        <family val="2"/>
      </rPr>
      <t xml:space="preserve">(Name) </t>
    </r>
    <r>
      <rPr>
        <sz val="10"/>
        <rFont val="Arial"/>
        <family val="2"/>
      </rPr>
      <t xml:space="preserve">from </t>
    </r>
    <r>
      <rPr>
        <sz val="10"/>
        <color indexed="10"/>
        <rFont val="Arial"/>
        <family val="2"/>
      </rPr>
      <t xml:space="preserve">(City/County/State Emergency Management Agency) </t>
    </r>
    <r>
      <rPr>
        <sz val="10"/>
        <rFont val="Arial"/>
        <family val="2"/>
      </rPr>
      <t>contacting you with a</t>
    </r>
    <r>
      <rPr>
        <sz val="10"/>
        <color indexed="10"/>
        <rFont val="Arial"/>
        <family val="2"/>
      </rPr>
      <t xml:space="preserve"> (Request for Federal Assistance [RFA])</t>
    </r>
    <r>
      <rPr>
        <sz val="10"/>
        <rFont val="Arial"/>
        <family val="2"/>
      </rPr>
      <t xml:space="preserve"> for support of </t>
    </r>
    <r>
      <rPr>
        <sz val="10"/>
        <color indexed="10"/>
        <rFont val="Arial"/>
        <family val="2"/>
      </rPr>
      <t xml:space="preserve">(#) </t>
    </r>
    <r>
      <rPr>
        <sz val="10"/>
        <rFont val="Arial"/>
        <family val="2"/>
      </rPr>
      <t xml:space="preserve">residents that have been displaced in </t>
    </r>
    <r>
      <rPr>
        <sz val="10"/>
        <color indexed="10"/>
        <rFont val="Arial"/>
        <family val="2"/>
      </rPr>
      <t>(Location)</t>
    </r>
    <r>
      <rPr>
        <sz val="10"/>
        <rFont val="Arial"/>
        <family val="2"/>
      </rPr>
      <t xml:space="preserve">.  Tents and other sources of sheltering are needed for residents. </t>
    </r>
  </si>
  <si>
    <r>
      <t xml:space="preserve">ESF 7 will coordinate with </t>
    </r>
    <r>
      <rPr>
        <sz val="10"/>
        <color indexed="10"/>
        <rFont val="Arial"/>
        <family val="2"/>
      </rPr>
      <t>(State Emergency Management Agency)</t>
    </r>
    <r>
      <rPr>
        <sz val="10"/>
        <rFont val="Arial"/>
        <family val="2"/>
      </rPr>
      <t xml:space="preserve"> to provide requested resources.</t>
    </r>
  </si>
  <si>
    <r>
      <t xml:space="preserve">This is </t>
    </r>
    <r>
      <rPr>
        <sz val="10"/>
        <color indexed="10"/>
        <rFont val="Arial"/>
        <family val="2"/>
      </rPr>
      <t>(Name)</t>
    </r>
    <r>
      <rPr>
        <sz val="10"/>
        <rFont val="Arial"/>
        <family val="2"/>
      </rPr>
      <t xml:space="preserve"> from </t>
    </r>
    <r>
      <rPr>
        <sz val="10"/>
        <color indexed="10"/>
        <rFont val="Arial"/>
        <family val="2"/>
      </rPr>
      <t>(City)</t>
    </r>
    <r>
      <rPr>
        <sz val="10"/>
        <rFont val="Arial"/>
        <family val="2"/>
      </rPr>
      <t xml:space="preserve"> requesting</t>
    </r>
    <r>
      <rPr>
        <sz val="10"/>
        <color indexed="10"/>
        <rFont val="Arial"/>
        <family val="2"/>
      </rPr>
      <t xml:space="preserve"> (#) </t>
    </r>
    <r>
      <rPr>
        <sz val="10"/>
        <rFont val="Arial"/>
        <family val="2"/>
      </rPr>
      <t xml:space="preserve">bulldozers to assist in debris cleanup in downtown area of </t>
    </r>
    <r>
      <rPr>
        <sz val="10"/>
        <color indexed="10"/>
        <rFont val="Arial"/>
        <family val="2"/>
      </rPr>
      <t>(City).</t>
    </r>
  </si>
  <si>
    <t xml:space="preserve">
... HURRICANE AL SLOWS AND SHIFTS COURSE SLIGHTLY EASTWARD...
SUMMARY OF 1100 AM EDT...1500 UTC...INFORMATION
-----------------------------------------------
LOCATION...27.2N 89.0W
ABOUT 198 MILES...319 KM...SOUTH-SOUTHEAST OF NEW ORLEANS LOUISIANA
ABOUT 383 MILES...617 KM...WEST OF CLEARWATER FLORIDA
ABOUT 516 MILES...831 KM...EAST OF CORPUS CHRISTI TEXAS
MAXIMUM SUSTAINED WINDS...120 MPH...193 KM/HR
PRESENT MOVEMENT...NORTHERLY OR 360 DEGREES AT 12 MPH...19 KM/HR
MINIMUM CENTRAL PRESSURE 950 MB...28.05 INCHES
</t>
  </si>
  <si>
    <t xml:space="preserve">
...HURRICANE AL NEAR LANDFALL...NORTHERLY COURSE PUSHING SLIGHTLY EASTWARD...
SUMMARY OF 500 PM EDT...2100 UTC...INFORMATION
-----------------------------------------------
LOCATION...28.2N 88.8W
ABOUT 141 MILES...228 KM...EAST-SOUTHEAST OF NEW ORLEANS LOUISIANA 
ABOUT 175 MILES...283 KM...SOUTH OF MOBILE ALABAMA 
ABOUT 367 MILES...591 KM...WEST OF CLEARWATER FLORIDA
MAXIMUM SUSTAINED WINDS...125 MPH...193 KM/HR
PRESENT MOVEMENT...NORTHERLY OR 7 DEGREES AT 12 MPH...19 KM/HR
MINIMUM CENTRAL PRESSURE 948 MB...27.99 INCHES
</t>
  </si>
  <si>
    <t xml:space="preserve">
...HURRICANE AL APPROACHES THE GULF COAST...
SUMMARY OF 1100 PM EDT...0300 UTC...INFORMATION
-----------------------------------------------
LOCATION...29.2N 88.6W
ABOUT 102 MILES...164 KM...EAST-SOUTHEAST OF NEW ORLEANS LOUISIANA 
ABOUT 108 MILES...174 KM...SOUTH-SOUTHWEST OF MOBILE ALABAMA 
MAXIMUM SUSTAINED WINDS...130 MPH...209 KM/HR
PRESENT MOVEMENT...NORTHERLY OR 12 DEGREES AT 10 MPH...16 KM/HR
MINIMUM CENTRAL PRESSURE 945 MB...27.91 INCHES
</t>
  </si>
  <si>
    <t xml:space="preserve">
...HURRICANE AL LANDFALL IMMINENT BETWEEN BILOXI AND MOBILE...
SUMMARY OF 500 AM EDT...0900 UTC...INFORMATION
-----------------------------------------------
LOCATION...30.1N 88.4W
ABOUT 46 MILES...73 KM...SOUTH-SOUTHWEST OF MOBILE ALABAMA
ABOUT 100 MILES...162KM...EAST OF NEW ORLEANS LOUISIANA 
MAXIMUM SUSTAINED WINDS...145 MPH...233 KM/HR
PRESENT MOVEMENT...NORTHERLY OR 19 DEGREES AT 10 MPH...16 KM/HR
MINIMUM CENTRAL PRESSURE 944 MB...27.88 INCHES
</t>
  </si>
  <si>
    <r>
      <t>(State) t</t>
    </r>
    <r>
      <rPr>
        <sz val="10"/>
        <rFont val="Arial"/>
        <family val="2"/>
      </rPr>
      <t xml:space="preserve">elecommunications field unit reports on current assessment of landline and Internet service status: (Location) central office cable vault flooded by storm surge. CO Switch is operational, but </t>
    </r>
    <r>
      <rPr>
        <sz val="10"/>
        <color indexed="10"/>
        <rFont val="Arial"/>
        <family val="2"/>
      </rPr>
      <t>(#)</t>
    </r>
    <r>
      <rPr>
        <sz val="10"/>
        <rFont val="Arial"/>
        <family val="2"/>
      </rPr>
      <t xml:space="preserve"> cables are wet. Some fiber-based services operational, but unstable. Should be operational within</t>
    </r>
    <r>
      <rPr>
        <sz val="10"/>
        <color indexed="10"/>
        <rFont val="Arial"/>
        <family val="2"/>
      </rPr>
      <t xml:space="preserve"> (#) </t>
    </r>
    <r>
      <rPr>
        <sz val="10"/>
        <rFont val="Arial"/>
        <family val="2"/>
      </rPr>
      <t>hours. Multiple pole lines down due to high winds. Equipment shortages (poles) and debris cleanup will delay restoration; estimated repair time is</t>
    </r>
    <r>
      <rPr>
        <sz val="10"/>
        <color indexed="10"/>
        <rFont val="Arial"/>
        <family val="2"/>
      </rPr>
      <t xml:space="preserve"> (#) </t>
    </r>
    <r>
      <rPr>
        <sz val="10"/>
        <rFont val="Arial"/>
        <family val="2"/>
      </rPr>
      <t>weeks. Isolated MXU (remote switching equipment in the field) outages due to power outage. Restoration pending debris clearing and placing of portable generators. Request assistance for debris clearance and generators. At the</t>
    </r>
    <r>
      <rPr>
        <sz val="10"/>
        <color indexed="10"/>
        <rFont val="Arial"/>
        <family val="2"/>
      </rPr>
      <t xml:space="preserve"> (Location) </t>
    </r>
    <r>
      <rPr>
        <sz val="10"/>
        <rFont val="Arial"/>
        <family val="2"/>
      </rPr>
      <t xml:space="preserve">(Supply and Logistics), the storm surge caused major flooding to facility. Having problem providing equipment for restoration, may require </t>
    </r>
    <r>
      <rPr>
        <sz val="10"/>
        <color indexed="10"/>
        <rFont val="Arial"/>
        <family val="2"/>
      </rPr>
      <t xml:space="preserve">(#) </t>
    </r>
    <r>
      <rPr>
        <sz val="10"/>
        <rFont val="Arial"/>
        <family val="2"/>
      </rPr>
      <t xml:space="preserve">days for restoration. </t>
    </r>
  </si>
  <si>
    <r>
      <t xml:space="preserve">Fax list of ships from </t>
    </r>
    <r>
      <rPr>
        <sz val="10"/>
        <color indexed="10"/>
        <rFont val="Arial"/>
        <family val="2"/>
      </rPr>
      <t>(Name)</t>
    </r>
    <r>
      <rPr>
        <sz val="10"/>
        <rFont val="Arial"/>
        <family val="2"/>
      </rPr>
      <t xml:space="preserve">  document if asked for specific information.</t>
    </r>
  </si>
  <si>
    <r>
      <t xml:space="preserve">The </t>
    </r>
    <r>
      <rPr>
        <sz val="10"/>
        <color indexed="10"/>
        <rFont val="Arial"/>
        <family val="2"/>
      </rPr>
      <t>(Shipping Companies)</t>
    </r>
    <r>
      <rPr>
        <sz val="10"/>
        <rFont val="Arial"/>
        <family val="2"/>
      </rPr>
      <t xml:space="preserve"> have ships queued up for bringing their ships into </t>
    </r>
    <r>
      <rPr>
        <sz val="10"/>
        <color indexed="10"/>
        <rFont val="Arial"/>
        <family val="2"/>
      </rPr>
      <t>(City)</t>
    </r>
    <r>
      <rPr>
        <sz val="10"/>
        <rFont val="Arial"/>
        <family val="2"/>
      </rPr>
      <t xml:space="preserve"> after the storm. There are </t>
    </r>
    <r>
      <rPr>
        <sz val="10"/>
        <color indexed="10"/>
        <rFont val="Arial"/>
        <family val="2"/>
      </rPr>
      <t xml:space="preserve">(#) </t>
    </r>
    <r>
      <rPr>
        <sz val="10"/>
        <rFont val="Arial"/>
        <family val="2"/>
      </rPr>
      <t xml:space="preserve">ships operating within very high frequency (VHF) range of </t>
    </r>
    <r>
      <rPr>
        <sz val="10"/>
        <color indexed="10"/>
        <rFont val="Arial"/>
        <family val="2"/>
      </rPr>
      <t xml:space="preserve">(City) </t>
    </r>
    <r>
      <rPr>
        <sz val="10"/>
        <rFont val="Arial"/>
        <family val="2"/>
      </rPr>
      <t>and are awaiting offload instructions.  What is the priority order for these ships?</t>
    </r>
  </si>
  <si>
    <r>
      <t xml:space="preserve">Provide a status on the </t>
    </r>
    <r>
      <rPr>
        <sz val="10"/>
        <color indexed="10"/>
        <rFont val="Arial"/>
        <family val="2"/>
      </rPr>
      <t>(Location)</t>
    </r>
    <r>
      <rPr>
        <sz val="10"/>
        <rFont val="Arial"/>
        <family val="2"/>
      </rPr>
      <t>.</t>
    </r>
  </si>
  <si>
    <r>
      <t>This is</t>
    </r>
    <r>
      <rPr>
        <sz val="10"/>
        <color indexed="10"/>
        <rFont val="Arial"/>
        <family val="2"/>
      </rPr>
      <t xml:space="preserve"> (City/County/State Emergency Management Agency).</t>
    </r>
    <r>
      <rPr>
        <sz val="10"/>
        <rFont val="Arial"/>
        <family val="2"/>
      </rPr>
      <t xml:space="preserve">  With the </t>
    </r>
    <r>
      <rPr>
        <sz val="10"/>
        <color indexed="10"/>
        <rFont val="Arial"/>
        <family val="2"/>
      </rPr>
      <t xml:space="preserve">(Location) </t>
    </r>
    <r>
      <rPr>
        <sz val="10"/>
        <rFont val="Arial"/>
        <family val="2"/>
      </rPr>
      <t>being damaged, could you provide a timeframe for receiving goods into the port to be distributed here as well as shipped off to the other (</t>
    </r>
    <r>
      <rPr>
        <sz val="10"/>
        <color indexed="10"/>
        <rFont val="Arial"/>
        <family val="2"/>
      </rPr>
      <t>Location)</t>
    </r>
    <r>
      <rPr>
        <sz val="10"/>
        <rFont val="Arial"/>
        <family val="2"/>
      </rPr>
      <t>?  What other options do we have?</t>
    </r>
  </si>
  <si>
    <r>
      <t xml:space="preserve">The assistant manager at the </t>
    </r>
    <r>
      <rPr>
        <sz val="10"/>
        <color indexed="10"/>
        <rFont val="Arial"/>
        <family val="2"/>
      </rPr>
      <t xml:space="preserve">(Location) </t>
    </r>
    <r>
      <rPr>
        <sz val="10"/>
        <rFont val="Arial"/>
        <family val="2"/>
      </rPr>
      <t xml:space="preserve">reports that about over </t>
    </r>
    <r>
      <rPr>
        <sz val="10"/>
        <color indexed="10"/>
        <rFont val="Arial"/>
        <family val="2"/>
      </rPr>
      <t>(#)</t>
    </r>
    <r>
      <rPr>
        <sz val="10"/>
        <rFont val="Arial"/>
        <family val="2"/>
      </rPr>
      <t xml:space="preserve"> evacuees are looking for a place to stay but that the hotel is at capacity. Where can they go? The hotel also reported that they are having sewage backups throughout the property. </t>
    </r>
  </si>
  <si>
    <r>
      <t>(General Services Announcement)</t>
    </r>
    <r>
      <rPr>
        <sz val="10"/>
        <rFont val="Arial"/>
        <family val="2"/>
      </rPr>
      <t xml:space="preserve"> Inject.  Logistics coordination.</t>
    </r>
  </si>
  <si>
    <r>
      <t xml:space="preserve">The windows have blown out of the </t>
    </r>
    <r>
      <rPr>
        <sz val="10"/>
        <color indexed="10"/>
        <rFont val="Arial"/>
        <family val="2"/>
      </rPr>
      <t xml:space="preserve">(City/State) </t>
    </r>
    <r>
      <rPr>
        <sz val="10"/>
        <rFont val="Arial"/>
        <family val="2"/>
      </rPr>
      <t xml:space="preserve">Convention Center, but it is otherwise still intact. It is unsafe to take in additional people until the glass and debris are cleared.  </t>
    </r>
  </si>
  <si>
    <r>
      <t xml:space="preserve">DoD Inject 52:  If this does not happen, need to put in a contingency inject.  See </t>
    </r>
    <r>
      <rPr>
        <sz val="10"/>
        <color indexed="10"/>
        <rFont val="Arial"/>
        <family val="2"/>
      </rPr>
      <t xml:space="preserve">(Name) </t>
    </r>
    <r>
      <rPr>
        <sz val="10"/>
        <rFont val="Arial"/>
        <family val="2"/>
      </rPr>
      <t>for details and additional information for contingency inject.</t>
    </r>
  </si>
  <si>
    <r>
      <t>(State)</t>
    </r>
    <r>
      <rPr>
        <sz val="10"/>
        <rFont val="Arial"/>
        <family val="2"/>
      </rPr>
      <t xml:space="preserve"> submits an</t>
    </r>
    <r>
      <rPr>
        <sz val="10"/>
        <color indexed="10"/>
        <rFont val="Arial"/>
        <family val="2"/>
      </rPr>
      <t xml:space="preserve"> (Action Request Form [ARF])</t>
    </r>
    <r>
      <rPr>
        <sz val="10"/>
        <rFont val="Arial"/>
        <family val="2"/>
      </rPr>
      <t xml:space="preserve"> to</t>
    </r>
    <r>
      <rPr>
        <sz val="10"/>
        <color indexed="10"/>
        <rFont val="Arial"/>
        <family val="2"/>
      </rPr>
      <t xml:space="preserve"> </t>
    </r>
    <r>
      <rPr>
        <sz val="10"/>
        <rFont val="Arial"/>
        <family val="2"/>
      </rPr>
      <t xml:space="preserve">FEMA </t>
    </r>
    <r>
      <rPr>
        <sz val="10"/>
        <color indexed="10"/>
        <rFont val="Arial"/>
        <family val="2"/>
      </rPr>
      <t>(Region #)</t>
    </r>
    <r>
      <rPr>
        <sz val="10"/>
        <rFont val="Arial"/>
        <family val="2"/>
      </rPr>
      <t xml:space="preserve"> for support with the manifest and movement of evacuees from the assembly areas to the airport of embarkation (APOE) and seaport of embarkation (SPOE).</t>
    </r>
  </si>
  <si>
    <r>
      <t xml:space="preserve">DoD Inject 57:  See </t>
    </r>
    <r>
      <rPr>
        <sz val="10"/>
        <color indexed="10"/>
        <rFont val="Arial"/>
        <family val="2"/>
      </rPr>
      <t>(Name)</t>
    </r>
    <r>
      <rPr>
        <sz val="10"/>
        <rFont val="Arial"/>
        <family val="2"/>
      </rPr>
      <t xml:space="preserve"> for details and additional information.</t>
    </r>
  </si>
  <si>
    <r>
      <t xml:space="preserve">Locals are requesting tent city shelter space for </t>
    </r>
    <r>
      <rPr>
        <sz val="10"/>
        <color indexed="10"/>
        <rFont val="Arial"/>
        <family val="2"/>
      </rPr>
      <t xml:space="preserve">(#) </t>
    </r>
    <r>
      <rPr>
        <sz val="10"/>
        <rFont val="Arial"/>
        <family val="2"/>
      </rPr>
      <t>civilian displaced hurricane victims.</t>
    </r>
  </si>
  <si>
    <r>
      <t xml:space="preserve">Details on each neighborhood found in fax to be injected at </t>
    </r>
    <r>
      <rPr>
        <sz val="10"/>
        <color indexed="10"/>
        <rFont val="Arial"/>
        <family val="2"/>
      </rPr>
      <t>(Time)</t>
    </r>
    <r>
      <rPr>
        <sz val="10"/>
        <rFont val="Arial"/>
        <family val="2"/>
      </rPr>
      <t xml:space="preserve"> and in truth binder.</t>
    </r>
  </si>
  <si>
    <r>
      <t xml:space="preserve">Housing Update: 
- So far we have reports of significant damage to residential structures due to wind and flooding in </t>
    </r>
    <r>
      <rPr>
        <sz val="10"/>
        <color indexed="10"/>
        <rFont val="Arial"/>
        <family val="2"/>
      </rPr>
      <t xml:space="preserve">(City/County/State). </t>
    </r>
    <r>
      <rPr>
        <sz val="10"/>
        <rFont val="Arial"/>
        <family val="2"/>
      </rPr>
      <t xml:space="preserve">
- Additional reports of damage to residences in</t>
    </r>
    <r>
      <rPr>
        <sz val="10"/>
        <color indexed="10"/>
        <rFont val="Arial"/>
        <family val="2"/>
      </rPr>
      <t xml:space="preserve"> (City/County/State)</t>
    </r>
    <r>
      <rPr>
        <sz val="10"/>
        <rFont val="Arial"/>
        <family val="2"/>
      </rPr>
      <t xml:space="preserve">. Casualties not known, but search and rescue efforts may be necessary.
- </t>
    </r>
    <r>
      <rPr>
        <sz val="10"/>
        <color indexed="10"/>
        <rFont val="Arial"/>
        <family val="2"/>
      </rPr>
      <t>(#)</t>
    </r>
    <r>
      <rPr>
        <sz val="10"/>
        <rFont val="Arial"/>
        <family val="2"/>
      </rPr>
      <t xml:space="preserve"> homes on </t>
    </r>
    <r>
      <rPr>
        <sz val="10"/>
        <color indexed="10"/>
        <rFont val="Arial"/>
        <family val="2"/>
      </rPr>
      <t>(</t>
    </r>
    <r>
      <rPr>
        <sz val="10"/>
        <color indexed="10"/>
        <rFont val="Arial"/>
        <family val="2"/>
      </rPr>
      <t xml:space="preserve">City/County/State) damaged by </t>
    </r>
    <r>
      <rPr>
        <sz val="10"/>
        <color indexed="10"/>
        <rFont val="Arial"/>
        <family val="2"/>
      </rPr>
      <t>(Stream)</t>
    </r>
    <r>
      <rPr>
        <sz val="10"/>
        <color indexed="10"/>
        <rFont val="Arial"/>
        <family val="2"/>
      </rPr>
      <t xml:space="preserve"> </t>
    </r>
    <r>
      <rPr>
        <sz val="10"/>
        <rFont val="Arial"/>
        <family val="2"/>
      </rPr>
      <t xml:space="preserve">overtopping its banks.
- There are four major landslides and mudslides reported in </t>
    </r>
    <r>
      <rPr>
        <sz val="10"/>
        <color indexed="10"/>
        <rFont val="Arial"/>
        <family val="2"/>
      </rPr>
      <t xml:space="preserve">(Location) </t>
    </r>
    <r>
      <rPr>
        <sz val="10"/>
        <rFont val="Arial"/>
        <family val="2"/>
      </rPr>
      <t>that have destroyed numerous houses.</t>
    </r>
  </si>
  <si>
    <r>
      <t>The following Urgent Care Centers closed except for triage and stabilization in their parking lots:</t>
    </r>
    <r>
      <rPr>
        <sz val="10"/>
        <color indexed="10"/>
        <rFont val="Arial"/>
        <family val="2"/>
      </rPr>
      <t xml:space="preserve"> (Locations); </t>
    </r>
    <r>
      <rPr>
        <sz val="10"/>
        <rFont val="Arial"/>
        <family val="2"/>
      </rPr>
      <t xml:space="preserve"> however, </t>
    </r>
    <r>
      <rPr>
        <sz val="10"/>
        <color indexed="10"/>
        <rFont val="Arial"/>
        <family val="2"/>
      </rPr>
      <t>(Highway)</t>
    </r>
    <r>
      <rPr>
        <sz val="10"/>
        <rFont val="Arial"/>
        <family val="2"/>
      </rPr>
      <t xml:space="preserve"> is still closed. </t>
    </r>
  </si>
  <si>
    <t xml:space="preserve">
... HURRICANE AL MOVING NORTHWESTWARD...APPROACHING THE YUCATAN PENINSULA
TOMORROW...
SUMMARY OF 1700 AM EDT...2100 UTC...INFORMATION
-----------------------------------------------
LOCATION...19.0N 84.1W
ABOUT 179 MILES...288 KM...SOUTHWEST OF GEORGE TOWN CAYMAN ISLANDS 
ABOUT 229 MILES...367 KM...SOUTHEAST OF COZUMEL MEXICO
ABOUT 287 MILES...463 KM...EAST-NORTHEAST OF BELIZE CITY BELIZE
MAXIMUM SUSTAINED WINDS...120 MPH...193 KM/HR
PRESENT MOVEMENT...WNW OR 307 DEGREES AT 15 MPH...24 KM/HR
MINIMUM CENTRAL PRESSURE...953 MB...28.14 INCHES
</t>
  </si>
  <si>
    <t xml:space="preserve">
... HURRICANE AL THREATENS CANCUN...
SUMMARY OF 2300 AM EDT...0300 UTC...INFORMATION
-----------------------------------------------
LOCATION...19.9N 85.1W
ABOUT 141 MILES...228 KM...SOUTHWEST OF CANCUN MEXICO
ABOUT 245 MILES...395 KM...WEST-SOUTHWEST OF GEORGE TOWN CAYMAN ISLANDS 
ABOUT 261 MILES...421 KM...NORTHEAST OF BELIZE CITY BELIZE
MAXIMUM SUSTAINED WINDS...120 MPH...193 KM/HR
PRESENT MOVEMENT...WNW OR 306 DEGREES AT 20 MPH...32 KM/HR
MINIMUM CENTRAL PRESSURE...952 MB...28.11 INCHES
</t>
  </si>
  <si>
    <t xml:space="preserve">
... HURRICANE AL EYE JUST OFF THE TIP OF THE YUCATAN...
SUMMARY OF 0500 AM EDT...0900 UTC...INFORMATION
-----------------------------------------------
LOCATION...21.2N 86.2W
ABOUT 41 MILES...66 KM...EAST OF CANCUN MEXICO
ABOUT 67 MILES...109 KM...NORTHEAST COZUMEL MEXICO 
ABOUT 94 MILES...152 KM...WEST-SOUTHWEST OF THE WESTERN TIP OF CUBA
MAXIMUM SUSTAINED WINDS...105 MPH...168 KM/HR
PRESENT MOVEMENT...WNW OR 316 DEGREES AT 12 MPH...19 KM/HR
MINIMUM CENTRAL PRESSURE...955 MB...28.20 INCHES
</t>
  </si>
  <si>
    <t xml:space="preserve">
... HURRICANE AL PASSES NORTH OF CANCUN...ENTERS THE GULF OF MEXICO...
SUMMARY OF 1100 AM EDT...1500 UTC...INFORMATION
-----------------------------------------------
LOCATION...22.0N 86.8W
ABOUT 58 MILES...94 KM...NORTH OF CANCUN MEXICO
ABOUT 120 MILES...193 KM...WEST OF THE WESTERN TIP OF CUBA
MAXIMUM SUSTAINED WINDS...105 MPH...169 KM/HR
PRESENT MOVEMENT...WNW OR 314 DEGREES AT 15 MPH...24 KM/HR
MINIMUM CENTRAL PRESSURE...960 MB...28.35 INCHES
</t>
  </si>
  <si>
    <t xml:space="preserve">
... HURRICANE AL GAINS MOMENTUM AS A CATEGORY TWO HURRICANE...
SUMMARY OF 2300 PM EDT...0300 UTC...INFORMATION
-----------------------------------------------
LOCATION...17.1N 80.9W
ABOUT 184 MILES...296 KM...WEST-SOUTHWEST NEGRIL JAMAICA 
ABOUT 154 MILES...249 KM...SOUTH-SOUTHEAST OF GEORGE TOWN CAYMAN ISLANDS 
MAXIMUM SUSTAINED WINDS...105 MPH...169 KM/HR
PRESENT MOVEMENT...WNW OR 292 DEGREES AT 15 MPH...24 KM/HR
MINIMUM CENTRAL PRESSURE...963 MB...28.44 INCHES
</t>
  </si>
  <si>
    <t xml:space="preserve">
... HURRICANE AL CONTINUES ON A TRACK TOWARD COZUMEL...
SUMMARY OF 0500 AM EDT...0900 UTC...INFORMATION
-----------------------------------------------
LOCATION...17.7N 82.1W
ABOUT 250 MILES...401 KM...WEST-SOUTHWEST NEGRIL JAMAICA 
ABOUT 154 MILES...249 KM...SOUTH-SOUTHEAST OF GEORGE TOWN CAYMAN ISLANDS 
MAXIMUM SUSTAINED WINDS...105 MPH...169 KM/HR
PRESENT MOVEMENT...WNW OR 294 DEGREES AT 14 MPH...23 KM/HR
MINIMUM CENTRAL PRESSURE...960 MB...28.35 INCHES
</t>
  </si>
  <si>
    <t xml:space="preserve">
... HURRICANE AL MOVING NORTHWESTWARD...APPROACHING THE YUCATAN PENINSULA
TOMORROW...
SUMMARY OF 1100 AM EDT...1500 UTC...INFORMATION
-----------------------------------------------
LOCATION...18.3N 83.1W
ABOUT 129 MILES...208 KM...SOUTHWEST OF GEORGE TOWN CAYMAN ISLANDS 
ABOUT 290 MILES...466 KM...SOUTHEAST OF COZUMEL MEXICO
ABOUT 339 MILES...545 KM...EAST-NORTHEAST OF BELIZE CITY BELIZE
MAXIMUM SUSTAINED WINDS...120 MPH...193 KM/HR
PRESENT MOVEMENT...WNW OR 303 DEGREES AT 14 MPH...23 KM/HR
MINIMUM CENTRAL PRESSURE...956 MB...28.23 INCHES
</t>
  </si>
  <si>
    <t xml:space="preserve">
...AL BECOMES A HURRICANE AS IT NEARS THE NORTH COAST OF NICARAGUA...
SUMMARY OF 1100 PM EDT...0300 UTC...INFORMATION
-----------------------------------------------
LOCATION...15.50 N 77.10 W
ABOUT 172 MILES...277 KM...SOUTH SOUTHEAST OF KINGSTON JAMAICA 
ABOUT 366 MILES...589 KM...NORTH-NORTHWEST OF CARTAGENA COLUMBIA 
MAXIMUM SUSTAINED WINDS...85 MPH...137 KM/HR
PRESENT MOVEMENT...WNW OR 284 DEGREES AT 12 MPH...19 KM/HR
MINIMUM CENTRAL PRESSURE...980 MB...28.94 INCHES
</t>
  </si>
  <si>
    <t xml:space="preserve">
...AL REMAINS A CAT 1 HURRICANE MOVING EAST TO WEST...SOUTH OF JAMAICA...GAINING STRENGTH...
SUMMARY OF 0500 AM EDT...0900 UTC...INFORMATION
-----------------------------------------------
LOCATION...15.90 N 78.10 W
ABOUT 159 MILES... 255 KM... SOUTH NEGRIL JAMAICA 
ABOUT 317 MILES... 510 KM... SOUTHEAST OF GEORGE TOWN CAYMAN ISLANDS 
ABOUT 375 MILES... 604 KM... EAST-NORTHEAST OF PUERTO CABEZAS NICARAGUA 
MAXIMUM SUSTAINED WINDS...85 MPH...137 KM/HR
PRESENT MOVEMENT...WNW OR 282 DEGREES AT 12 MPH...19 KM/HR
MINIMUM CENTRAL PRESSURE...979 MB...28.91 INCHES
</t>
  </si>
  <si>
    <t xml:space="preserve">
... HURRICANE AL TRACKS TOWARD THE YUCATAN...
SUMMARY OF 1100 AM EDT...0900 UTC...INFORMATION
-----------------------------------------------
LOCATION...16.3N 79.0W
ABOUT 257 MILES... 321 KM...SOUTH SOUTHEAST OF GEORGE TOWN CAYMAN ISLANDS 
ABOUT 137 MILES... 222 KM...SOUTH OF NEGRIL JAMAICA 
MAXIMUM SUSTAINED WINDS...85 MPH...137 KM/HR
PRESENT MOVEMENT...WNW OR 284 DEGREES AT 12 MPH...19 KM/HR
MINIMUM CENTRAL PRESSURE...977 MB...28.85 INCHES
</t>
  </si>
  <si>
    <t>INJECT DTG</t>
  </si>
  <si>
    <t xml:space="preserve">
... HURRICANE AL TRACKS TOWARD THE YUCATAN...AS A CATEGORY TWO HURRICANE...
SUMMARY OF 0500 AM EDT...0900 UTC...INFORMATION
-----------------------------------------------
LOCATION...16.7N 80.0W
ABOUT 199 MILES... 321 KM...SOUTH SOUTHEAST OF GEORGE TOWN CAYMAN ISLANDS 
ABOUT 150 MILES... 241 KM...NEGRIL JAMAICA 
MAXIMUM SUSTAINED WINDS...105 MPH...169 KM/HR
PRESENT MOVEMENT...WNW OR 292 DEGREES AT 12 MPH...19 KM/HR
MINIMUM CENTRAL PRESSURE...968 MB...28.59 INCHES
</t>
  </si>
  <si>
    <t xml:space="preserve">Just received notification that several Soldiers were involved in an attack and several were injured or  killed currently waiting on their status. NOK processed started. </t>
  </si>
  <si>
    <t>MSG CTR/TAG</t>
  </si>
  <si>
    <t>MSG CTR informs TAG/Sr. Staff/JOC</t>
  </si>
  <si>
    <t xml:space="preserve">The Governor of Alabama has issued a declaration of emergency for Mobile, Baldwin and surrounding counties.  </t>
  </si>
  <si>
    <t>Governor orders Contra-flow of I-65</t>
  </si>
  <si>
    <t>email</t>
  </si>
  <si>
    <t>FRAGO to 62nd Troop Command</t>
  </si>
  <si>
    <t>Contra Flow</t>
  </si>
  <si>
    <t>simcell_LNO</t>
  </si>
  <si>
    <t>SEOC/LNO</t>
  </si>
  <si>
    <t>WARNO to 62nd Troop Command</t>
  </si>
  <si>
    <t>SEOC</t>
  </si>
  <si>
    <t xml:space="preserve">
...FIRST TROPICAL STORM OF THE SEASON...AL NEARS THE COAST OF NICARAGUA...
SUMMARY OF 1100 AM EDT...1500 UTC...INFORMATION
-----------------------------------------------
LOCATION...14.9N 74.9W
ABOUT 220 MILES...354 KM...SOUTH SOUTHEAST OF KINGSTON JAMAICA 
ABOUT 280 MILES...450 KM...NORTH OF BARRANQUILLA COLUMBIA 
ABOUT 510 MILES...820 KM...NORTHEAST OF PANAMA CITY PANAMA
MAXIMUM SUSTAINED WINDS...45 MPH...39 KM/HR
PRESENT MOVEMENT...WNW OR 276 DEGREES AT 15 MPH...24 KM/HR
MINIMUM CENTRAL PRESSURE...999 MB...29.5 INCHES
</t>
  </si>
  <si>
    <t xml:space="preserve">
...TROPICAL STORM AL STRENGTHENS AS IT NEARS THE COAST OF NICARAGUA...
SUMMARY OF 1700 AM EDT...2100 UTC...INFORMATION
-----------------------------------------------
LOCATION...15.30 N 76.20 W
ABOUT 188 MILES...303 KM...167 DEGREES...SOUTH-SOUTHEAST OF KINGSTON JAMAICA 
ABOUT 312 MILES...502 KM...343 DEGREES...NORTH-NORTHWEST OF BARRANQUILLA COLUMBIA 
MAXIMUM SUSTAINED WINDS...60 MPH...99 KM/HR
PRESENT MOVEMENT...WESTERLY OR 275 DEGREES AT 10 MPH...16 KM/HR
MINIMUM CENTRAL PRESSURE...997 MB...29.44 INCHES
</t>
  </si>
  <si>
    <t>A news station reports that additional flooding and power outages continue to plague the city. At this time, police  and deputy sheriffs are evacuating residents from flooded areas to designated shelters.</t>
  </si>
  <si>
    <t>A phone call from the WTP to the water utility manager states that the treatment chemicals are running low.  Shipments have been delayed due to the storm.  Utility manager alerts EM Director to potential situation.</t>
  </si>
  <si>
    <t>Multiple news stations summarize the events occurring in the area during the storm (water shortage, evacuation, flooding, power outages, etc.).</t>
  </si>
  <si>
    <t>LNO</t>
  </si>
  <si>
    <t>simcell-SEOC</t>
  </si>
  <si>
    <t>AEMA</t>
  </si>
  <si>
    <t>J35</t>
  </si>
  <si>
    <t>LNO Request</t>
  </si>
  <si>
    <t>Email Emits message'  AEMA SEOC Request ALNG Provide LNO to Mobile and Baldwin Cty EMAs.  Report to County EOC</t>
  </si>
  <si>
    <t>Messer</t>
  </si>
  <si>
    <t>SASO</t>
  </si>
  <si>
    <t>SASO Request</t>
  </si>
  <si>
    <t>EOC contacts 122CSG</t>
  </si>
  <si>
    <t>EOC contacts Troop Command</t>
  </si>
  <si>
    <t xml:space="preserve">Email Emits message'  AEMA SEOC Request ALNG Provide SASO to MAFB </t>
  </si>
  <si>
    <t>SEOC Log Cell</t>
  </si>
  <si>
    <t>SEOC Log Cell Request</t>
  </si>
  <si>
    <t>Email Emits message'  AEMA SEOC Request ALNG Provide SEOC Log Cell to Clanton Al.</t>
  </si>
  <si>
    <t>simcell-citizen</t>
  </si>
  <si>
    <t>citizen</t>
  </si>
  <si>
    <t>Message Center</t>
  </si>
  <si>
    <t>Report of Accident</t>
  </si>
  <si>
    <t>EOC RFIs MACOMS regarding report of accident/vehicles on road</t>
  </si>
  <si>
    <t>Citizen:  I am a retired ARNG member and I just say one of your Humvee's run a stop sign and hit a mini van, and flipped it and it ran off the road.  I didn't see anyone get out of either vehicle.  I have called 911, just thought you guys wanted to know.</t>
  </si>
  <si>
    <t>MVC/ Fatality</t>
  </si>
  <si>
    <t>Unannounced media at front gate</t>
  </si>
  <si>
    <t>Simcell - Gate Guard</t>
  </si>
  <si>
    <t>Gate Guard</t>
  </si>
  <si>
    <t>MSG CTR</t>
  </si>
  <si>
    <t>MSG CTR informs AFP officer &amp; PAO</t>
  </si>
  <si>
    <t>Some media has just arrived wanting to talk with TAG about upcoming hurricane and what the Guard is going to do.</t>
  </si>
  <si>
    <t>Bachus</t>
  </si>
  <si>
    <t>Simcell-Gate Guard</t>
  </si>
  <si>
    <t>I just witnessed an accident at the gate in which a large truck  was hit by a civilian car. What should I do?</t>
  </si>
  <si>
    <t>MSG CTR reports to J3/ who calls 911?</t>
  </si>
  <si>
    <t>J1</t>
  </si>
  <si>
    <t>simcell-EOC</t>
  </si>
  <si>
    <t>EOC</t>
  </si>
  <si>
    <t>J1 informs TAG &amp; J3</t>
  </si>
  <si>
    <t>SIR should be developed/ NGB notified/ TAG/ PAO/  CCIR tracking established</t>
  </si>
  <si>
    <t>JTF</t>
  </si>
  <si>
    <t>Need NLWS for security mission</t>
  </si>
  <si>
    <t>MRE request</t>
  </si>
  <si>
    <t xml:space="preserve"> HMMWV Roll over</t>
  </si>
  <si>
    <t>SIR</t>
  </si>
  <si>
    <t>Hydroplane into ditch due to high speed of travel and bad road conditions.  Soldiers hurt</t>
  </si>
  <si>
    <t>HMMWV Roll over Report</t>
  </si>
  <si>
    <r>
      <t xml:space="preserve">SimCell                            </t>
    </r>
    <r>
      <rPr>
        <sz val="10"/>
        <color indexed="10"/>
        <rFont val="Arial"/>
        <family val="2"/>
      </rPr>
      <t xml:space="preserve"> (NEWS Agency)</t>
    </r>
  </si>
  <si>
    <t>Local NEWS Reporter</t>
  </si>
  <si>
    <t>Accident of HMMWV and ask if trend due to second accident</t>
  </si>
  <si>
    <t>NEWS interview request</t>
  </si>
  <si>
    <r>
      <t xml:space="preserve">SimCell                           </t>
    </r>
    <r>
      <rPr>
        <sz val="10"/>
        <color indexed="10"/>
        <rFont val="Arial"/>
        <family val="2"/>
      </rPr>
      <t xml:space="preserve"> (NEWS Agency)</t>
    </r>
  </si>
  <si>
    <t>JTF/ JOC</t>
  </si>
  <si>
    <t>Asking for NEWS interview/ Human intrest story</t>
  </si>
  <si>
    <t>Armory Sanitation Backing up</t>
  </si>
  <si>
    <t>RFI/ Phone</t>
  </si>
  <si>
    <t>JOC, CFMO</t>
  </si>
  <si>
    <t>Armory used as staging area has no water or sanitation</t>
  </si>
  <si>
    <t>Phone / SIR</t>
  </si>
  <si>
    <t>local thug at gun point forces the surrender of weapon from Private while on guard duty. No one hurt Weapon and 10 rounds taken.</t>
  </si>
  <si>
    <t>Need Sandbags for damning and Road Barriers for Traffic control</t>
  </si>
  <si>
    <t>NGB</t>
  </si>
  <si>
    <t>Set up event and Share with NGB</t>
  </si>
  <si>
    <t>Request for JET</t>
  </si>
  <si>
    <t>JIEE</t>
  </si>
  <si>
    <t>Does the JOC need a JET or PARRT</t>
  </si>
  <si>
    <t>DCO</t>
  </si>
  <si>
    <t>Set NGB Confrenece call up</t>
  </si>
  <si>
    <t>Sharing of NGB Battle Rhythm with other impacted States</t>
  </si>
  <si>
    <t>Kahl</t>
  </si>
  <si>
    <t>A phone call from the wastewater treatment plant (WWTP) superintendent to the public works manager is made. The backup generator has just failed at the WWTP, and upon inspection, a new main rotor is required. He will put a call in to the supplier. In the meantime, the equalization basin is starting to become full and raw sewage will need to be discharged to the river. Superintendent calls local EM Director to advise.</t>
  </si>
  <si>
    <t>A second phone call from the WWTP superintendent to the EM Director is made. The generator parts supplier was called but they do not have the generator part in stock. Due to the storm, the delivery time will be delayed by at least 1-2 days.</t>
  </si>
  <si>
    <r>
      <rPr>
        <sz val="10"/>
        <color indexed="10"/>
        <rFont val="Arial"/>
        <family val="2"/>
      </rPr>
      <t>(Company Name)</t>
    </r>
    <r>
      <rPr>
        <sz val="10"/>
        <rFont val="Arial"/>
        <family val="2"/>
      </rPr>
      <t xml:space="preserve"> reports that one of the two molasses tanks with a total capacity of </t>
    </r>
    <r>
      <rPr>
        <sz val="10"/>
        <color indexed="10"/>
        <rFont val="Arial"/>
        <family val="2"/>
      </rPr>
      <t xml:space="preserve">(#) </t>
    </r>
    <r>
      <rPr>
        <sz val="10"/>
        <rFont val="Arial"/>
        <family val="2"/>
      </rPr>
      <t xml:space="preserve">gallons is leaking and is creating a small spill at Pier </t>
    </r>
    <r>
      <rPr>
        <sz val="10"/>
        <color indexed="10"/>
        <rFont val="Arial"/>
        <family val="2"/>
      </rPr>
      <t>(#).</t>
    </r>
  </si>
  <si>
    <r>
      <t>Authority exists from</t>
    </r>
    <r>
      <rPr>
        <sz val="10"/>
        <color indexed="10"/>
        <rFont val="Arial"/>
        <family val="2"/>
      </rPr>
      <t xml:space="preserve"> (United States Coast Guard), (United States Corps of Engineers), (State) (Department of Transportation) , (Supervisor of Salvage) </t>
    </r>
    <r>
      <rPr>
        <sz val="10"/>
        <rFont val="Arial"/>
        <family val="2"/>
      </rPr>
      <t xml:space="preserve">mobile diving salvage unit, commercial salvage. </t>
    </r>
  </si>
  <si>
    <r>
      <t>There are numerous vessels that have sunk in the</t>
    </r>
    <r>
      <rPr>
        <sz val="10"/>
        <color indexed="10"/>
        <rFont val="Arial"/>
        <family val="2"/>
      </rPr>
      <t xml:space="preserve"> (Location). </t>
    </r>
    <r>
      <rPr>
        <sz val="10"/>
        <rFont val="Arial"/>
        <family val="2"/>
      </rPr>
      <t>Who is responsible for removing these wrecks?</t>
    </r>
  </si>
  <si>
    <t>5,15</t>
  </si>
  <si>
    <r>
      <t>SitRep-type document outlining status of response efforts, shelter status, fire/ems/</t>
    </r>
    <r>
      <rPr>
        <sz val="10"/>
        <color indexed="10"/>
        <rFont val="Arial"/>
        <family val="2"/>
      </rPr>
      <t>(search and rescue)</t>
    </r>
    <r>
      <rPr>
        <sz val="10"/>
        <rFont val="Arial"/>
        <family val="2"/>
      </rPr>
      <t>, transportation, debris clearance status, health/medical, HazMat, utility updates.</t>
    </r>
  </si>
  <si>
    <r>
      <t>(County)</t>
    </r>
    <r>
      <rPr>
        <sz val="10"/>
        <rFont val="Arial"/>
        <family val="2"/>
      </rPr>
      <t xml:space="preserve"> perdisreps </t>
    </r>
    <r>
      <rPr>
        <sz val="10"/>
        <color indexed="10"/>
        <rFont val="Arial"/>
        <family val="2"/>
      </rPr>
      <t>(Periodic Situation Reports)</t>
    </r>
    <r>
      <rPr>
        <sz val="10"/>
        <rFont val="Arial"/>
        <family val="2"/>
      </rPr>
      <t xml:space="preserve"> provided.</t>
    </r>
  </si>
  <si>
    <t>Example - Keane</t>
  </si>
  <si>
    <t>City Official Request</t>
  </si>
  <si>
    <t>JOC</t>
  </si>
  <si>
    <t xml:space="preserve">County EOC generator in working time to fix unknown </t>
  </si>
  <si>
    <t>Should refer this request to State EOC</t>
  </si>
  <si>
    <r>
      <t>SimCell</t>
    </r>
    <r>
      <rPr>
        <sz val="10"/>
        <color indexed="10"/>
        <rFont val="Arial"/>
        <family val="2"/>
      </rPr>
      <t xml:space="preserve"> (LEA)</t>
    </r>
  </si>
  <si>
    <t>Sheriff Deputy</t>
  </si>
  <si>
    <t>Sheriff deputy is Guards M-day officer requests evacuation assistance</t>
  </si>
  <si>
    <t xml:space="preserve">City Police </t>
  </si>
  <si>
    <t>Mayor wants a National Guard presence in a low impacted area Sees national guard in all the cities but hers</t>
  </si>
  <si>
    <t>Refer request to state, PAO may be invovled to prepare a response in advance for the media</t>
  </si>
  <si>
    <t xml:space="preserve">Phone </t>
  </si>
  <si>
    <t>White Cell - JTF South</t>
  </si>
  <si>
    <t>Hospital</t>
  </si>
  <si>
    <t>JTF South</t>
  </si>
  <si>
    <t>Emergency Room Entrance Blocked. Hospital Administrator askes for help to clear route</t>
  </si>
  <si>
    <t xml:space="preserve">JTF should call in report and JOC call state EOC </t>
  </si>
  <si>
    <t>RFA</t>
  </si>
  <si>
    <t>Deployed LNO</t>
  </si>
  <si>
    <t xml:space="preserve">LNO Deployed and has been using personal Cell phone. Requests Cell phone activation/ purchase/ issuance </t>
  </si>
  <si>
    <t>J6 should be involved for solution. Personal Cell phonoe use for missions should not be used if possible.</t>
  </si>
  <si>
    <t>Rental car request</t>
  </si>
  <si>
    <t xml:space="preserve">LNO Deployed and has been tasked with an LNO mission and asking for rental car authorization  </t>
  </si>
  <si>
    <t>State policy prevals.  Military vehicles my be used for missions but this mission the Vehicles will be sitting a county EOCs</t>
  </si>
  <si>
    <r>
      <t xml:space="preserve">Port Update:
- The </t>
    </r>
    <r>
      <rPr>
        <sz val="10"/>
        <color indexed="10"/>
        <rFont val="Arial"/>
        <family val="2"/>
      </rPr>
      <t xml:space="preserve">(Location) </t>
    </r>
    <r>
      <rPr>
        <sz val="10"/>
        <rFont val="Arial"/>
        <family val="2"/>
      </rPr>
      <t>located at the rear of Pier</t>
    </r>
    <r>
      <rPr>
        <sz val="10"/>
        <color indexed="10"/>
        <rFont val="Arial"/>
        <family val="2"/>
      </rPr>
      <t xml:space="preserve"> (#)</t>
    </r>
    <r>
      <rPr>
        <sz val="10"/>
        <rFont val="Arial"/>
        <family val="2"/>
      </rPr>
      <t xml:space="preserve"> suffered significant damage from wind and inundation.  Bottom floors destroyed, and people are present trying to steal goods from the damaged stores. Additional security is needed to seal this building from looters.
- Pier (</t>
    </r>
    <r>
      <rPr>
        <sz val="10"/>
        <color indexed="10"/>
        <rFont val="Arial"/>
        <family val="2"/>
      </rPr>
      <t>#)</t>
    </r>
    <r>
      <rPr>
        <sz val="10"/>
        <rFont val="Arial"/>
        <family val="2"/>
      </rPr>
      <t xml:space="preserve"> has suffered minor damages. Several </t>
    </r>
    <r>
      <rPr>
        <sz val="10"/>
        <color indexed="10"/>
        <rFont val="Arial"/>
        <family val="2"/>
      </rPr>
      <t>(Name)</t>
    </r>
    <r>
      <rPr>
        <sz val="10"/>
        <rFont val="Arial"/>
        <family val="2"/>
      </rPr>
      <t xml:space="preserve"> trees lie across the piers and will need to be removed. Additional debris is blocking the roadway directly behind the piers and the </t>
    </r>
    <r>
      <rPr>
        <sz val="10"/>
        <color indexed="10"/>
        <rFont val="Arial"/>
        <family val="2"/>
      </rPr>
      <t>(location)</t>
    </r>
    <r>
      <rPr>
        <sz val="10"/>
        <rFont val="Arial"/>
        <family val="2"/>
      </rPr>
      <t xml:space="preserve">. Will need chainsaws and heavy equipment to remove the vegetative debris.
- Debris left by the retreating flood (storm surge) waters blocks access in and out of Pier </t>
    </r>
    <r>
      <rPr>
        <sz val="10"/>
        <color indexed="10"/>
        <rFont val="Arial"/>
        <family val="2"/>
      </rPr>
      <t>(#).</t>
    </r>
    <r>
      <rPr>
        <sz val="10"/>
        <rFont val="Arial"/>
        <family val="2"/>
      </rPr>
      <t xml:space="preserve">
- Pier </t>
    </r>
    <r>
      <rPr>
        <sz val="10"/>
        <color indexed="10"/>
        <rFont val="Arial"/>
        <family val="2"/>
      </rPr>
      <t>(#)</t>
    </r>
    <r>
      <rPr>
        <sz val="10"/>
        <rFont val="Arial"/>
        <family val="2"/>
      </rPr>
      <t xml:space="preserve"> suffered severe structural damage to the area used by the Coast Guard for shuttle boat service to the Main base on</t>
    </r>
    <r>
      <rPr>
        <sz val="10"/>
        <color indexed="10"/>
        <rFont val="Arial"/>
        <family val="2"/>
      </rPr>
      <t xml:space="preserve"> (Location). </t>
    </r>
    <r>
      <rPr>
        <sz val="10"/>
        <rFont val="Arial"/>
        <family val="2"/>
      </rPr>
      <t xml:space="preserve">
- Mud, sand, and other debris left from retreating flood waters has created hazards at entry points to Pier </t>
    </r>
    <r>
      <rPr>
        <sz val="10"/>
        <color indexed="10"/>
        <rFont val="Arial"/>
        <family val="2"/>
      </rPr>
      <t>(#).</t>
    </r>
    <r>
      <rPr>
        <sz val="10"/>
        <rFont val="Arial"/>
        <family val="2"/>
      </rPr>
      <t xml:space="preserve"> The South side of Pier </t>
    </r>
    <r>
      <rPr>
        <sz val="10"/>
        <color indexed="10"/>
        <rFont val="Arial"/>
        <family val="2"/>
      </rPr>
      <t>(#)</t>
    </r>
    <r>
      <rPr>
        <sz val="10"/>
        <rFont val="Arial"/>
        <family val="2"/>
      </rPr>
      <t xml:space="preserve"> has been washed out and is unusable. </t>
    </r>
  </si>
  <si>
    <t xml:space="preserve"> Hundreds of people are seeking medical care at fire stations, emergency rooms, etc. for cuts, puncture wounds, etc. We do not have enough medics to triage these individuals or bandages/splints/etc.</t>
  </si>
  <si>
    <t>Sewage contaminated debris needs to be cleaned up.</t>
  </si>
  <si>
    <r>
      <t>There is sewage in the</t>
    </r>
    <r>
      <rPr>
        <sz val="10"/>
        <color indexed="10"/>
        <rFont val="Arial"/>
        <family val="2"/>
      </rPr>
      <t xml:space="preserve"> (Location/City)</t>
    </r>
    <r>
      <rPr>
        <sz val="10"/>
        <rFont val="Arial"/>
        <family val="2"/>
      </rPr>
      <t>.</t>
    </r>
    <r>
      <rPr>
        <sz val="10"/>
        <color indexed="10"/>
        <rFont val="Arial"/>
        <family val="2"/>
      </rPr>
      <t xml:space="preserve"> </t>
    </r>
    <r>
      <rPr>
        <sz val="10"/>
        <rFont val="Arial"/>
        <family val="2"/>
      </rPr>
      <t xml:space="preserve">The city will be contaminated with raw sewage and oil. </t>
    </r>
  </si>
  <si>
    <t>5, 7</t>
  </si>
  <si>
    <t>In conference call as well.</t>
  </si>
  <si>
    <r>
      <t>(City/County/State Emergency Management Agency)</t>
    </r>
    <r>
      <rPr>
        <sz val="10"/>
        <rFont val="Arial"/>
        <family val="2"/>
      </rPr>
      <t xml:space="preserve"> EOCs report that only approximately </t>
    </r>
    <r>
      <rPr>
        <sz val="10"/>
        <color indexed="10"/>
        <rFont val="Arial"/>
        <family val="2"/>
      </rPr>
      <t>(#)</t>
    </r>
    <r>
      <rPr>
        <sz val="10"/>
        <rFont val="Arial"/>
        <family val="2"/>
      </rPr>
      <t xml:space="preserve"> days of food remain on</t>
    </r>
    <r>
      <rPr>
        <sz val="10"/>
        <color indexed="10"/>
        <rFont val="Arial"/>
        <family val="2"/>
      </rPr>
      <t xml:space="preserve"> (Location).</t>
    </r>
  </si>
  <si>
    <t>ESF 3, 10</t>
  </si>
  <si>
    <t>3, 6</t>
  </si>
  <si>
    <r>
      <t xml:space="preserve">Numerous shelters </t>
    </r>
    <r>
      <rPr>
        <sz val="10"/>
        <color indexed="10"/>
        <rFont val="Arial"/>
        <family val="2"/>
      </rPr>
      <t>(List Shelter[s]</t>
    </r>
    <r>
      <rPr>
        <sz val="10"/>
        <rFont val="Arial"/>
        <family val="2"/>
      </rPr>
      <t xml:space="preserve">) report that porta potties are full, and toilets are not working due to lack of water. </t>
    </r>
  </si>
  <si>
    <r>
      <t xml:space="preserve">(State) </t>
    </r>
    <r>
      <rPr>
        <sz val="10"/>
        <rFont val="Arial"/>
        <family val="2"/>
      </rPr>
      <t>telecommunications is reporting that full functionality is restored to baseyard (Supply and Logistics) to support restoration activity.</t>
    </r>
  </si>
  <si>
    <r>
      <t xml:space="preserve">The </t>
    </r>
    <r>
      <rPr>
        <sz val="10"/>
        <color indexed="10"/>
        <rFont val="Arial"/>
        <family val="2"/>
      </rPr>
      <t>(#)</t>
    </r>
    <r>
      <rPr>
        <sz val="10"/>
        <rFont val="Arial"/>
        <family val="2"/>
      </rPr>
      <t xml:space="preserve"> concrete grain silos at Piers</t>
    </r>
    <r>
      <rPr>
        <sz val="10"/>
        <color indexed="10"/>
        <rFont val="Arial"/>
        <family val="2"/>
      </rPr>
      <t xml:space="preserve"> (#)</t>
    </r>
    <r>
      <rPr>
        <sz val="10"/>
        <rFont val="Arial"/>
        <family val="2"/>
      </rPr>
      <t xml:space="preserve"> and </t>
    </r>
    <r>
      <rPr>
        <sz val="10"/>
        <color indexed="10"/>
        <rFont val="Arial"/>
        <family val="2"/>
      </rPr>
      <t>(#)</t>
    </r>
    <r>
      <rPr>
        <sz val="10"/>
        <rFont val="Arial"/>
        <family val="2"/>
      </rPr>
      <t xml:space="preserve"> were not structurally affected by the storm based on a cursory visual inspection, but a more detailed secondary inspection is needed before they can be put back into operation. </t>
    </r>
    <r>
      <rPr>
        <sz val="10"/>
        <color indexed="10"/>
        <rFont val="Arial"/>
        <family val="2"/>
      </rPr>
      <t xml:space="preserve"> (Food Service)</t>
    </r>
    <r>
      <rPr>
        <sz val="10"/>
        <rFont val="Arial"/>
        <family val="2"/>
      </rPr>
      <t xml:space="preserve"> reports that this will have an enormous impact on their operations. They are want to know if they can process the grain stored in the silos or if it must be destroyed.</t>
    </r>
  </si>
  <si>
    <r>
      <t>We will be needing additional mental health support at shelters across the</t>
    </r>
    <r>
      <rPr>
        <sz val="10"/>
        <color indexed="10"/>
        <rFont val="Arial"/>
        <family val="2"/>
      </rPr>
      <t xml:space="preserve"> (City/State)</t>
    </r>
    <r>
      <rPr>
        <sz val="10"/>
        <rFont val="Arial"/>
        <family val="2"/>
      </rPr>
      <t xml:space="preserve"> to help residents and visitors deal with the trauma of the recent few days.  How many can we expect to obtain, and when?</t>
    </r>
  </si>
  <si>
    <r>
      <t>Hotel Update: The hotel manager of the</t>
    </r>
    <r>
      <rPr>
        <sz val="10"/>
        <color indexed="10"/>
        <rFont val="Arial"/>
        <family val="2"/>
      </rPr>
      <t xml:space="preserve"> (Hotel)</t>
    </r>
    <r>
      <rPr>
        <sz val="10"/>
        <rFont val="Arial"/>
        <family val="2"/>
      </rPr>
      <t xml:space="preserve"> reports that guests want to know where else they can stay. </t>
    </r>
    <r>
      <rPr>
        <sz val="10"/>
        <color indexed="10"/>
        <rFont val="Arial"/>
        <family val="2"/>
      </rPr>
      <t xml:space="preserve"> (Hotel) </t>
    </r>
    <r>
      <rPr>
        <sz val="10"/>
        <rFont val="Arial"/>
        <family val="2"/>
      </rPr>
      <t xml:space="preserve">has reported that their generators are running out of fuel and will not last more than </t>
    </r>
    <r>
      <rPr>
        <sz val="10"/>
        <color indexed="10"/>
        <rFont val="Arial"/>
        <family val="2"/>
      </rPr>
      <t>(#)</t>
    </r>
    <r>
      <rPr>
        <sz val="10"/>
        <rFont val="Arial"/>
        <family val="2"/>
      </rPr>
      <t xml:space="preserve"> hours. </t>
    </r>
  </si>
  <si>
    <r>
      <t>Shelter Update: The following shelters report that they only have enough food to sustain the people staying at their locations for another</t>
    </r>
    <r>
      <rPr>
        <sz val="10"/>
        <color indexed="10"/>
        <rFont val="Arial"/>
        <family val="2"/>
      </rPr>
      <t xml:space="preserve"> (#) </t>
    </r>
    <r>
      <rPr>
        <sz val="10"/>
        <rFont val="Arial"/>
        <family val="2"/>
      </rPr>
      <t xml:space="preserve">hours. </t>
    </r>
    <r>
      <rPr>
        <sz val="10"/>
        <color indexed="10"/>
        <rFont val="Arial"/>
        <family val="2"/>
      </rPr>
      <t>(Name of Schools)</t>
    </r>
    <r>
      <rPr>
        <sz val="10"/>
        <rFont val="Arial"/>
        <family val="2"/>
      </rPr>
      <t xml:space="preserve"> need food to support their current sheltered populations.</t>
    </r>
  </si>
  <si>
    <r>
      <t xml:space="preserve">SimCell </t>
    </r>
    <r>
      <rPr>
        <sz val="10"/>
        <color indexed="10"/>
        <rFont val="Arial"/>
        <family val="2"/>
      </rPr>
      <t>(Health and Hospitals)</t>
    </r>
  </si>
  <si>
    <r>
      <t>DoD Inject 140:  See</t>
    </r>
    <r>
      <rPr>
        <sz val="10"/>
        <color indexed="15"/>
        <rFont val="Arial"/>
        <family val="2"/>
      </rPr>
      <t xml:space="preserve"> </t>
    </r>
    <r>
      <rPr>
        <sz val="10"/>
        <color indexed="10"/>
        <rFont val="Arial"/>
        <family val="2"/>
      </rPr>
      <t xml:space="preserve">(Name) </t>
    </r>
    <r>
      <rPr>
        <sz val="10"/>
        <rFont val="Arial"/>
        <family val="2"/>
      </rPr>
      <t>for details and additional information.</t>
    </r>
  </si>
  <si>
    <r>
      <t>(Hospital)</t>
    </r>
    <r>
      <rPr>
        <sz val="10"/>
        <rFont val="Arial"/>
        <family val="2"/>
      </rPr>
      <t xml:space="preserve"> is requesting communication support.</t>
    </r>
  </si>
  <si>
    <r>
      <t xml:space="preserve">On the </t>
    </r>
    <r>
      <rPr>
        <sz val="10"/>
        <color indexed="10"/>
        <rFont val="Arial"/>
        <family val="2"/>
      </rPr>
      <t>(Location)</t>
    </r>
    <r>
      <rPr>
        <sz val="10"/>
        <rFont val="Arial"/>
        <family val="2"/>
      </rPr>
      <t xml:space="preserve">, opposite Pier </t>
    </r>
    <r>
      <rPr>
        <sz val="10"/>
        <color indexed="10"/>
        <rFont val="Arial"/>
        <family val="2"/>
      </rPr>
      <t>(#) (Location)</t>
    </r>
    <r>
      <rPr>
        <sz val="10"/>
        <rFont val="Arial"/>
        <family val="2"/>
      </rPr>
      <t>, sewer, waste oil, and compressed air pipelines have been punctured. The waste oil pipeline has suffered a minor leak, and a small sheen is noticeable.</t>
    </r>
  </si>
  <si>
    <r>
      <t xml:space="preserve">(Name of Shipping Companies) </t>
    </r>
    <r>
      <rPr>
        <sz val="10"/>
        <rFont val="Arial"/>
        <family val="2"/>
      </rPr>
      <t xml:space="preserve">report that their security perimeter fences were compromised during the storm and that there is evidence that vandalism has occurred on their property. They request security personnel to guard their property until they can get the fence repaired.  However, there is a shortage of security guards on </t>
    </r>
    <r>
      <rPr>
        <sz val="10"/>
        <color indexed="10"/>
        <rFont val="Arial"/>
        <family val="2"/>
      </rPr>
      <t>(Location)</t>
    </r>
    <r>
      <rPr>
        <sz val="10"/>
        <rFont val="Arial"/>
        <family val="2"/>
      </rPr>
      <t xml:space="preserve"> as well as the neighboring </t>
    </r>
    <r>
      <rPr>
        <sz val="10"/>
        <color indexed="10"/>
        <rFont val="Arial"/>
        <family val="2"/>
      </rPr>
      <t>(Locations)</t>
    </r>
    <r>
      <rPr>
        <sz val="10"/>
        <rFont val="Arial"/>
        <family val="2"/>
      </rPr>
      <t xml:space="preserve"> because of businesses hiring extra security help.</t>
    </r>
  </si>
  <si>
    <r>
      <t xml:space="preserve">SimCell </t>
    </r>
    <r>
      <rPr>
        <sz val="10"/>
        <color indexed="10"/>
        <rFont val="Arial"/>
        <family val="2"/>
      </rPr>
      <t>(American Red Cross)</t>
    </r>
  </si>
  <si>
    <r>
      <t xml:space="preserve">Prompt a discussion on whether or not vaccination is necessary since </t>
    </r>
    <r>
      <rPr>
        <sz val="10"/>
        <color indexed="10"/>
        <rFont val="Arial"/>
        <family val="2"/>
      </rPr>
      <t>(Department of Hospitals)</t>
    </r>
    <r>
      <rPr>
        <sz val="10"/>
        <rFont val="Arial"/>
        <family val="2"/>
      </rPr>
      <t xml:space="preserve"> does not maintain a cache in a nearby location.</t>
    </r>
  </si>
  <si>
    <r>
      <t xml:space="preserve">This is the Red Cross shelter near the windward area of </t>
    </r>
    <r>
      <rPr>
        <sz val="10"/>
        <color indexed="10"/>
        <rFont val="Arial"/>
        <family val="2"/>
      </rPr>
      <t>(Location)</t>
    </r>
    <r>
      <rPr>
        <sz val="10"/>
        <rFont val="Arial"/>
        <family val="2"/>
      </rPr>
      <t>. We are receiving displaced people who were exposed to and contaminated with sewage that backed up in their area. Evacuees who are physicians here are demanding mass vaccination for hepatitis A/IG injections based on fecal-oral exposure.</t>
    </r>
  </si>
  <si>
    <r>
      <t xml:space="preserve">There are numerous pig carcasses floating in the </t>
    </r>
    <r>
      <rPr>
        <sz val="10"/>
        <color indexed="10"/>
        <rFont val="Arial"/>
        <family val="2"/>
      </rPr>
      <t>(Location)</t>
    </r>
    <r>
      <rPr>
        <sz val="10"/>
        <rFont val="Arial"/>
        <family val="2"/>
      </rPr>
      <t xml:space="preserve"> area creating health concerns to area residents.</t>
    </r>
  </si>
  <si>
    <r>
      <t xml:space="preserve">SimCell </t>
    </r>
    <r>
      <rPr>
        <sz val="10"/>
        <color indexed="10"/>
        <rFont val="Arial"/>
        <family val="2"/>
      </rPr>
      <t>(DMORT)</t>
    </r>
  </si>
  <si>
    <r>
      <t xml:space="preserve">(Department of Hospitals) </t>
    </r>
    <r>
      <rPr>
        <sz val="10"/>
        <rFont val="Arial"/>
        <family val="2"/>
      </rPr>
      <t xml:space="preserve">provides additional resources and coordinates with </t>
    </r>
    <r>
      <rPr>
        <sz val="10"/>
        <color indexed="10"/>
        <rFont val="Arial"/>
        <family val="2"/>
      </rPr>
      <t>(State Coordinating Officer)</t>
    </r>
    <r>
      <rPr>
        <sz val="10"/>
        <rFont val="Arial"/>
        <family val="2"/>
      </rPr>
      <t xml:space="preserve"> to store remains and establish collection points/plans.</t>
    </r>
  </si>
  <si>
    <r>
      <t xml:space="preserve">This is </t>
    </r>
    <r>
      <rPr>
        <sz val="10"/>
        <color indexed="10"/>
        <rFont val="Arial"/>
        <family val="2"/>
      </rPr>
      <t>(Location)</t>
    </r>
    <r>
      <rPr>
        <sz val="10"/>
        <rFont val="Arial"/>
        <family val="2"/>
      </rPr>
      <t xml:space="preserve"> </t>
    </r>
    <r>
      <rPr>
        <sz val="10"/>
        <color indexed="10"/>
        <rFont val="Arial"/>
        <family val="2"/>
      </rPr>
      <t>(Disaster Mortuary Response Te</t>
    </r>
    <r>
      <rPr>
        <sz val="10"/>
        <color indexed="10"/>
        <rFont val="Arial"/>
        <family val="2"/>
      </rPr>
      <t>am [DMORT])</t>
    </r>
    <r>
      <rPr>
        <sz val="10"/>
        <rFont val="Arial"/>
        <family val="2"/>
      </rPr>
      <t xml:space="preserve">. We just arrived at the </t>
    </r>
    <r>
      <rPr>
        <sz val="10"/>
        <color indexed="10"/>
        <rFont val="Arial"/>
        <family val="2"/>
      </rPr>
      <t>(Cemetery) (Address)</t>
    </r>
    <r>
      <rPr>
        <sz val="10"/>
        <rFont val="Arial"/>
        <family val="2"/>
      </rPr>
      <t>. We haven't reached any other sites and are already overwhelmed with the handling and identification of the exposed bodies. We estimate thousands of exposed bodies and will need assistance with the collection of the exposed.</t>
    </r>
  </si>
  <si>
    <r>
      <t>SimCell</t>
    </r>
    <r>
      <rPr>
        <sz val="10"/>
        <color indexed="10"/>
        <rFont val="Arial"/>
        <family val="2"/>
      </rPr>
      <t xml:space="preserve"> (</t>
    </r>
    <r>
      <rPr>
        <sz val="10"/>
        <color indexed="10"/>
        <rFont val="Arial"/>
        <family val="2"/>
      </rPr>
      <t>Private Sector)</t>
    </r>
  </si>
  <si>
    <r>
      <t xml:space="preserve">The blood bank is running low on their blood supplies and is in need of about </t>
    </r>
    <r>
      <rPr>
        <sz val="10"/>
        <color indexed="10"/>
        <rFont val="Arial"/>
        <family val="2"/>
      </rPr>
      <t>(#)</t>
    </r>
    <r>
      <rPr>
        <sz val="10"/>
        <rFont val="Arial"/>
        <family val="2"/>
      </rPr>
      <t xml:space="preserve"> donors and blood donation supplies to help hospitals donate blood.</t>
    </r>
  </si>
  <si>
    <r>
      <t>Shelter Update: 
- LIST shelter sustained severe flood damage in parts of campus.</t>
    </r>
    <r>
      <rPr>
        <sz val="10"/>
        <color indexed="10"/>
        <rFont val="Arial"/>
        <family val="2"/>
      </rPr>
      <t xml:space="preserve"> (Location) </t>
    </r>
    <r>
      <rPr>
        <sz val="10"/>
        <rFont val="Arial"/>
        <family val="2"/>
      </rPr>
      <t>special needs evacuees need to be transported to another location with the capabilities to care for them. 
-</t>
    </r>
    <r>
      <rPr>
        <sz val="10"/>
        <color indexed="10"/>
        <rFont val="Arial"/>
        <family val="2"/>
      </rPr>
      <t xml:space="preserve"> (Name)</t>
    </r>
    <r>
      <rPr>
        <sz val="10"/>
        <rFont val="Arial"/>
        <family val="2"/>
      </rPr>
      <t xml:space="preserve"> Center reports that the shelter is at full capacity, housing </t>
    </r>
    <r>
      <rPr>
        <sz val="10"/>
        <color indexed="10"/>
        <rFont val="Arial"/>
        <family val="2"/>
      </rPr>
      <t>(#)</t>
    </r>
    <r>
      <rPr>
        <sz val="10"/>
        <rFont val="Arial"/>
        <family val="2"/>
      </rPr>
      <t xml:space="preserve"> evacuees. The facilities are to take care of more special needs patients than they are currently housing, but other evacuees are using those spaces. Can they be moved anywhere? 
- Over</t>
    </r>
    <r>
      <rPr>
        <sz val="10"/>
        <color indexed="10"/>
        <rFont val="Arial"/>
        <family val="2"/>
      </rPr>
      <t xml:space="preserve"> (#) </t>
    </r>
    <r>
      <rPr>
        <sz val="10"/>
        <rFont val="Arial"/>
        <family val="2"/>
      </rPr>
      <t xml:space="preserve">people with pets are looking for shelter. The owners will not leave their pets, where can they go? </t>
    </r>
  </si>
  <si>
    <r>
      <t>(American Red Cross)</t>
    </r>
    <r>
      <rPr>
        <sz val="10"/>
        <rFont val="Arial"/>
        <family val="2"/>
      </rPr>
      <t xml:space="preserve">/FEMA provide information on organizing. </t>
    </r>
    <r>
      <rPr>
        <sz val="10"/>
        <color indexed="10"/>
        <rFont val="Arial"/>
        <family val="2"/>
      </rPr>
      <t>(American Red Cross)</t>
    </r>
    <r>
      <rPr>
        <sz val="10"/>
        <rFont val="Arial"/>
        <family val="2"/>
      </rPr>
      <t xml:space="preserve"> International or USAID may be able to assist. </t>
    </r>
  </si>
  <si>
    <t xml:space="preserve">Request technical assistance in organizing encampment and tent cities. Disorganization is creating health, fire, and logistics problems. </t>
  </si>
  <si>
    <r>
      <t>(Education Officer) (State Coordinating Officer)</t>
    </r>
    <r>
      <rPr>
        <sz val="10"/>
        <rFont val="Arial"/>
        <family val="2"/>
      </rPr>
      <t xml:space="preserve"> work with </t>
    </r>
    <r>
      <rPr>
        <sz val="10"/>
        <color indexed="10"/>
        <rFont val="Arial"/>
        <family val="2"/>
      </rPr>
      <t>(Department of Education Department Operations Center)</t>
    </r>
    <r>
      <rPr>
        <sz val="10"/>
        <rFont val="Arial"/>
        <family val="2"/>
      </rPr>
      <t xml:space="preserve"> to give a timeframe for school re-opening; </t>
    </r>
    <r>
      <rPr>
        <sz val="10"/>
        <color indexed="10"/>
        <rFont val="Arial"/>
        <family val="2"/>
      </rPr>
      <t xml:space="preserve">(Name of School)  (Department of Education) </t>
    </r>
  </si>
  <si>
    <r>
      <t>Security for School Shelters Needed:
-</t>
    </r>
    <r>
      <rPr>
        <sz val="10"/>
        <color indexed="10"/>
        <rFont val="Arial"/>
        <family val="2"/>
      </rPr>
      <t xml:space="preserve"> </t>
    </r>
    <r>
      <rPr>
        <sz val="10"/>
        <rFont val="Arial"/>
        <family val="2"/>
      </rPr>
      <t>This is</t>
    </r>
    <r>
      <rPr>
        <sz val="10"/>
        <color indexed="10"/>
        <rFont val="Arial"/>
        <family val="2"/>
      </rPr>
      <t xml:space="preserve"> (Name), (High School) </t>
    </r>
    <r>
      <rPr>
        <sz val="10"/>
        <rFont val="Arial"/>
        <family val="2"/>
      </rPr>
      <t>Superintendent. Individuals being sheltered at</t>
    </r>
    <r>
      <rPr>
        <sz val="10"/>
        <color indexed="10"/>
        <rFont val="Arial"/>
        <family val="2"/>
      </rPr>
      <t xml:space="preserve"> (High School) </t>
    </r>
    <r>
      <rPr>
        <sz val="10"/>
        <rFont val="Arial"/>
        <family val="2"/>
      </rPr>
      <t xml:space="preserve">are ripping out the siding of the building and using it for firewood. That building is on the National Register and is one of the oldest buildings in the county. She would like the shelter moved, the cattle gates closed, and the school secured.
- Principal of </t>
    </r>
    <r>
      <rPr>
        <sz val="10"/>
        <color indexed="10"/>
        <rFont val="Arial"/>
        <family val="2"/>
      </rPr>
      <t>(Location)</t>
    </r>
    <r>
      <rPr>
        <sz val="10"/>
        <rFont val="Arial"/>
        <family val="2"/>
      </rPr>
      <t xml:space="preserve"> is reporting that sheltering individuals are breaking into rooms on campus and occupying these rooms as shelters. 
- </t>
    </r>
    <r>
      <rPr>
        <sz val="10"/>
        <color indexed="10"/>
        <rFont val="Arial"/>
        <family val="2"/>
      </rPr>
      <t>(High School)</t>
    </r>
    <r>
      <rPr>
        <sz val="10"/>
        <rFont val="Arial"/>
        <family val="2"/>
      </rPr>
      <t xml:space="preserve"> custodian reports that sheltering individuals are destroying the </t>
    </r>
    <r>
      <rPr>
        <sz val="10"/>
        <color indexed="10"/>
        <rFont val="Arial"/>
        <family val="2"/>
      </rPr>
      <t>(State)</t>
    </r>
    <r>
      <rPr>
        <sz val="10"/>
        <rFont val="Arial"/>
        <family val="2"/>
      </rPr>
      <t xml:space="preserve">/Chorus room and are removing valuable </t>
    </r>
    <r>
      <rPr>
        <sz val="10"/>
        <color indexed="10"/>
        <rFont val="Arial"/>
        <family val="2"/>
      </rPr>
      <t>(Location)</t>
    </r>
    <r>
      <rPr>
        <sz val="10"/>
        <rFont val="Arial"/>
        <family val="2"/>
      </rPr>
      <t xml:space="preserve"> pieces. Custodian requests that the sheltering individuals be moved to </t>
    </r>
    <r>
      <rPr>
        <sz val="10"/>
        <color indexed="10"/>
        <rFont val="Arial"/>
        <family val="2"/>
      </rPr>
      <t>(City</t>
    </r>
    <r>
      <rPr>
        <sz val="10"/>
        <rFont val="Arial"/>
        <family val="2"/>
      </rPr>
      <t>) Recreation Center.</t>
    </r>
  </si>
  <si>
    <r>
      <t xml:space="preserve">School Issues:
- </t>
    </r>
    <r>
      <rPr>
        <sz val="10"/>
        <color indexed="10"/>
        <rFont val="Arial"/>
        <family val="2"/>
      </rPr>
      <t xml:space="preserve">(Name) </t>
    </r>
    <r>
      <rPr>
        <sz val="10"/>
        <rFont val="Arial"/>
        <family val="2"/>
      </rPr>
      <t xml:space="preserve">Assistant Superintendent of </t>
    </r>
    <r>
      <rPr>
        <sz val="10"/>
        <color indexed="10"/>
        <rFont val="Arial"/>
        <family val="2"/>
      </rPr>
      <t>(Department of Education</t>
    </r>
    <r>
      <rPr>
        <sz val="10"/>
        <rFont val="Arial"/>
        <family val="2"/>
      </rPr>
      <t xml:space="preserve">), requests a timeline when all schools presently used as a shelter will be released and school operations will begin assessment. </t>
    </r>
    <r>
      <rPr>
        <sz val="10"/>
        <color indexed="10"/>
        <rFont val="Arial"/>
        <family val="2"/>
      </rPr>
      <t>(State)</t>
    </r>
    <r>
      <rPr>
        <sz val="10"/>
        <rFont val="Arial"/>
        <family val="2"/>
      </rPr>
      <t xml:space="preserve"> presently under </t>
    </r>
    <r>
      <rPr>
        <sz val="10"/>
        <color indexed="10"/>
        <rFont val="Arial"/>
        <family val="2"/>
      </rPr>
      <t>(Name)</t>
    </r>
    <r>
      <rPr>
        <sz val="10"/>
        <rFont val="Arial"/>
        <family val="2"/>
      </rPr>
      <t xml:space="preserve"> consent decree, special needs children need to have their instructional time resumed or severe penalties will result.
- </t>
    </r>
    <r>
      <rPr>
        <sz val="10"/>
        <color indexed="10"/>
        <rFont val="Arial"/>
        <family val="2"/>
      </rPr>
      <t xml:space="preserve">(School) </t>
    </r>
    <r>
      <rPr>
        <sz val="10"/>
        <rFont val="Arial"/>
        <family val="2"/>
      </rPr>
      <t xml:space="preserve">principal requests a time when their postponed commencement exercise on </t>
    </r>
    <r>
      <rPr>
        <sz val="10"/>
        <color indexed="10"/>
        <rFont val="Arial"/>
        <family val="2"/>
      </rPr>
      <t>(Month/Day)</t>
    </r>
    <r>
      <rPr>
        <sz val="10"/>
        <rFont val="Arial"/>
        <family val="2"/>
      </rPr>
      <t xml:space="preserve"> can be held. 
 -Summer school starts on</t>
    </r>
    <r>
      <rPr>
        <sz val="10"/>
        <color indexed="10"/>
        <rFont val="Arial"/>
        <family val="2"/>
      </rPr>
      <t xml:space="preserve"> (Day/Month/Year).</t>
    </r>
    <r>
      <rPr>
        <sz val="10"/>
        <rFont val="Arial"/>
        <family val="2"/>
      </rPr>
      <t xml:space="preserve">  When will the schools used as shelters be closed in order to open the summer program?</t>
    </r>
  </si>
  <si>
    <r>
      <t>Several Hotels like the</t>
    </r>
    <r>
      <rPr>
        <sz val="10"/>
        <color indexed="10"/>
        <rFont val="Arial"/>
        <family val="2"/>
      </rPr>
      <t xml:space="preserve"> (Name)</t>
    </r>
    <r>
      <rPr>
        <sz val="10"/>
        <rFont val="Arial"/>
        <family val="2"/>
      </rPr>
      <t xml:space="preserve"> </t>
    </r>
    <r>
      <rPr>
        <sz val="10"/>
        <color indexed="10"/>
        <rFont val="Arial"/>
        <family val="2"/>
      </rPr>
      <t xml:space="preserve">(Location) </t>
    </r>
    <r>
      <rPr>
        <sz val="10"/>
        <rFont val="Arial"/>
        <family val="2"/>
      </rPr>
      <t xml:space="preserve">Resort and Spa report that their hotels are being flooded with evacuees, many with pets, and that they do not have room for them. </t>
    </r>
  </si>
  <si>
    <r>
      <t xml:space="preserve">SimCell </t>
    </r>
    <r>
      <rPr>
        <sz val="10"/>
        <color indexed="10"/>
        <rFont val="Arial"/>
        <family val="2"/>
      </rPr>
      <t>(Disaster Mortuary Operational Response Team [DMORT])</t>
    </r>
  </si>
  <si>
    <r>
      <t>Provide additional</t>
    </r>
    <r>
      <rPr>
        <sz val="10"/>
        <color indexed="10"/>
        <rFont val="Arial"/>
        <family val="2"/>
      </rPr>
      <t xml:space="preserve"> (Disaster Mortuary Teams)</t>
    </r>
    <r>
      <rPr>
        <sz val="10"/>
        <rFont val="Arial"/>
        <family val="2"/>
      </rPr>
      <t xml:space="preserve"> and coordinate with </t>
    </r>
    <r>
      <rPr>
        <sz val="10"/>
        <color indexed="10"/>
        <rFont val="Arial"/>
        <family val="2"/>
      </rPr>
      <t xml:space="preserve">(State Coordinating Officer) </t>
    </r>
    <r>
      <rPr>
        <sz val="10"/>
        <rFont val="Arial"/>
        <family val="2"/>
      </rPr>
      <t>to provide for storage of remains.</t>
    </r>
  </si>
  <si>
    <r>
      <t xml:space="preserve">This is </t>
    </r>
    <r>
      <rPr>
        <sz val="10"/>
        <color indexed="10"/>
        <rFont val="Arial"/>
        <family val="2"/>
      </rPr>
      <t>(Name)</t>
    </r>
    <r>
      <rPr>
        <sz val="10"/>
        <rFont val="Arial"/>
        <family val="2"/>
      </rPr>
      <t xml:space="preserve"> from the Region</t>
    </r>
    <r>
      <rPr>
        <sz val="10"/>
        <color indexed="10"/>
        <rFont val="Arial"/>
        <family val="2"/>
      </rPr>
      <t xml:space="preserve"> (#)</t>
    </r>
    <r>
      <rPr>
        <sz val="10"/>
        <rFont val="Arial"/>
        <family val="2"/>
      </rPr>
      <t xml:space="preserve"> </t>
    </r>
    <r>
      <rPr>
        <sz val="10"/>
        <color indexed="10"/>
        <rFont val="Arial"/>
        <family val="2"/>
      </rPr>
      <t>(Disaster Mortuary Response Team [DMORT]).</t>
    </r>
    <r>
      <rPr>
        <sz val="10"/>
        <rFont val="Arial"/>
        <family val="2"/>
      </rPr>
      <t xml:space="preserve">  We need assistance in identifying the cemeteries in</t>
    </r>
    <r>
      <rPr>
        <sz val="10"/>
        <color indexed="10"/>
        <rFont val="Arial"/>
        <family val="2"/>
      </rPr>
      <t xml:space="preserve"> (Location) </t>
    </r>
    <r>
      <rPr>
        <sz val="10"/>
        <rFont val="Arial"/>
        <family val="2"/>
      </rPr>
      <t xml:space="preserve">that were in the inundation zone and how many bodies you believe were exposed. </t>
    </r>
  </si>
  <si>
    <r>
      <t xml:space="preserve">ESF 9 will coordinate with </t>
    </r>
    <r>
      <rPr>
        <sz val="10"/>
        <color indexed="10"/>
        <rFont val="Arial"/>
        <family val="2"/>
      </rPr>
      <t>(State Emergency Management Agency)</t>
    </r>
    <r>
      <rPr>
        <sz val="10"/>
        <rFont val="Arial"/>
        <family val="2"/>
      </rPr>
      <t xml:space="preserve"> to provide resources and take appropriate actions.</t>
    </r>
  </si>
  <si>
    <r>
      <t xml:space="preserve">This is </t>
    </r>
    <r>
      <rPr>
        <sz val="10"/>
        <color indexed="10"/>
        <rFont val="Arial"/>
        <family val="2"/>
      </rPr>
      <t>(Name)</t>
    </r>
    <r>
      <rPr>
        <sz val="10"/>
        <rFont val="Arial"/>
        <family val="2"/>
      </rPr>
      <t xml:space="preserve"> with </t>
    </r>
    <r>
      <rPr>
        <sz val="10"/>
        <color indexed="10"/>
        <rFont val="Arial"/>
        <family val="2"/>
      </rPr>
      <t xml:space="preserve">(Command and Control </t>
    </r>
    <r>
      <rPr>
        <sz val="10"/>
        <color indexed="10"/>
        <rFont val="Arial"/>
        <family val="2"/>
      </rPr>
      <t>[C&amp;C])</t>
    </r>
    <r>
      <rPr>
        <sz val="10"/>
        <rFont val="Arial"/>
        <family val="2"/>
      </rPr>
      <t xml:space="preserve">. I have a </t>
    </r>
    <r>
      <rPr>
        <sz val="10"/>
        <color indexed="10"/>
        <rFont val="Arial"/>
        <family val="2"/>
      </rPr>
      <t xml:space="preserve">(Request for Federal Assistance </t>
    </r>
    <r>
      <rPr>
        <sz val="10"/>
        <color indexed="10"/>
        <rFont val="Arial"/>
        <family val="2"/>
      </rPr>
      <t>[RFA])</t>
    </r>
    <r>
      <rPr>
        <sz val="10"/>
        <rFont val="Arial"/>
        <family val="2"/>
      </rPr>
      <t xml:space="preserve"> for a </t>
    </r>
    <r>
      <rPr>
        <sz val="10"/>
        <color indexed="10"/>
        <rFont val="Arial"/>
        <family val="2"/>
      </rPr>
      <t>(Urban Search and Rescue</t>
    </r>
    <r>
      <rPr>
        <sz val="10"/>
        <color indexed="10"/>
        <rFont val="Arial"/>
        <family val="2"/>
      </rPr>
      <t xml:space="preserve"> [USAR])</t>
    </r>
    <r>
      <rPr>
        <sz val="10"/>
        <rFont val="Arial"/>
        <family val="2"/>
      </rPr>
      <t xml:space="preserve"> team to investigate, locate, and extricate possible survivors. There are a number of missing hikers in the vicinity of </t>
    </r>
    <r>
      <rPr>
        <sz val="10"/>
        <color indexed="10"/>
        <rFont val="Arial"/>
        <family val="2"/>
      </rPr>
      <t>(Location)</t>
    </r>
    <r>
      <rPr>
        <sz val="10"/>
        <rFont val="Arial"/>
        <family val="2"/>
      </rPr>
      <t xml:space="preserve"> who have been scavenging for food after the storm.  </t>
    </r>
  </si>
  <si>
    <r>
      <t xml:space="preserve">The </t>
    </r>
    <r>
      <rPr>
        <sz val="10"/>
        <color indexed="10"/>
        <rFont val="Arial"/>
        <family val="2"/>
      </rPr>
      <t>(Location)</t>
    </r>
    <r>
      <rPr>
        <sz val="10"/>
        <rFont val="Arial"/>
        <family val="2"/>
      </rPr>
      <t xml:space="preserve"> Ice plant at Pier</t>
    </r>
    <r>
      <rPr>
        <sz val="10"/>
        <color indexed="10"/>
        <rFont val="Arial"/>
        <family val="2"/>
      </rPr>
      <t xml:space="preserve"> (#)</t>
    </r>
    <r>
      <rPr>
        <sz val="10"/>
        <rFont val="Arial"/>
        <family val="2"/>
      </rPr>
      <t xml:space="preserve"> was destroyed. Combined with the loss of electrical power, the port refrigeration storage capability is unavailable. Estimated time to repair: </t>
    </r>
    <r>
      <rPr>
        <sz val="10"/>
        <color indexed="10"/>
        <rFont val="Arial"/>
        <family val="2"/>
      </rPr>
      <t>(#)</t>
    </r>
    <r>
      <rPr>
        <sz val="10"/>
        <rFont val="Arial"/>
        <family val="2"/>
      </rPr>
      <t xml:space="preserve"> months.</t>
    </r>
  </si>
  <si>
    <t xml:space="preserve">Escambia County request ALNG to man and operate the following POD sites beginning at 0800 7 May 10.  Duration 8 days, POC is County ESF 7 Mrs. Evans.
Brewton
Old North Brewton Elem School Bldg, 41960 Highway 31 North
Labor Personnel: 40.  POD Equipment Needed:  None.  
Security Personnel. 0.  Operational Hours: 12
East Brewton
Ridge Road Baptist Church, 3600 Ridge Road
Labor Personnel: 20.  POD Equipment Needed:  None.  
Security Personnel. 0.  Operational Hours: 8-10
</t>
  </si>
  <si>
    <r>
      <t xml:space="preserve">A medium-lift rotary wing asset is needed to be on standby for personnel transport. FEMA assigns this mission to DoD, drafts an MA to provide a medium-lift rotary wing asset to be on standby for personnel transport, and sends it to the </t>
    </r>
    <r>
      <rPr>
        <sz val="10"/>
        <color indexed="10"/>
        <rFont val="Arial"/>
        <family val="2"/>
      </rPr>
      <t>(District Corps of Engineers)</t>
    </r>
    <r>
      <rPr>
        <sz val="10"/>
        <rFont val="Arial"/>
        <family val="2"/>
      </rPr>
      <t xml:space="preserve"> for validation.</t>
    </r>
  </si>
  <si>
    <r>
      <rPr>
        <sz val="10"/>
        <color indexed="10"/>
        <rFont val="Arial"/>
        <family val="2"/>
      </rPr>
      <t>(Company Name)</t>
    </r>
    <r>
      <rPr>
        <sz val="10"/>
        <rFont val="Arial"/>
        <family val="2"/>
      </rPr>
      <t xml:space="preserve"> reports that a major pipeline that carries Jet Fuel-A from Pier </t>
    </r>
    <r>
      <rPr>
        <sz val="10"/>
        <color indexed="10"/>
        <rFont val="Arial"/>
        <family val="2"/>
      </rPr>
      <t>(#)</t>
    </r>
    <r>
      <rPr>
        <sz val="10"/>
        <rFont val="Arial"/>
        <family val="2"/>
      </rPr>
      <t xml:space="preserve"> storage tanks on the opposite side of </t>
    </r>
    <r>
      <rPr>
        <sz val="10"/>
        <color indexed="10"/>
        <rFont val="Arial"/>
        <family val="2"/>
      </rPr>
      <t>(Location)</t>
    </r>
    <r>
      <rPr>
        <sz val="10"/>
        <rFont val="Arial"/>
        <family val="2"/>
      </rPr>
      <t xml:space="preserve"> basin west of </t>
    </r>
    <r>
      <rPr>
        <sz val="10"/>
        <color indexed="10"/>
        <rFont val="Arial"/>
        <family val="2"/>
      </rPr>
      <t>(Name)</t>
    </r>
    <r>
      <rPr>
        <sz val="10"/>
        <rFont val="Arial"/>
        <family val="2"/>
      </rPr>
      <t xml:space="preserve"> Road has suffered damage. Based on visual evidence and smell, there is a large area of contaminated soil that will need to be remediated.</t>
    </r>
  </si>
  <si>
    <r>
      <t xml:space="preserve">SimCell </t>
    </r>
    <r>
      <rPr>
        <sz val="10"/>
        <color indexed="10"/>
        <rFont val="Arial"/>
        <family val="2"/>
      </rPr>
      <t>(Department of Education and Department Operations Center)</t>
    </r>
  </si>
  <si>
    <r>
      <t>(Education Officer) (State Coordinating Officer)</t>
    </r>
    <r>
      <rPr>
        <sz val="10"/>
        <rFont val="Arial"/>
        <family val="2"/>
      </rPr>
      <t xml:space="preserve"> work with </t>
    </r>
    <r>
      <rPr>
        <sz val="10"/>
        <color indexed="10"/>
        <rFont val="Arial"/>
        <family val="2"/>
      </rPr>
      <t>(</t>
    </r>
    <r>
      <rPr>
        <sz val="10"/>
        <color indexed="10"/>
        <rFont val="Arial"/>
        <family val="2"/>
      </rPr>
      <t>Department of Education Department Operations Center</t>
    </r>
    <r>
      <rPr>
        <sz val="10"/>
        <rFont val="Arial"/>
        <family val="2"/>
      </rPr>
      <t>) to give a timeframe for school reopening;</t>
    </r>
    <r>
      <rPr>
        <sz val="10"/>
        <color indexed="10"/>
        <rFont val="Arial"/>
        <family val="2"/>
      </rPr>
      <t xml:space="preserve"> (Name of School) (Department of Education).</t>
    </r>
    <r>
      <rPr>
        <sz val="10"/>
        <rFont val="Arial"/>
        <family val="2"/>
      </rPr>
      <t xml:space="preserve"> </t>
    </r>
  </si>
  <si>
    <r>
      <t xml:space="preserve">Activate the phone bridge between the State coordinating officer (SCO) and </t>
    </r>
    <r>
      <rPr>
        <sz val="10"/>
        <color indexed="10"/>
        <rFont val="Arial"/>
        <family val="2"/>
      </rPr>
      <t>(#)</t>
    </r>
    <r>
      <rPr>
        <sz val="10"/>
        <rFont val="Arial"/>
        <family val="2"/>
      </rPr>
      <t xml:space="preserve"> appropriate State/local agencies, the FEMA</t>
    </r>
    <r>
      <rPr>
        <sz val="10"/>
        <color indexed="10"/>
        <rFont val="Arial"/>
        <family val="2"/>
      </rPr>
      <t xml:space="preserve"> (Incident Management Team [IMAT] #),</t>
    </r>
    <r>
      <rPr>
        <sz val="10"/>
        <rFont val="Arial"/>
        <family val="2"/>
      </rPr>
      <t xml:space="preserve"> </t>
    </r>
    <r>
      <rPr>
        <sz val="10"/>
        <color indexed="10"/>
        <rFont val="Arial"/>
        <family val="2"/>
      </rPr>
      <t>(Appropriate Military Command)</t>
    </r>
    <r>
      <rPr>
        <sz val="10"/>
        <rFont val="Arial"/>
        <family val="2"/>
      </rPr>
      <t xml:space="preserve"> and </t>
    </r>
    <r>
      <rPr>
        <sz val="10"/>
        <color indexed="10"/>
        <rFont val="Arial"/>
        <family val="2"/>
      </rPr>
      <t>(#)</t>
    </r>
    <r>
      <rPr>
        <sz val="10"/>
        <rFont val="Arial"/>
        <family val="2"/>
      </rPr>
      <t xml:space="preserve"> appropriate Federal agencies, (National Weather Service [NWS]), and FEMA</t>
    </r>
    <r>
      <rPr>
        <sz val="10"/>
        <color indexed="10"/>
        <rFont val="Arial"/>
        <family val="2"/>
      </rPr>
      <t xml:space="preserve"> (Region #)</t>
    </r>
    <r>
      <rPr>
        <sz val="10"/>
        <rFont val="Arial"/>
        <family val="2"/>
      </rPr>
      <t>.</t>
    </r>
  </si>
  <si>
    <r>
      <t xml:space="preserve">Activate debris task force to preplan clearance operations during first </t>
    </r>
    <r>
      <rPr>
        <sz val="10"/>
        <color indexed="10"/>
        <rFont val="Arial"/>
        <family val="2"/>
      </rPr>
      <t xml:space="preserve">(#) </t>
    </r>
    <r>
      <rPr>
        <sz val="10"/>
        <rFont val="Arial"/>
        <family val="2"/>
      </rPr>
      <t xml:space="preserve"> hours postlandfall.</t>
    </r>
  </si>
  <si>
    <t>Logistics Management Division will play in exercise.</t>
  </si>
  <si>
    <t>Activate FEMA Logistics Response Center (LRC).</t>
  </si>
  <si>
    <t>After Hurricane AL made landfall near the gulf coast area of Mobile. The local area Emergency Manager(EM) reported minor damage to a nursing home and a medical center in Pritchard, Alabama. Both the nursing home and medical center are without electricity.</t>
  </si>
  <si>
    <t>Transport food, water, and ice from LSA Brookley Field to LSA's located in Mobile and Baldwin Counties.  Commodities to move are 400 Pallets of MRE, 500 Pallets of water, 100 Pallets of Ice, this will be a LOG Push mission daily.  Mission duration is TBD.</t>
  </si>
  <si>
    <t>Baldwin County request ALNG to man and operate the following POD sites beginning at 0800 7 May 10.  Duration 7 days, POC is County ESF 7 Mr. Bouie.
Bay Minette
First Baptist Church of Bay Minette, 1201 Hand Avenue
Labor Personnel: 10-12.  POD Equipment Needed:  1X tent.  Security Personnel. None.  
Operational Hours: 8-10
Daphne
Daphne Civic Center, 2603 Highway 98
Labor Personnel: 40.  POD Equipment Needed:  None.  Security Personnel. None.  
Operational Hours: 12
Elberta
Elberta Fire Department, 13120 Illinois Street
Labor Personnel: 12.  POD Equipment Needed:  None.  Security Personnel. None.  
Operational Hours: 10
Fairhope
Fairhope - Volanta Ball Park, Volanta Ave.
Labor Personnel: 40.  POD Equipment Needed:  None.  Security Personnel. None.  
Operational Hours: 12
Foley
Tanger Factory Outlet Center, 2601 McKenzie Street
Labor Personnel: 40.  POD Equipment Needed:  1X tent, 1X light set.  Security Personnel. None.  Operational Hours: 12
Gulf Shores
Sports Complex, 19025 Oak Road West
Labor Personnel: 40.  POD Equipment Needed:  forklift operator.  
Security Personnel. None.  Operational Hours: 12</t>
  </si>
  <si>
    <r>
      <t>DoD Inject 135:  See</t>
    </r>
    <r>
      <rPr>
        <sz val="10"/>
        <color indexed="15"/>
        <rFont val="Arial"/>
        <family val="2"/>
      </rPr>
      <t xml:space="preserve"> </t>
    </r>
    <r>
      <rPr>
        <sz val="10"/>
        <color indexed="10"/>
        <rFont val="Arial"/>
        <family val="2"/>
      </rPr>
      <t xml:space="preserve">(Name) </t>
    </r>
    <r>
      <rPr>
        <sz val="10"/>
        <rFont val="Arial"/>
        <family val="2"/>
      </rPr>
      <t>for details and additional information.</t>
    </r>
  </si>
  <si>
    <t>Locals are requesting assistance with mortuary affairs.</t>
  </si>
  <si>
    <r>
      <t xml:space="preserve">SimCell </t>
    </r>
    <r>
      <rPr>
        <sz val="10"/>
        <color indexed="10"/>
        <rFont val="Arial"/>
        <family val="2"/>
      </rPr>
      <t>(</t>
    </r>
    <r>
      <rPr>
        <sz val="10"/>
        <color indexed="10"/>
        <rFont val="Arial"/>
        <family val="2"/>
      </rPr>
      <t>City/County)</t>
    </r>
  </si>
  <si>
    <r>
      <t xml:space="preserve">Oil trucks can’t get to refinery due to traffic-clogged roads. Need police to open route to fuel tanks at </t>
    </r>
    <r>
      <rPr>
        <sz val="10"/>
        <color indexed="10"/>
        <rFont val="Arial"/>
        <family val="2"/>
      </rPr>
      <t>(Location)</t>
    </r>
    <r>
      <rPr>
        <sz val="10"/>
        <rFont val="Arial"/>
        <family val="2"/>
      </rPr>
      <t xml:space="preserve"> refineries and prioritize routes to distribution points.</t>
    </r>
  </si>
  <si>
    <r>
      <t>Many shelters are running out of potable water and supplies. When will more supplies be coming in from the</t>
    </r>
    <r>
      <rPr>
        <sz val="10"/>
        <color indexed="10"/>
        <rFont val="Arial"/>
        <family val="2"/>
      </rPr>
      <t xml:space="preserve"> (Location)</t>
    </r>
    <r>
      <rPr>
        <sz val="10"/>
        <rFont val="Arial"/>
        <family val="2"/>
      </rPr>
      <t>? There is a need for food, blankets, first aid supplies, and hygiene kits.</t>
    </r>
  </si>
  <si>
    <r>
      <t xml:space="preserve">DoD Inject 136:  See </t>
    </r>
    <r>
      <rPr>
        <sz val="10"/>
        <color indexed="10"/>
        <rFont val="Arial"/>
        <family val="2"/>
      </rPr>
      <t>(Name)</t>
    </r>
    <r>
      <rPr>
        <sz val="10"/>
        <rFont val="Arial"/>
        <family val="2"/>
      </rPr>
      <t xml:space="preserve"> for details and additional information.</t>
    </r>
  </si>
  <si>
    <r>
      <t>FEMA assigns this mission to DoD, drafts a</t>
    </r>
    <r>
      <rPr>
        <sz val="10"/>
        <color indexed="10"/>
        <rFont val="Arial"/>
        <family val="2"/>
      </rPr>
      <t xml:space="preserve"> (Mission Assignment [MA]</t>
    </r>
    <r>
      <rPr>
        <sz val="10"/>
        <rFont val="Arial"/>
        <family val="2"/>
      </rPr>
      <t xml:space="preserve">) to assist with the strategic airlift of FEMA commodities, and sends it to the </t>
    </r>
    <r>
      <rPr>
        <sz val="10"/>
        <color indexed="10"/>
        <rFont val="Arial"/>
        <family val="2"/>
      </rPr>
      <t>(Defense Coordinating Officer [DCO/E])</t>
    </r>
    <r>
      <rPr>
        <sz val="10"/>
        <rFont val="Arial"/>
        <family val="2"/>
      </rPr>
      <t xml:space="preserve"> for validation.</t>
    </r>
  </si>
  <si>
    <r>
      <t xml:space="preserve">(Location) </t>
    </r>
    <r>
      <rPr>
        <sz val="10"/>
        <rFont val="Arial"/>
        <family val="2"/>
      </rPr>
      <t xml:space="preserve">airfield reports crowd of hundreds of civilians seeking food and shelter at front gate. In addition, thousands of others are congregating outside of fire houses looking for medical aid, food, water and where to go find shelter. </t>
    </r>
  </si>
  <si>
    <r>
      <t>(Electric Company)</t>
    </r>
    <r>
      <rPr>
        <sz val="10"/>
        <rFont val="Arial"/>
        <family val="2"/>
      </rPr>
      <t xml:space="preserve"> requests base camp space for </t>
    </r>
    <r>
      <rPr>
        <sz val="10"/>
        <color indexed="10"/>
        <rFont val="Arial"/>
        <family val="2"/>
      </rPr>
      <t>(#)</t>
    </r>
    <r>
      <rPr>
        <sz val="10"/>
        <rFont val="Arial"/>
        <family val="2"/>
      </rPr>
      <t xml:space="preserve"> linemen arriving from </t>
    </r>
    <r>
      <rPr>
        <sz val="10"/>
        <color indexed="10"/>
        <rFont val="Arial"/>
        <family val="2"/>
      </rPr>
      <t xml:space="preserve">(Location) </t>
    </r>
    <r>
      <rPr>
        <sz val="10"/>
        <rFont val="Arial"/>
        <family val="2"/>
      </rPr>
      <t xml:space="preserve">and priority sheltering for family members. </t>
    </r>
  </si>
  <si>
    <r>
      <t xml:space="preserve">SimCell </t>
    </r>
    <r>
      <rPr>
        <sz val="10"/>
        <color indexed="10"/>
        <rFont val="Arial"/>
        <family val="2"/>
      </rPr>
      <t>(</t>
    </r>
    <r>
      <rPr>
        <sz val="10"/>
        <color indexed="10"/>
        <rFont val="Arial"/>
        <family val="2"/>
      </rPr>
      <t>State Tourist Association Emergency Operations Center [EOC])</t>
    </r>
  </si>
  <si>
    <r>
      <t xml:space="preserve">Identify power teams to assess specific generator requirements. If </t>
    </r>
    <r>
      <rPr>
        <sz val="10"/>
        <color indexed="10"/>
        <rFont val="Arial"/>
        <family val="2"/>
      </rPr>
      <t>(City)</t>
    </r>
    <r>
      <rPr>
        <sz val="10"/>
        <rFont val="Arial"/>
        <family val="2"/>
      </rPr>
      <t xml:space="preserve"> </t>
    </r>
    <r>
      <rPr>
        <sz val="10"/>
        <color indexed="10"/>
        <rFont val="Arial"/>
        <family val="2"/>
      </rPr>
      <t xml:space="preserve">(Department of Emergency Management) </t>
    </r>
    <r>
      <rPr>
        <sz val="10"/>
        <rFont val="Arial"/>
        <family val="2"/>
      </rPr>
      <t xml:space="preserve"> is not playing, they should be simulated so this request can be delivered to the </t>
    </r>
    <r>
      <rPr>
        <sz val="10"/>
        <color indexed="10"/>
        <rFont val="Arial"/>
        <family val="2"/>
      </rPr>
      <t>(City Emergency Operations Center).</t>
    </r>
  </si>
  <si>
    <t xml:space="preserve">
...HURRICANE AL SLOWS NEAR MOBILE ALABAMA...
SUMMARY OF 1100 AM EDT...1500 UTC...INFORMATION
-----------------------------------------------
LOCATION...30.9N 88.1W
ABOUT 14 MILES...23 KM...NORTH OF MOBILE ALABAMA
ABOUT 134 MILES...216 KM...NORTHEAST OF</t>
  </si>
  <si>
    <r>
      <t xml:space="preserve">Tank farm at airport (Jet </t>
    </r>
    <r>
      <rPr>
        <sz val="10"/>
        <color indexed="10"/>
        <rFont val="Arial"/>
        <family val="2"/>
      </rPr>
      <t>[Alpha]</t>
    </r>
    <r>
      <rPr>
        <sz val="10"/>
        <rFont val="Arial"/>
        <family val="2"/>
      </rPr>
      <t>) lost secondary containment and some portion of</t>
    </r>
    <r>
      <rPr>
        <sz val="10"/>
        <color indexed="10"/>
        <rFont val="Arial"/>
        <family val="2"/>
      </rPr>
      <t xml:space="preserve"> (#) </t>
    </r>
    <r>
      <rPr>
        <sz val="10"/>
        <rFont val="Arial"/>
        <family val="2"/>
      </rPr>
      <t xml:space="preserve">gallons jet fuel capacity spilled on and around airport. May impact the restoration of airport operations if not removed promptly. Assessment needed. </t>
    </r>
  </si>
  <si>
    <t>Provide requested resources.</t>
  </si>
  <si>
    <r>
      <t xml:space="preserve">This is </t>
    </r>
    <r>
      <rPr>
        <sz val="10"/>
        <color indexed="10"/>
        <rFont val="Arial"/>
        <family val="2"/>
      </rPr>
      <t>(Name)</t>
    </r>
    <r>
      <rPr>
        <sz val="10"/>
        <rFont val="Arial"/>
        <family val="2"/>
      </rPr>
      <t xml:space="preserve"> at the </t>
    </r>
    <r>
      <rPr>
        <sz val="10"/>
        <color indexed="10"/>
        <rFont val="Arial"/>
        <family val="2"/>
      </rPr>
      <t>(Shelter)</t>
    </r>
    <r>
      <rPr>
        <sz val="10"/>
        <rFont val="Arial"/>
        <family val="2"/>
      </rPr>
      <t>. We have several elderly citizens who had to evacuate quickly and were unable to bring along all their possessions.  Can you provide wheelchairs, walkers, etc.?</t>
    </r>
  </si>
  <si>
    <r>
      <t xml:space="preserve">Additional request for security support for the shelters: </t>
    </r>
    <r>
      <rPr>
        <sz val="10"/>
        <color indexed="10"/>
        <rFont val="Arial"/>
        <family val="2"/>
      </rPr>
      <t>(High School)</t>
    </r>
    <r>
      <rPr>
        <sz val="10"/>
        <rFont val="Arial"/>
        <family val="2"/>
      </rPr>
      <t xml:space="preserve">, </t>
    </r>
    <r>
      <rPr>
        <sz val="10"/>
        <color indexed="10"/>
        <rFont val="Arial"/>
        <family val="2"/>
      </rPr>
      <t>(Middle School)</t>
    </r>
    <r>
      <rPr>
        <sz val="10"/>
        <rFont val="Arial"/>
        <family val="2"/>
      </rPr>
      <t xml:space="preserve"> have all reported several instances of fighting for supplies and thefts.</t>
    </r>
  </si>
  <si>
    <r>
      <t>(City) (Department of Health</t>
    </r>
    <r>
      <rPr>
        <sz val="10"/>
        <rFont val="Arial"/>
        <family val="2"/>
      </rPr>
      <t xml:space="preserve">) has requested deployment of </t>
    </r>
    <r>
      <rPr>
        <sz val="10"/>
        <color indexed="10"/>
        <rFont val="Arial"/>
        <family val="2"/>
      </rPr>
      <t>(#)</t>
    </r>
    <r>
      <rPr>
        <sz val="10"/>
        <rFont val="Arial"/>
        <family val="2"/>
      </rPr>
      <t xml:space="preserve"> additional </t>
    </r>
    <r>
      <rPr>
        <sz val="10"/>
        <color indexed="10"/>
        <rFont val="Arial"/>
        <family val="2"/>
      </rPr>
      <t xml:space="preserve">(Disaster Medical Assistance Teams </t>
    </r>
    <r>
      <rPr>
        <sz val="10"/>
        <color indexed="10"/>
        <rFont val="Arial"/>
        <family val="2"/>
      </rPr>
      <t>[DMATs])</t>
    </r>
    <r>
      <rPr>
        <sz val="10"/>
        <rFont val="Arial"/>
        <family val="2"/>
      </rPr>
      <t>.</t>
    </r>
  </si>
  <si>
    <t>List shelters.</t>
  </si>
  <si>
    <r>
      <t xml:space="preserve">In </t>
    </r>
    <r>
      <rPr>
        <sz val="10"/>
        <color indexed="10"/>
        <rFont val="Arial"/>
        <family val="2"/>
      </rPr>
      <t>(</t>
    </r>
    <r>
      <rPr>
        <sz val="10"/>
        <color indexed="10"/>
        <rFont val="Arial"/>
        <family val="2"/>
      </rPr>
      <t>Location)</t>
    </r>
    <r>
      <rPr>
        <sz val="10"/>
        <rFont val="Arial"/>
        <family val="2"/>
      </rPr>
      <t xml:space="preserve">, all shelters were damaged by wind and flooding and can not house evacuees. Current evacuees need to find different shelters. Where can they go? </t>
    </r>
  </si>
  <si>
    <t>Inject capabilities and assessment information.</t>
  </si>
  <si>
    <t>Establish port operations strategy (feed in capabilities and assessment).</t>
  </si>
  <si>
    <r>
      <t>Verify with</t>
    </r>
    <r>
      <rPr>
        <sz val="10"/>
        <color indexed="10"/>
        <rFont val="Arial"/>
        <family val="2"/>
      </rPr>
      <t xml:space="preserve"> (</t>
    </r>
    <r>
      <rPr>
        <sz val="10"/>
        <color indexed="10"/>
        <rFont val="Arial"/>
        <family val="2"/>
      </rPr>
      <t>Board of Water Supply [BWS])</t>
    </r>
    <r>
      <rPr>
        <sz val="10"/>
        <rFont val="Arial"/>
        <family val="2"/>
      </rPr>
      <t>.</t>
    </r>
  </si>
  <si>
    <r>
      <t>Water treatment facilities are unable to operate.  Time to restoration: unknown.  Broken water valves have drained the system in residential areas, disrupting service to</t>
    </r>
    <r>
      <rPr>
        <sz val="10"/>
        <color indexed="10"/>
        <rFont val="Arial"/>
        <family val="2"/>
      </rPr>
      <t xml:space="preserve"> (Locations)</t>
    </r>
    <r>
      <rPr>
        <sz val="10"/>
        <rFont val="Arial"/>
        <family val="2"/>
      </rPr>
      <t xml:space="preserve">.  Further, three key well sites are nonfunctional because of damage </t>
    </r>
    <r>
      <rPr>
        <sz val="10"/>
        <color indexed="10"/>
        <rFont val="Arial"/>
        <family val="2"/>
      </rPr>
      <t>(List)</t>
    </r>
    <r>
      <rPr>
        <sz val="10"/>
        <rFont val="Arial"/>
        <family val="2"/>
      </rPr>
      <t>.  Also water tankers and buffalos will be needed to distribute water.</t>
    </r>
  </si>
  <si>
    <r>
      <t xml:space="preserve">DoD Inject 91:  See </t>
    </r>
    <r>
      <rPr>
        <sz val="10"/>
        <color indexed="10"/>
        <rFont val="Arial"/>
        <family val="2"/>
      </rPr>
      <t xml:space="preserve">(Name) </t>
    </r>
    <r>
      <rPr>
        <sz val="10"/>
        <rFont val="Arial"/>
        <family val="2"/>
      </rPr>
      <t>for details and additional information.</t>
    </r>
  </si>
  <si>
    <r>
      <t xml:space="preserve">DoD Inject 93:  See </t>
    </r>
    <r>
      <rPr>
        <b/>
        <sz val="10"/>
        <color indexed="10"/>
        <rFont val="Arial"/>
        <family val="2"/>
      </rPr>
      <t>(</t>
    </r>
    <r>
      <rPr>
        <sz val="10"/>
        <color indexed="10"/>
        <rFont val="Arial"/>
        <family val="2"/>
      </rPr>
      <t xml:space="preserve">Name) </t>
    </r>
    <r>
      <rPr>
        <sz val="10"/>
        <rFont val="Arial"/>
        <family val="2"/>
      </rPr>
      <t>for details and additional information.</t>
    </r>
  </si>
  <si>
    <r>
      <t xml:space="preserve">State and local assets are depleted, and they cannot support medical evacuation (medevac) requests from </t>
    </r>
    <r>
      <rPr>
        <sz val="10"/>
        <color indexed="10"/>
        <rFont val="Arial"/>
        <family val="2"/>
      </rPr>
      <t>(Location)</t>
    </r>
    <r>
      <rPr>
        <sz val="10"/>
        <rFont val="Arial"/>
        <family val="2"/>
      </rPr>
      <t xml:space="preserve">. ESF </t>
    </r>
    <r>
      <rPr>
        <sz val="10"/>
        <color indexed="10"/>
        <rFont val="Arial"/>
        <family val="2"/>
      </rPr>
      <t>(#)</t>
    </r>
    <r>
      <rPr>
        <sz val="10"/>
        <rFont val="Arial"/>
        <family val="2"/>
      </rPr>
      <t xml:space="preserve"> received a request for rotary wing support to medevac hurricane victims from the town of </t>
    </r>
    <r>
      <rPr>
        <sz val="10"/>
        <color indexed="10"/>
        <rFont val="Arial"/>
        <family val="2"/>
      </rPr>
      <t xml:space="preserve">(Location) </t>
    </r>
    <r>
      <rPr>
        <sz val="10"/>
        <rFont val="Arial"/>
        <family val="2"/>
      </rPr>
      <t xml:space="preserve">to medical facilities on </t>
    </r>
    <r>
      <rPr>
        <sz val="10"/>
        <color indexed="10"/>
        <rFont val="Arial"/>
        <family val="2"/>
      </rPr>
      <t xml:space="preserve">(Location) </t>
    </r>
    <r>
      <rPr>
        <sz val="10"/>
        <rFont val="Arial"/>
        <family val="2"/>
      </rPr>
      <t xml:space="preserve">or other </t>
    </r>
    <r>
      <rPr>
        <sz val="10"/>
        <color indexed="10"/>
        <rFont val="Arial"/>
        <family val="2"/>
      </rPr>
      <t>(Locations)</t>
    </r>
    <r>
      <rPr>
        <sz val="10"/>
        <rFont val="Arial"/>
        <family val="2"/>
      </rPr>
      <t>.</t>
    </r>
  </si>
  <si>
    <t>Baptist Home for the Elderly request a UMT (unit ministry team) to help evacuate members to another location.  UMT team are Baptists and want to help.</t>
  </si>
  <si>
    <t>A pre-positioned Chaplain Assistant (CA) begins uncontrollable vomiting</t>
  </si>
  <si>
    <t>A retired ARNG chaplain offers his church to house a UMT; the local unit Commander knows the pastor and makes the request to Joint Force Chaplain.</t>
  </si>
  <si>
    <t>Joint Force Chaplain cannot get to HQ due to reverse traffic issues on I-65. In his absence, who is second in command at HQ.  Second highest grade? Officer or Enlisted, ANG or ARNG?</t>
  </si>
  <si>
    <t>An Air Force Active Duty Chaplain is stranded in a shelter and volunteers to offer his assistance to the Guard in the hurricane aftermath. Can he be used?</t>
  </si>
  <si>
    <t>Jewish civilians at the Red Cross shelter have no kosher food and have ask the ARNG chaplain for assistance in obtaining some of theirs. Can these be given to the civilians and how can they be obtained?</t>
  </si>
  <si>
    <t>Evaluate request on four-fold test with interface with J-4</t>
  </si>
  <si>
    <t xml:space="preserve">JF Chaplain deny his help and refer him to his own
  base and chain of command.
</t>
  </si>
  <si>
    <t>Second highest grade should be contacted</t>
  </si>
  <si>
    <t>JF chaplain should deny request; Chaplain should be with his troops.</t>
  </si>
  <si>
    <t>Contact Medical and work backfill for CA</t>
  </si>
  <si>
    <t>Evaluate request according the four-fold protocol</t>
  </si>
  <si>
    <t>Contact MP’s;  Request re-supply from J-4</t>
  </si>
  <si>
    <t>Contact J-1 to work issue</t>
  </si>
  <si>
    <t>JF Chaplain denies request</t>
  </si>
  <si>
    <t>Evaluate on basis of NGB four-fold test</t>
  </si>
  <si>
    <t>Deny request &amp; cover with chaplain from another unit</t>
  </si>
  <si>
    <t>White Cell Chaplian</t>
  </si>
  <si>
    <t>Followup to Chaplian inject for shelter and looters.</t>
  </si>
  <si>
    <t>Marshall Co EOC requests Arab and Albertville armories opened to DP expected to begin arriving 2100hrs 5 May 2009.</t>
  </si>
  <si>
    <t>AEMA requests activating 1300 additional Guardsmen for initial hurricane response force.</t>
  </si>
  <si>
    <t>BPT to provide airlift of Gov and his key staff for aerial assessment on or about 6 May 10</t>
  </si>
  <si>
    <t>1, 10</t>
  </si>
  <si>
    <t>Phone Call</t>
  </si>
  <si>
    <t>JTF-S White Cell (subordinnate commander)</t>
  </si>
  <si>
    <t>JTF-S WC</t>
  </si>
  <si>
    <t>226 MEB</t>
  </si>
  <si>
    <t>Holman Prison Blues</t>
  </si>
  <si>
    <t>Gulf Shores police report confrontation with motorcycle gang</t>
  </si>
  <si>
    <t>E-Mail</t>
  </si>
  <si>
    <t>SEOC Department of Public Safety LNO</t>
  </si>
  <si>
    <t>SEOC LNO</t>
  </si>
  <si>
    <t>JOC Message Center</t>
  </si>
  <si>
    <t>SEOC LNO calls in "heads up" notification that DOC may request Guard assistance at Holman Prison</t>
  </si>
  <si>
    <t>J-3</t>
  </si>
  <si>
    <t>Armored cars stolen in Mobile</t>
  </si>
  <si>
    <t>SEOC requests contingency study on providing security assistance at Holman Prison</t>
  </si>
  <si>
    <t>EMITS request to provide security assistance to Holman Prison</t>
  </si>
  <si>
    <t>Request is for company-sized element (100 -150 personnel) to establish VCPs, roadblocks and blocking positions on external perimeter to prevent external forces from entering prison compound and providing assistance to prisoners.  Force must be configured to physically stop vehicles (including armored cars).  Request indicates potential for follow-on mission within prison to assist guards in physically segregating prisoners.  Status is SAD; anticipated duration is 72 hours.</t>
  </si>
  <si>
    <t>ENDEX</t>
  </si>
  <si>
    <t>Hicks</t>
  </si>
  <si>
    <t>Use of Total Force (Interstate), EMAC, funding</t>
  </si>
  <si>
    <t>Civil/Military relations &amp; procurement of Kosher MRE’s</t>
  </si>
  <si>
    <t>A Battalion commander reports his unit chaplain cannot be contacted. As a replacement he wants to bring with the unit his civilian pastor to do the chaplain work</t>
  </si>
  <si>
    <t>Request to pre-position a chaplain at a Red Cross shelter where people are already gathering.  Need: for religious services and spiritual presence</t>
  </si>
  <si>
    <t>An ANG chaplain does not want to deploy with an Army unit but his own unit.</t>
  </si>
  <si>
    <t>An Army unit needs a chaplain because their chaplain is deployed. Closest available ARNG chaplain lives in the Florida panhandle and is in the FL guard.  Can he be used and how?</t>
  </si>
  <si>
    <t>Overnight, looters break into the chaplain van stealing communion wine and cases of MRE’s including Kosher and Hallal MRE’s (For Jewish &amp; Muslim soldiers)</t>
  </si>
  <si>
    <t>1/0/2020  10:35:00</t>
  </si>
  <si>
    <t>1/0/2020  10:36:00</t>
  </si>
  <si>
    <t>1/0/2020  10:39:00</t>
  </si>
  <si>
    <t>1/0/2020  10:40:00</t>
  </si>
  <si>
    <t>1/0/2020  10:42:00</t>
  </si>
  <si>
    <t>1/0/2020  10:45:00</t>
  </si>
  <si>
    <t>1/0/2020  10:48:00</t>
  </si>
  <si>
    <t>1/0/2020  10:50:00</t>
  </si>
  <si>
    <t>1/0/2020  10:51:00</t>
  </si>
  <si>
    <t>1/0/2020  10:54:00</t>
  </si>
  <si>
    <t>1/0/2020  10:55:00</t>
  </si>
  <si>
    <t>1/0/2020  10:57:00</t>
  </si>
  <si>
    <t>1/0/2020  11:00:00</t>
  </si>
  <si>
    <t>1/0/2020  11:03:00</t>
  </si>
  <si>
    <t>1/0/2020  11:05:00</t>
  </si>
  <si>
    <t>1/0/2020  11:06:00</t>
  </si>
  <si>
    <t>1/0/2020  11:09:00</t>
  </si>
  <si>
    <t>1/0/2020  11:10:00</t>
  </si>
  <si>
    <t>1/0/2020  11:12:00</t>
  </si>
  <si>
    <t>1/0/2020  11:15:00</t>
  </si>
  <si>
    <t>1/0/2020  11:18:00</t>
  </si>
  <si>
    <t>1/0/2020  11:20:00</t>
  </si>
  <si>
    <t>1/0/2020  11:21:00</t>
  </si>
  <si>
    <t>1/0/2020  11:24:00</t>
  </si>
  <si>
    <t>1/0/2020  11:27:00</t>
  </si>
  <si>
    <t>1/0/2020  11:30:00</t>
  </si>
  <si>
    <t>1/0/2020  11:33:00</t>
  </si>
  <si>
    <t>1/0/2020  11:35:00</t>
  </si>
  <si>
    <t>1/0/2020  11:36:00</t>
  </si>
  <si>
    <t>1/0/2020  11:39:00</t>
  </si>
  <si>
    <t>1/0/2020  11:42:00</t>
  </si>
  <si>
    <t>1/0/2020  11:45:00</t>
  </si>
  <si>
    <t>1/0/2020  11:48:00</t>
  </si>
  <si>
    <t>1/0/2020  11:51:00</t>
  </si>
  <si>
    <t>1/0/2020  11:54:00</t>
  </si>
  <si>
    <t>1/0/2020  11:57:00</t>
  </si>
  <si>
    <t>1/0/2020  12:00:00</t>
  </si>
  <si>
    <t>1/0/2020  12:05:00</t>
  </si>
  <si>
    <t>1/0/2020  12:10:00</t>
  </si>
  <si>
    <t>1/0/2020  12:15:00</t>
  </si>
  <si>
    <t>1/0/2020  12:20:00</t>
  </si>
  <si>
    <t>1/0/2020  12:25:00</t>
  </si>
  <si>
    <t>1/0/2020  12:30:00</t>
  </si>
  <si>
    <t>1/0/2020  12:35:00</t>
  </si>
  <si>
    <t>1/0/2020  12:40:00</t>
  </si>
  <si>
    <t>1/0/2020  12:45:00</t>
  </si>
  <si>
    <t>1/0/2020  12:50:00</t>
  </si>
  <si>
    <t>1/0/2020  12:55:00</t>
  </si>
  <si>
    <t>1/0/2020  13:00:00</t>
  </si>
  <si>
    <t>1/0/2020  13:05:00</t>
  </si>
  <si>
    <t>1/0/2020  13:10:00</t>
  </si>
  <si>
    <t>1/0/2020  13:15:00</t>
  </si>
  <si>
    <t>1/0/2020  13:20:00</t>
  </si>
  <si>
    <t>1/0/2020  13:25:00</t>
  </si>
  <si>
    <t>1/0/2020  13:30:00</t>
  </si>
  <si>
    <t>1/0/2020  13:35:00</t>
  </si>
  <si>
    <t>1/0/2020  13:40:00</t>
  </si>
  <si>
    <t>1/0/2020  13:50:00</t>
  </si>
  <si>
    <t>1/0/2020  13:55:00</t>
  </si>
  <si>
    <t>1/0/2020  14:00:00</t>
  </si>
  <si>
    <t>1/0/2020  14:05:00</t>
  </si>
  <si>
    <t>1/0/2020  14:10:00</t>
  </si>
  <si>
    <t>1/0/2020  14:15:00</t>
  </si>
  <si>
    <t>1/0/2020  14:20:00</t>
  </si>
  <si>
    <t>1/0/2020  14:25:00</t>
  </si>
  <si>
    <t>1/0/2020  14:30:00</t>
  </si>
  <si>
    <t>1/0/2020  14:35:00</t>
  </si>
  <si>
    <t>1/0/2020  14:40:00</t>
  </si>
  <si>
    <t>1/0/2020  14:45:00</t>
  </si>
  <si>
    <t>1/0/2020  14:50:00</t>
  </si>
  <si>
    <t>1/0/2020  14:55:00</t>
  </si>
  <si>
    <t>1/0/2020  15:00:00</t>
  </si>
  <si>
    <t>The State Emergency Response Team (SERT) is recalled to the State Emergency Operations Center (SEOC (AL)) and activated at Level 1 effective XXXXXXXXX.</t>
  </si>
  <si>
    <t>Jenne</t>
  </si>
  <si>
    <t>Company commander requests guidance on soldier</t>
  </si>
  <si>
    <t>J-4 / Class I - Verify feeding contracts are still valid after landfall.
Release MREs as needed
A-M-A</t>
  </si>
  <si>
    <t>J-4 / Class III - Monitor fuel usage during operations.  X-Level additional fuel assets where needed.</t>
  </si>
  <si>
    <t>J-4 / Class IX - Monitor Slant Reports for NMC vehicles.  Take action to assist</t>
  </si>
  <si>
    <t>J-4 / Class VII - Monitor usage and expenditure, X-Level additional equipment as necessary.</t>
  </si>
  <si>
    <t>J-4 / Class VIII - Monitor CL VIII usage, determine consumption rate, prep for resupply where needed.</t>
  </si>
  <si>
    <t>JTF-S/226 MEB - Conduct DSCA Operations (RSOI &amp; Initiate Sustainment Operations)                    REDCON 1</t>
  </si>
  <si>
    <t>Time</t>
  </si>
  <si>
    <t>1/0/2020  08:00:00</t>
  </si>
  <si>
    <t>1/0/2020  08:05:00</t>
  </si>
  <si>
    <t>1/0/2020  08:10:00</t>
  </si>
  <si>
    <t>1/0/2020  08:15:00</t>
  </si>
  <si>
    <t>1/0/2020  08:20:00</t>
  </si>
  <si>
    <t>1/0/2020  08:25:00</t>
  </si>
  <si>
    <t>1/0/2020  08:30:00</t>
  </si>
  <si>
    <t>1/0/2020  08:35:00</t>
  </si>
  <si>
    <t>1/0/2020  08:40:00</t>
  </si>
  <si>
    <t>1/0/2020  08:45:00</t>
  </si>
  <si>
    <t>1/0/2020  08:50:00</t>
  </si>
  <si>
    <t>1/0/2020  08:55:00</t>
  </si>
  <si>
    <t>1/0/2020  09:00:00</t>
  </si>
  <si>
    <t>1/0/2020  09:03:00</t>
  </si>
  <si>
    <t>1/0/2020  09:05:00</t>
  </si>
  <si>
    <t>1/0/2020  09:06:00</t>
  </si>
  <si>
    <t>1/0/2020  09:09:00</t>
  </si>
  <si>
    <t>1/0/2020  09:10:00</t>
  </si>
  <si>
    <t>1/0/2020  09:12:00</t>
  </si>
  <si>
    <t>1/0/2020  09:15:00</t>
  </si>
  <si>
    <t>1/0/2020  09:18:00</t>
  </si>
  <si>
    <t>1/0/2020  09:20:00</t>
  </si>
  <si>
    <t>1/0/2020  09:21:00</t>
  </si>
  <si>
    <t>1/0/2020  09:24:00</t>
  </si>
  <si>
    <t>1/0/2020  09:25:00</t>
  </si>
  <si>
    <t>1/0/2020  09:27:00</t>
  </si>
  <si>
    <t>1/0/2020  09:30:00</t>
  </si>
  <si>
    <t>1/0/2020  09:33:00</t>
  </si>
  <si>
    <t>1/0/2020  09:35:00</t>
  </si>
  <si>
    <t>1/0/2020  09:36:00</t>
  </si>
  <si>
    <t>1/0/2020  09:39:00</t>
  </si>
  <si>
    <t>1/0/2020  09:40:00</t>
  </si>
  <si>
    <t>1/0/2020  09:42:00</t>
  </si>
  <si>
    <t>1/0/2020  09:45:00</t>
  </si>
  <si>
    <t>1/0/2020  09:48:00</t>
  </si>
  <si>
    <t>1/0/2020  09:50:00</t>
  </si>
  <si>
    <t>1/0/2020  09:51:00</t>
  </si>
  <si>
    <t>1/0/2020  09:54:00</t>
  </si>
  <si>
    <t>1/0/2020  09:55:00</t>
  </si>
  <si>
    <t>1/0/2020  09:57:00</t>
  </si>
  <si>
    <t>1/0/2020  10:00:00</t>
  </si>
  <si>
    <t>1/0/2020  10:03:00</t>
  </si>
  <si>
    <t>1/0/2020  10:05:00</t>
  </si>
  <si>
    <t>1/0/2020  10:06:00</t>
  </si>
  <si>
    <t>1/0/2020  10:09:00</t>
  </si>
  <si>
    <t>1/0/2020  10:10:00</t>
  </si>
  <si>
    <t>1/0/2020  10:12:00</t>
  </si>
  <si>
    <t>1/0/2020  10:15:00</t>
  </si>
  <si>
    <t>1/0/2020  10:18:00</t>
  </si>
  <si>
    <t>1/0/2020  10:20:00</t>
  </si>
  <si>
    <t>1/0/2020  10:21:00</t>
  </si>
  <si>
    <t>1/0/2020  10:24:00</t>
  </si>
  <si>
    <t>1/0/2020  10:25:00</t>
  </si>
  <si>
    <t>1/0/2020  10:27:00</t>
  </si>
  <si>
    <t>1/0/2020  10:30:00</t>
  </si>
  <si>
    <t>1/0/2020  10:33:00</t>
  </si>
  <si>
    <t>187 FW - Implement HurCon 1 Checklist (CEMP 10-2)</t>
  </si>
  <si>
    <t>20 SF - SAR Tm and 131 on call from TF South. BPT provide additional assets as needed</t>
  </si>
  <si>
    <t>62 TC - Units staged</t>
  </si>
  <si>
    <t>J-1 / Medical - Push CLS assets with FLEs</t>
  </si>
  <si>
    <t xml:space="preserve">J-1 / Strength - Push FLEs out to safe zones </t>
  </si>
  <si>
    <t xml:space="preserve">JTF-S/226 MEB -  remaining Forces at REDCON 2
</t>
  </si>
  <si>
    <t xml:space="preserve">JTF-S/226 MEB - Contra Flow ENDEX 1-117 FA moves to RON Sites – Consolidates and reorganizes – Detached from 62nd Troop Command and attached to JTF-S – REDCON 1
</t>
  </si>
  <si>
    <t>JTF-S/226 MEB - IEF and Augmentation Forces at REDCON 1</t>
  </si>
  <si>
    <t xml:space="preserve">JTF-S/226 MEB - Movement in the AOR is limited to mission essential only.
</t>
  </si>
  <si>
    <t>167 TSC - Units OPCON to assigned JTF/TF</t>
  </si>
  <si>
    <t>187 FW - Monitor situation</t>
  </si>
  <si>
    <t>AEMA SEOC - Begin County SITREP Calls</t>
  </si>
  <si>
    <t>AEMA SEOC - Continue FEMA Conference Calls</t>
  </si>
  <si>
    <t>AEMA SEOC - Deploy Resources</t>
  </si>
  <si>
    <t>AEMA SEOC - Establish Recovery Section</t>
  </si>
  <si>
    <t>AEMA SEOC - Execute Receiving and Distribution Logistics System</t>
  </si>
  <si>
    <t>AEMA SEOC - Identify Electrical Generator Requirements</t>
  </si>
  <si>
    <t>AEMA SEOC - Integrate FEMA Emergency Response Team (ERT), Unified Command Plan</t>
  </si>
  <si>
    <t>AEMA SEOC - SEOC Operational</t>
  </si>
  <si>
    <t>AEMA SEOC - Statewide Damage Assessment</t>
  </si>
  <si>
    <t xml:space="preserve">JTF-S/226 MEB - 1-117 FA Conducts Contra Flow under C2 of 62nd Troop Command </t>
  </si>
  <si>
    <t>JTF-S/226 MEB - 1-117 FA, BP to Move to designed AOR</t>
  </si>
  <si>
    <t>JTF-S/226 MEB - Conduct DSCA Operations (RSOI) REDCON 1</t>
  </si>
  <si>
    <t xml:space="preserve">JTF-S/226 MEB - O/O BP to conduct damage assessment
</t>
  </si>
  <si>
    <t>JTF-S/226 MEB - O/O BP to conduct debris removal</t>
  </si>
  <si>
    <t>JTF-S/226 MEB - O/O BP to conduct SAR</t>
  </si>
  <si>
    <t>JTF-S/226 MEB - O/O BP to provide local Security</t>
  </si>
  <si>
    <t>187 FW - Implement Recovery checklist/Respond to JOC tasking</t>
  </si>
  <si>
    <t>62 TC - DSCA operations begin</t>
  </si>
  <si>
    <t>EOC/JOC - Place Follow-on Forces at REDCON 2</t>
  </si>
  <si>
    <t xml:space="preserve">J-1 / Family Readiness -  State contact made with unit POCs in the path </t>
  </si>
  <si>
    <t>J-1 / Medical - Re-Supply and/or CLS push to field</t>
  </si>
  <si>
    <t>J-1 / Safety -Safety Officers on ground to assess safe or unsafe areas</t>
  </si>
  <si>
    <t>J-1 / Strength -Strength Reports</t>
  </si>
  <si>
    <t>LNO'S - Attend teleconferences and liaison</t>
  </si>
  <si>
    <t xml:space="preserve">167 TSC - Units report to Homestation and begin mission planning and PCC/PCIs </t>
  </si>
  <si>
    <t>187 FW - Monitor situation/Prepare for JOC tasking, as required</t>
  </si>
  <si>
    <t>20 SF - Mission Planning and Equipment prep</t>
  </si>
  <si>
    <t>62 TC - Issue OPORD, Determine staging areas and service station distro points, draw fly away boxes,  REDCON 1, deploy FWD elements</t>
  </si>
  <si>
    <t>EOC/JOC - Place initial units on REDCON 1</t>
  </si>
  <si>
    <t>J-4 / Transportation - Monitor Convoy Movements using MTS</t>
  </si>
  <si>
    <t>J-6 - Deploy JISCC</t>
  </si>
  <si>
    <t xml:space="preserve">JTF-S/226 MEB - Movement to Staging Areas (Activate MTS, Communications checks with JTF South) REDCON 2 Status </t>
  </si>
  <si>
    <t>LNO'S - Liaison</t>
  </si>
  <si>
    <t>117 ARW - Place CAT personnel on stand-by</t>
  </si>
  <si>
    <t>187 FW - Implement HurCon 2 Checklist (CEMP 10-2)</t>
  </si>
  <si>
    <t>20 SF - SAR Tm and 131 mission planning and rehearsals. 20th TOC operational 24/7</t>
  </si>
  <si>
    <t>62 TC - Movement to staging areas, JTF handoff and receipt complete</t>
  </si>
  <si>
    <t>AEMA SEOC - Evacuations Completed</t>
  </si>
  <si>
    <t>EOC/JOC - Assume ABS 1</t>
  </si>
  <si>
    <t xml:space="preserve">J-1 / Family Readiness -  State contact made with unit POCs in the projected path </t>
  </si>
  <si>
    <t>J-1 / Medical - Place units on State Orders</t>
  </si>
  <si>
    <t>J-1 / Safety - Push J-1 / Safety issues with mission to units on movement and equipment maint</t>
  </si>
  <si>
    <t>J-1 / Strength - Place units on State Orders</t>
  </si>
  <si>
    <t>J-6 - Publish Initial Phone Book</t>
  </si>
  <si>
    <t xml:space="preserve">JTF-S/226 MEB - Apportioned units REDCON 1 (B/711 BSB, 1165th MP CO,  690th CM CO,  31 NSC)
</t>
  </si>
  <si>
    <t xml:space="preserve">JTF-S/226 MEB - IEFs REDCON 1 (HQ-1-167 IN,  A/1-167 IN,  1203 EN (-) IEF, HQ 711 BSB,  A/711 BSB, 280th CBCS ICEv3)
</t>
  </si>
  <si>
    <t>JTF-S/226 MEB - JTF South units  (Staged / RSOI)  (Receive / Conduct EMA Missions) REDCON 1</t>
  </si>
  <si>
    <t>JTF-S/226 MEB - receive copy of Movement plans from respective MACOMS for remainder of JTF–S units (B/1-167, C/1-167,  D/1-167,  167 FSC, 1203 EN BN, 161 MED BN, 186 EN CO,  1151st EN CO, 1152 FFT, 1153 FFT,  1312 EN DET, 781 TSC, 127 MED CO, 778 MNT CO)</t>
  </si>
  <si>
    <t>167 TSC - Units begin movement to predesignated locations</t>
  </si>
  <si>
    <t xml:space="preserve">62 TC - REDCON 2, Telecon with CDRS and FTUS staff, prep 2 buses for issue to TF units, initiate units movements for classes of supply draw, and MTS test with state, </t>
  </si>
  <si>
    <t>AEMA SEOC - Establish County Liaisons</t>
  </si>
  <si>
    <t>AEMA SEOC - Mandatory Evacuation Plan Implemented</t>
  </si>
  <si>
    <t>AEMA SEOC - Open Shelters</t>
  </si>
  <si>
    <t>AEMA SEOC - Position Logistics Commodities</t>
  </si>
  <si>
    <t>AEMA SEOC - Pre-Position Resources (Agency, Mutual Aid, EMAC)</t>
  </si>
  <si>
    <t>AEMA SEOC - SEOC Activates at Level One</t>
  </si>
  <si>
    <t>EOC/JOC - Assume ABS 2; Conduct link up with DCO and EPLOs; place initial units on REDCON 2</t>
  </si>
  <si>
    <t>J-1 / Family Readiness - Initial Warning Order for extra FRG support</t>
  </si>
  <si>
    <t>J-1 / Medical - Advance Party placed on orders</t>
  </si>
  <si>
    <t>J-1 / Safety - Begin statewide push on Water J-1 / Safety, Disease, Animals, etc.</t>
  </si>
  <si>
    <t>J-1 / Strength - Advance Party placed on orders</t>
  </si>
  <si>
    <t>J-4 / Class I - Release 2 DOS MRE to JTF units
M-M-M</t>
  </si>
  <si>
    <t>J-4 / Class II - Release DERT</t>
  </si>
  <si>
    <t>J-4 / Class III - All JTF vehicles are filled up using unit assets.  Fill tankers after recording starting balance</t>
  </si>
  <si>
    <t>J-4 / Class IX - Release CL IX push package to FMSs within potential strike sector</t>
  </si>
  <si>
    <t>J-4 / Class V - Issue basic load 5.56/9mm to JTF units</t>
  </si>
  <si>
    <t>J-4 / Class VIII - Issue IV bags/fill CLS bags for JTF units</t>
  </si>
  <si>
    <t>J-4 / Transportation - Verify Trafficability of convoy routes.  Conduct 'net call' for MTS systems</t>
  </si>
  <si>
    <t xml:space="preserve">JTF-S/226 MEB - IEF and Augmentation Forces conduct movement and close at RON Sites NLT H-24
</t>
  </si>
  <si>
    <t xml:space="preserve">JTF-S/226 MEB -1-117 FA Conducts Contra Flow under C2 of 62nd Troop Command until mission completion
</t>
  </si>
  <si>
    <t>JTF-S/226 MEB -coordinate with respective MACOMS tasking units to JTF-S</t>
  </si>
  <si>
    <t>JTF-S/226 MEB -establish communication with all activated units – units remain under C2 of MACOM</t>
  </si>
  <si>
    <t xml:space="preserve">JTF-S/226 MEB -Issue FRAGO to activate remaining JTF-S TPFDD units (B/1-167, C/1-167,  D/1-167,  167 FSC, 1203 EN BN, 161 MED BN, 186 EN CO,  1151st EN CO, 1152 FFT, 1153 FFT,  1312 EN DET, 781 TSC, 127 MED CO, 778 MNT CO)
</t>
  </si>
  <si>
    <t>187 FW - Implement HURCON 4 Checklist/Identify personnel for JOC tasking</t>
  </si>
  <si>
    <t>62 TC - Stand up CMC with FTUS, Coordinate with other JTFs for handoff and receipt of subordinate units, issue WARN ORD 2</t>
  </si>
  <si>
    <t>AEMA SEOC - Begin Incident Action Plan</t>
  </si>
  <si>
    <t>AEMA SEOC - Deploy Communications Vans</t>
  </si>
  <si>
    <t>AEMA SEOC - Deploy County Liaisons</t>
  </si>
  <si>
    <t>AEMA SEOC - Establish Unified Command</t>
  </si>
  <si>
    <t>AEMA SEOC - Initiate Voluntary Evacuations</t>
  </si>
  <si>
    <t>AEMA SEOC - Plan Back-Up Communications</t>
  </si>
  <si>
    <t>AEMA SEOC - Receive FEMA Emergency Response Team</t>
  </si>
  <si>
    <t>AEMA SEOC -SEOC Activates at Level Two</t>
  </si>
  <si>
    <t>EOC/JOC - Request JET TM 1 from NGB JOC; activate JTF South JOC</t>
  </si>
  <si>
    <t>J-1 / Family Readiness - Alert Orders to units</t>
  </si>
  <si>
    <t>J-1 / Medical - Alert Orders to units</t>
  </si>
  <si>
    <t>J-1 / Safety - Alert Orders to units</t>
  </si>
  <si>
    <t>J-1 / Strength - Alert Orders to units / Request Battle Rosters</t>
  </si>
  <si>
    <t xml:space="preserve">JTF-S/226 MEB - 1-117 detached from 226 MEB, attached to 62nd Troop Command – BP to conduct Contra Flow
</t>
  </si>
  <si>
    <t>JTF-S/226 MEB - Apportioned units activated.
B/711 BSB, 1165th MP CO  690th CM CO 31 NSC</t>
  </si>
  <si>
    <t>JTF-S/226 MEB - IEFs activated (HQ-1-167 IN,  A/1-167 IN, 1203 EN (-) IEF, HQ 711 BSB,  A/711 BSB, 280th CBCS ICEv3)</t>
  </si>
  <si>
    <t xml:space="preserve">JTF-S/226 MEB - issue movement orders to:
HQ-1-167 IN  A/1-167 In  1203 EN (-) IEF
</t>
  </si>
  <si>
    <t xml:space="preserve">JTF-S/226 MEB - Issue warning order to remainder of JTF-S TPFDD units – BP to execute REDCON 2 (B/1-167, C/1-167,  D/1-167,  167 FSC, 1203 EN BN, 161 MED BN, 186 EN CO,  1151st EN CO, 1152 FFT, 1153 FFT,  1312 EN DET, 781 TSC, 127 MED CO, 778 MNT CO)
</t>
  </si>
  <si>
    <t xml:space="preserve">JTF-S/226 MEB - receives FRAGO to acitvate as JTF-S </t>
  </si>
  <si>
    <t>JTF-S/226 MEB - Zone 2 LNOs activated and ordered to county EMAs (Clark,  Washington, Escambia-711th BSB)</t>
  </si>
  <si>
    <t>LNO'S - Dispatch LNOs to AL EMA; Dispatched LOG Cell to EMA JOC</t>
  </si>
  <si>
    <t>167 TSC - 122d dispatches LNO's to JTFHQ</t>
  </si>
  <si>
    <t xml:space="preserve"> J-6 - Activate JISCC</t>
  </si>
  <si>
    <t>187 FW - Implement HurCon 3 Checklist (CEMP 10-2)</t>
  </si>
  <si>
    <t>20 SF - SAR Tm and additional assets report to HQ 20, Birmingham. Equipment pool assembles equipment</t>
  </si>
  <si>
    <t>J-1 / Medical - Review Out of State Personnel Assets</t>
  </si>
  <si>
    <t>J-1 / Strength - Review Out of State Personnel Assets</t>
  </si>
  <si>
    <t>J-4  / Class IX - Continue to take necessary action to bring DSCA centric equipment to FMC</t>
  </si>
  <si>
    <t>JTF-S/226 MEB - Advise TF Units of REDCON 3 Status</t>
  </si>
  <si>
    <t xml:space="preserve">JTF-S/226 MEB - Assumes REDCON 4 and prepares to execute JFHQ OPLAN 10-200.  </t>
  </si>
  <si>
    <t xml:space="preserve">JTF-S/226 MEB - Begin initial preparation for standing up JTF-S staff and the IEF. </t>
  </si>
  <si>
    <t xml:space="preserve">JTF-S/226 MEB - Establish communications with Baldwin and Mobile Counties </t>
  </si>
  <si>
    <t>JTF-S/226 MEB - Issue Warning Order to all subordinate units</t>
  </si>
  <si>
    <t>JTF-S/226 MEB - Test alert roster for key personnel TPFDD to JTF-S</t>
  </si>
  <si>
    <t>187 FW - Implement CEMP 10-2 Annex B</t>
  </si>
  <si>
    <t>20 SF - Dispatch LNO to State JOC, Cooridnate with 131st AVN</t>
  </si>
  <si>
    <t>62 TC - Issue WARN ORDER 1, CMC Prep</t>
  </si>
  <si>
    <t>AEMA SEOC - Alert Alabama Mutual Aid System and County Liaisons</t>
  </si>
  <si>
    <t>AEMA SEOC -Activate Logistics Staging at Maxwell AFB</t>
  </si>
  <si>
    <t>AEMA SEOC -Activate Resource Contracts for Security, Food, Ice and Water</t>
  </si>
  <si>
    <t>AEMA SEOC -Begin Opening Shelters</t>
  </si>
  <si>
    <t>AEMA SEOC -Begin Public Information Briefings</t>
  </si>
  <si>
    <t>AEMA SEOC -Begin Twice Daily Situation Updates</t>
  </si>
  <si>
    <t>AEMA SEOC -Participate in FEMA and Hurricane Liaison Team Conference Calls</t>
  </si>
  <si>
    <t>AEMA SEOC -Request Shelter Generators</t>
  </si>
  <si>
    <t>AEMA SEOC -SEOC Activates at Level Three</t>
  </si>
  <si>
    <t>AEMA SEOC -Voluntary Evacuation Planning Initiated</t>
  </si>
  <si>
    <t>EOC/JOC - Begin attending AL EMA &amp; NGB Teleconferences
Assume ABS 3</t>
  </si>
  <si>
    <t>J-1 / Family Readiness - Publish POC list to state for FRG Coord down range</t>
  </si>
  <si>
    <t>J-1 / Medical - Initial Roster of CLS Qualified personnel</t>
  </si>
  <si>
    <t>J-1 / Strength - Initial Battle Roster for first look at possible cross leveling</t>
  </si>
  <si>
    <t>JTF-S/226 MEB - Activate and dispatch Zone 1 LNOs to Baldwin and Mobile County EMAs</t>
  </si>
  <si>
    <t>JTF-S/226 MEB - activates support pax for JTF-S (B/711 BSB, 1165th MP CO, 690th CM CO, 31 NSC)</t>
  </si>
  <si>
    <t>LNO'S - ALERT LNOs</t>
  </si>
  <si>
    <t>167 TSC - Issue BPT deploy order to 122d ASG and alert LNOs</t>
  </si>
  <si>
    <t xml:space="preserve"> J-6 - Alert JISCC</t>
  </si>
  <si>
    <t>INFO</t>
  </si>
  <si>
    <t>P McDonald</t>
  </si>
  <si>
    <t>NG LNO's to State EOC by 0700 4 May 10</t>
  </si>
  <si>
    <t xml:space="preserve">LNO to SEOC </t>
  </si>
  <si>
    <t xml:space="preserve">187 FW - Assemble EOC/Review CEMP 10-2, Annex B
</t>
  </si>
  <si>
    <t>Not Injected - MSEL Planning Info only</t>
  </si>
  <si>
    <t>20 SF - ID JOC LNO</t>
  </si>
  <si>
    <t>62 TC - FTUS Hurricane Tracking, Initial PERSTAT and Logistics Capabilities PLACE SUB UNITS on REDCON 4</t>
  </si>
  <si>
    <t>EOC/JOC - Assume Adaptive Battle Staff (ABS) 4; 
Submit Updated AL Capabilites Slide to NGB; place units on REDCON 4</t>
  </si>
  <si>
    <t>J-1 / Family Readiness - Contact FRG Coordinators down range</t>
  </si>
  <si>
    <t>J-1 / Medical - Review CLS Qualifed Personnel</t>
  </si>
  <si>
    <t>J-1 / Safety - Begin statewide push on Hurricane and Tornado</t>
  </si>
  <si>
    <t>J-1 / Strength - Review J-1 / Medical, Avn/Trans, EN, MP, LG and SIG/IT Personnel Assets</t>
  </si>
  <si>
    <t>J-4  / Class I - Review MRE DOS, ensure sufficient 2 DOS per JTF</t>
  </si>
  <si>
    <t>J-4  / Class III - Link up with SPDOF and verify that fuel contracts listed are valid</t>
  </si>
  <si>
    <t>J-4  / Class IX - Verify status of CL IX push package.  Verify maint status of equipement</t>
  </si>
  <si>
    <t>J-4  / Class V - Review requirements with FMARNGTC ATP.  Verify sufficient on hand</t>
  </si>
  <si>
    <t>J-4  / Class VII - Review initial density report.  Determine shortages and X-Level</t>
  </si>
  <si>
    <t>J-4  / Class VIII - Review quantities available, specifically IV fluids for CLS Bags</t>
  </si>
  <si>
    <t>J-4 / Class II - Inventory DERT, note shortages and makeup shortages</t>
  </si>
  <si>
    <t>J-4 / Misc Funding - Review available funds for use during contingency operations.  Monitor funding levels.</t>
  </si>
  <si>
    <t>J-4 / Transportation - Prepare to issue convoy orders to affected units to strike sector.  Verify status of enablers</t>
  </si>
  <si>
    <t>JTF-S/226 MEB - FTUS Hurricane Tracking</t>
  </si>
  <si>
    <t>117 ARW - Inventory DR assets</t>
  </si>
  <si>
    <t>187 FW - Inventory DR assets/Prepare to respond to JOC tasking</t>
  </si>
  <si>
    <t>20 SF - Place SAR Tm on Alert, ID additional 20th Volunteers, Pre-Mission Checks on J-4 / Transportation and critical log</t>
  </si>
  <si>
    <t>62 TC - Telecon with Unit Commanders, Issue verbal WARN ORDER</t>
  </si>
  <si>
    <t>EOC/JOC - Place units on REDCON 3 
BPT activate FOSA at MAFB</t>
  </si>
  <si>
    <t xml:space="preserve">Deploy 3ea 100KW Gen to Mobile County Hospitals, Mobile Infirmary, Mobile Womens and Childrens, Spring Hill Dialysis Center. </t>
  </si>
  <si>
    <t xml:space="preserve">Deploy 3ea 100KW Gen to Baldwin County Hospital, Thomas (Fairhope), Foley (South Baldwin), Foley Dialysis Center, Foley. </t>
  </si>
  <si>
    <t>Provide 15 soldiers to assist with loading and orderly evacuation of 85 patients at Thomas Hospital in Fairhope due to power/water outages. Mission duration is 12 hrs</t>
  </si>
  <si>
    <t>Provide 25 soldiers to assist with loading and orderly evacuation 150 patients at Springhill Medical Center in Mobile due to power/water outages. Mission duration is 12 hrs</t>
  </si>
  <si>
    <t>Provide 10 soldiers to assist with the loading and evacuation of 40 patients at South Baldwin Regional Center in Foley due to power/water outages. Mission duration is 12 hrs</t>
  </si>
  <si>
    <t>Provide 15 Soldiers to assist with evacuating 60 patients at Mercy Medical in Daphne due to power/water outages. Mission duration 12 hrs</t>
  </si>
  <si>
    <t xml:space="preserve">Transport food, water, and ice from LSA Brookley Field to LSA's located in Mobile and Baldwin Counties.  Commodities to move are 400 Pallets of MRE, 500 Pallets of water, 100 Pallets of Ice, this will be a LOG Push mission daily.  Mission duration is TBD.    </t>
  </si>
  <si>
    <t>Presidential Disaster Declaration</t>
  </si>
  <si>
    <t>White Cell thru AEMA</t>
  </si>
  <si>
    <t>AEMA request NG assistance in providing fuel trucks, and recovery vehicles to assist stranded evacuees along Hwy 43 between Salco and Jackson.</t>
  </si>
  <si>
    <t>AEMA officials report 70% successful evacuation for Mobile and Baldwin counties.</t>
  </si>
  <si>
    <t>AEMA requests rotary wing assets for Governor and State Officials to observe storm damage.  Positioned NLT 1800 19 May 2009.  Duration 7 days.  Expect 12-15 pax per sortie.</t>
  </si>
  <si>
    <t>White Cell - Mobile EOC/JTF-S</t>
  </si>
  <si>
    <t>Mobile County EOC reports the Mobile Convention and Visitor Center has 2500 people waiting to be evacuated and water/food supplies are low.  Request is for immediate transportation</t>
  </si>
  <si>
    <t>AEMA issues mission for 200 personnel to assist with sandbagging in Mobile; anticipate mission duration of 24 hours.</t>
  </si>
  <si>
    <t xml:space="preserve">Unable to make repairs to damaged roads. </t>
  </si>
  <si>
    <t>Army National Guard CAT requests Alabama review resources available IOT support MSNG 3X UH60.</t>
  </si>
  <si>
    <t>BPT establish ONE LSA Brookley Field, Mobile, requires 20 PAX, 24hrs operations duration of support TBD.</t>
  </si>
  <si>
    <t>BPT establish and staff 15 PODs at Mobile and Baldwin counties</t>
  </si>
  <si>
    <t>Provide support to SERT (AL)LOG Chief in SEOC (AL)</t>
  </si>
  <si>
    <t>TF South gets notification of pending activation</t>
  </si>
  <si>
    <t>Provide meteorological services to SEOC (AL)</t>
  </si>
  <si>
    <t>Provide SAR Planner to SEOC (AL) ESF 9</t>
  </si>
  <si>
    <t>BPT support Aviation assets to assist with SAR</t>
  </si>
  <si>
    <t>BPT provide Comms to affected areas EOCs</t>
  </si>
  <si>
    <t>BPT to provide 3000 Soldiers for security operations in South and Central Alabama; locations TBD.  Request units be self sustaining.</t>
  </si>
  <si>
    <t>USPFO - ADP requests a 30 KW generator to be positioned at the USPFO building to maintain computer connectivity for AL Nat Guard.</t>
  </si>
  <si>
    <t>BPT provide Engineer assets for re-entry and debris operations  in affected counties.</t>
  </si>
  <si>
    <t>DOT through AEMA requests information on availability of 100 soldiers and 50 vehicles for assistance in implementing the I-65 Lane Reversal Contingency Plan.</t>
  </si>
  <si>
    <t xml:space="preserve">AEMA Teleconference </t>
  </si>
  <si>
    <t>9</t>
  </si>
  <si>
    <t>Governor Orders Evacuation of Dauphin Island and Gulf Shores</t>
  </si>
  <si>
    <t>Landfall</t>
  </si>
  <si>
    <t>JTF-S</t>
  </si>
  <si>
    <t>Director AEMA</t>
  </si>
  <si>
    <t>MISSION</t>
  </si>
  <si>
    <t>AEMA ESF 7</t>
  </si>
  <si>
    <t>AEMA ESF 9</t>
  </si>
  <si>
    <t>AEMA ESF 5</t>
  </si>
  <si>
    <t>White Cell - AEMA</t>
  </si>
  <si>
    <t>AEMA ESF 13</t>
  </si>
  <si>
    <t>AEMA requests dispatch of NG LNOs to County EOCs  by 1200 19 May 2009.</t>
  </si>
  <si>
    <t>Baldwin County Sheriff requests 250 Soldiers for site security and traffic control. Soldiers will right seat ride with local Law Enforcement personnel</t>
  </si>
  <si>
    <t>Mobile County Sheriff requests 250 Soldiers for site security and traffic control. Soldiers will right seat ride with local Law Enforcement personnel</t>
  </si>
  <si>
    <t>AEMA Preparations for JTF Standup</t>
  </si>
  <si>
    <t>AEMA ESF ___</t>
  </si>
  <si>
    <t xml:space="preserve">Establish and run LSA Greyhound Park Mobile, AL </t>
  </si>
  <si>
    <t>Request aviation for aerial assessment of affect AO.  20 PAX</t>
  </si>
  <si>
    <t xml:space="preserve">
...HURRICANE AL SLOWS NEAR MOBILE ALABAMA...
SUMMARY OF 1100 AM EDT...1500 UTC...INFORMATION
-----------------------------------------------
LOCATION...30.9N 88.1W
ABOUT 14 MILES...23 KM...NORTH OF MOBILE ALABAMA
ABOUT 134 MILES...216 KM...NORTHEAST OF NEW ORLEANS LOUISIANA 
ABOUT 145 MILES...232 KM...SOUTHWEST OF MONTGOMERY ALABAMA
MAXIMUM SUSTAINED WINDS...115 MPH...169 KM/HR
PRESENT MOVEMENT...NORTHERLY OR 23 DEGREES AT 9 MPH...14 KM/HR
MINIMUM CENTRAL PRESSURE 962 MB...28.41 INCHES
</t>
  </si>
  <si>
    <t xml:space="preserve">
...HURRICANE AL REMAINS A CATEGORY ONE HURRICANE...OVER SOUTHERN ALABAMA AND THE FLORIDA PANHANDLE...
SUMMARY OF 500 PM EDT...2100 UTC...INFORMATION
-----------------------------------------------
LOCATION...31.7N 87.6W
ABOUT 78 MILES...126 KM...NORTH-NORTHEAST OF MOBILE ALABAMA
ABOUT 87 MILES...140 KM...SOUTHWEST OF MONTGOMERY ALABAMA
ABOUT 132 MILES...213 KM...SOUTHEAST OF BIRMINGHAM ALABAMA 
MAXIMUM SUSTAINED WINDS...85 MPH...169 KM/HR
PRESENT MOVEMENT...NORTHERLY OR 39 DEGREES AT 9 MPH...14 KM/HR
MINIMUM CENTRAL PRESSURE 982 MB...29.0 INCHES
</t>
  </si>
  <si>
    <t>USPFO  Warehouse to push 20 pallets of MREs and 20 pallets of bottled water to Ft McClellan, AL (pre-positioning for soldier support).</t>
  </si>
  <si>
    <t>USPFO  Warehouse to push 20 pallets of MREs and 20 pallets of bottled water to Ft Whiting, Mobile, AL (pre-positioning for soldier support).</t>
  </si>
  <si>
    <t>JOC J4</t>
  </si>
  <si>
    <t>USPFO Warehouse SOP, SA only</t>
  </si>
  <si>
    <t>USPFO, S&amp;S</t>
  </si>
  <si>
    <t>Army National Guard CAT requests Alabama review resources available, specifically UH 60/CH 47 BN and BDE level multipurpose purpose  task forces.</t>
  </si>
  <si>
    <t>JIEE or Email</t>
  </si>
  <si>
    <t>ARNG CAT</t>
  </si>
  <si>
    <t>AEMA Director contacts AL TAG/J3 to discuss hurricane response planning/operations.  AEMA Director states that they are making preliminary plans for possible Alex response operations. Suggests issuing warning orders to MACOMs for potential in-state response operations.</t>
  </si>
  <si>
    <t>AL J3</t>
  </si>
  <si>
    <t>AEMA Contacts JOC</t>
  </si>
  <si>
    <t xml:space="preserve">AL Governor issues declares State of Emergency </t>
  </si>
  <si>
    <t>EMITS</t>
  </si>
  <si>
    <t>SERT (AL)Team</t>
  </si>
  <si>
    <t>High sustained wind from Hurricane AL damaged TF-South Warehouse facility, scattering several pallets of MRE's (approximately 5 pallets). Once TF-South request additional MRE's from DOL (J-4). The 5 ton truck transporting the MRE's to TF-South, Driver try</t>
  </si>
  <si>
    <t xml:space="preserve">The local area Emergency Manager (EM), Fire Department and local police Department reported due to the high wind sustained by Hurricane AL many trees, and other debris has hindered many routes in Southwest Alabama. EM requested engineering support. EM is </t>
  </si>
  <si>
    <t>After Hurricane AL made land fall near the Gulf Coast area of Mobile. The local weather advisory reported a Flash Flood Warning for Escambia County Alabama. The Burnt Corn Creek between HWY 41 and 49 near the town of Brewton, is forecasted to crest nearly</t>
  </si>
  <si>
    <t xml:space="preserve">
...HURRICANE AL REMAINS A CATEGORY ONE HURRICANE...OVER SOUTHERN ALABAMA AND THE FLORIDA PANHANDLE...
SUMMARY OF 500 PM EDT...2100 UTC...INFORMATION
-----------------------------------------------
LOCATION...31.7N 87.6W
ABOUT 78 MILES...126 KM...NORTH-</t>
  </si>
  <si>
    <r>
      <t xml:space="preserve">A fax from </t>
    </r>
    <r>
      <rPr>
        <b/>
        <u/>
        <sz val="10"/>
        <rFont val="Arial"/>
        <family val="2"/>
      </rPr>
      <t>(named)</t>
    </r>
    <r>
      <rPr>
        <sz val="10"/>
        <rFont val="Arial"/>
        <family val="2"/>
      </rPr>
      <t xml:space="preserve"> Hospital’s administrator to all hospital administrators in </t>
    </r>
    <r>
      <rPr>
        <b/>
        <u/>
        <sz val="10"/>
        <rFont val="Arial"/>
        <family val="2"/>
      </rPr>
      <t>(named)</t>
    </r>
    <r>
      <rPr>
        <sz val="10"/>
        <rFont val="Arial"/>
        <family val="2"/>
      </rPr>
      <t xml:space="preserve">  City notifies them that the beds are full. </t>
    </r>
    <r>
      <rPr>
        <b/>
        <u/>
        <sz val="10"/>
        <rFont val="Arial"/>
        <family val="2"/>
      </rPr>
      <t>(named)</t>
    </r>
    <r>
      <rPr>
        <sz val="10"/>
        <rFont val="Arial"/>
        <family val="2"/>
      </rPr>
      <t xml:space="preserve"> hospital will need to redirect incoming ambulances to other hospitals, and they require help in coordinating the pati</t>
    </r>
  </si>
  <si>
    <r>
      <t xml:space="preserve">A Deputy Sheriff calls the water superintendent to let them know that he received a radio call from an EMS worker reporting that </t>
    </r>
    <r>
      <rPr>
        <b/>
        <u/>
        <sz val="10"/>
        <rFont val="Arial"/>
        <family val="2"/>
      </rPr>
      <t>(named)</t>
    </r>
    <r>
      <rPr>
        <sz val="10"/>
        <rFont val="Arial"/>
        <family val="2"/>
      </rPr>
      <t xml:space="preserve"> Hospital was losing water pressure fast. He also informs the water treatment plant (WTP) that the same EMS worker also</t>
    </r>
  </si>
  <si>
    <t>Request 900 MREs, 100 cots, and 100 blankets to be prepositioned at Fort Whiting, Mobile AL.</t>
  </si>
  <si>
    <t>INFO - KC-135 Crash</t>
  </si>
  <si>
    <t>Follow-Up Report on KC-135 Crash (from 117th Operations to Air ATAG)</t>
  </si>
  <si>
    <t>Initial Report of KC-135 Crash in Birmingham (soldier calls in to report that it is on the news)</t>
  </si>
  <si>
    <t>Follow-Up Report on KC-135 Crash (from 117th Operations to Air ATAG) concerning radioactive materials found on aircraft</t>
  </si>
  <si>
    <t>Two vehicles convoy of generator mechanics traveling from Brundidge to Mobile to repair a 100kw generator. The convoy movement is being tracked by MTS. After reaching Greenville, AL from that point on, the convoy isn't visible on MTS and the JOC receives no response on MTS messenger. - No SAT phone available. - Unaware of personnel cellular phone.</t>
  </si>
  <si>
    <r>
      <t xml:space="preserve">JTF-S/226 MEB - </t>
    </r>
    <r>
      <rPr>
        <i/>
        <sz val="10"/>
        <color indexed="10"/>
        <rFont val="Arial"/>
        <family val="2"/>
      </rPr>
      <t xml:space="preserve"> issues warning order to respective MEB units TBP to activate and deploy Zone 2 LNOs</t>
    </r>
  </si>
  <si>
    <r>
      <t xml:space="preserve">JTF-S/226 MEB - </t>
    </r>
    <r>
      <rPr>
        <i/>
        <sz val="10"/>
        <color indexed="10"/>
        <rFont val="Arial"/>
        <family val="2"/>
      </rPr>
      <t>conduct COMMS check with SAR and COMMS TM</t>
    </r>
  </si>
  <si>
    <r>
      <t xml:space="preserve">JTF-S/226 MEB - </t>
    </r>
    <r>
      <rPr>
        <i/>
        <sz val="10"/>
        <color indexed="10"/>
        <rFont val="Arial"/>
        <family val="2"/>
      </rPr>
      <t>cross talks with all TPFDD JTF-S IEF Units – BP to mobilize</t>
    </r>
  </si>
  <si>
    <r>
      <t xml:space="preserve">JTF-S/226 MEB - </t>
    </r>
    <r>
      <rPr>
        <i/>
        <sz val="10"/>
        <color indexed="10"/>
        <rFont val="Arial"/>
        <family val="2"/>
      </rPr>
      <t>issues Warning Order to members of HQ, 226 MEB TBP to mobilize as JTF-S</t>
    </r>
  </si>
  <si>
    <t xml:space="preserve">
... HURRICANE AL ...NOW A CATEGORY THREE...SHIFTS NORTHWARD...
SUMMARY OF 2300 PM EDT...0300 UTC...INFORMATION
-----------------------------------------------
LOCATION...24.7N 88.3W
ABOUT 261 MILES...421 KM...NORTH-NORTHWEST OF CANCUN MEXICO
ABOUT 392 MILES...631 KM...WEST-NORTHWEST OF HAVANA CUBA
ABOUT 412 MILES...664 KM...SOUTH OF MOBILE ALABAMA
MAXIMUM SUSTAINED WINDS...120 MPH...193 KM/HR
PRESENT MOVEMENT...NNW OR 334 DEGREES AT 14 MPH...23 KM/HR
MINIMUM CENTRAL PRESSURE...960 MB...28.35 INCHES
</t>
  </si>
  <si>
    <t xml:space="preserve">
...HURRICANE AL MOVING TOWARD THE NEW ORLEANS...
SUMMARY OF 500 AM EDT...0900 UTC...INFORMATION
-----------------------------------------------
LOCATION...25.8N 88.8W
ABOUT 338 MILES...544 KM...SOUTH OF MOBILE ALABAMA
ABOUT 445 MILES...717 KM...WEST-NORTHWEST OF HAVANA CUBA
ABOUT 546 MILES...879 KM...EAST-SOUTHEAST OF CORPUS CHRISTI TEXAS
MAXIMUM SUSTAINED WINDS...120 MPH...193 KM/HR
PRESENT MOVEMENT...NORTHERLY OR 351 DEGREES AT 16 MPH...26 KM/HR
MINIMUM CENTRAL PRESSURE...959 MB...28.32 INCHES
</t>
  </si>
  <si>
    <t>EOC requests SAR forces for Gulf Shores, Orange Beach, Dauphin Island, and Fort Morgan. Mission is to   assist with manning  security check points. Mission request is for 200 personnel. Anticipated mission duration is 72 hours. Request units be self susta</t>
  </si>
  <si>
    <t>Reporter from the Montgomery Advertiser who also states he is a freelance writer for the associated press wants  to speak with Army Public Affairs in reference to Soldiers arrest in Evergreen. He stated he has already spoken with the Evergreen Police Department, the alleged assaulted citizen, and two witnesses (Soldier and Convenient Store Owner). He stated that he wants the Army National Guard official position and statement before he goes to press with the story.</t>
  </si>
  <si>
    <t>Hi this MAJ Fitzgerald again with the Evergreen PD and I just wanted to advise you that I had to get 10-15 (arrest) with your Soldier. I have a unit in route to headquarters with your Soldier. When I arrived at the scene I took his statement and a statement from SPC Judas Turncoat. They both contradicted each other and SPC Turncoat advised that SGT Fitzgerald initiated the whole the incident. I had the convenient store owner at the corner state that she also saw the whole incident and only witnessed SGT Green striking the citizen. When I advised your Soldier he was being placed in custody, he said, "This is bullshit you can't arrest me I'm on Federal Orders working for the Army" and "You have absolutely no jurisdiction over me". I then attempted to affect an arrest and he pushed me. It then took an additional unit, SPC Turncoat, and myself to handcuff him. During the course of affecting an arrest on him he was maced, and struck several times with a collapsible baton to get him subdued. The media is now at Police Headquarters wanting a statement on what occurred.</t>
  </si>
  <si>
    <t>E-mail</t>
  </si>
  <si>
    <t>The JOC is tracking a two vehicle convoy on MTS until they reach the first rest stop in Greenville.</t>
  </si>
  <si>
    <t>Ability to use alternative means for tracking convoy, such as; (Call in check-points)</t>
  </si>
  <si>
    <t>Hi I'm MAJ Fitzgerald the Assistant Police Chief with the Evergreen Police Department. I just had a citizen arrive at our headquarters wishing to file a complaint on an Army Soldier. He stated he was attempting to take I-85 South heading towards Mobile to pick up his elderly Father and a Soldier stopped him and yelled "you need to turn your ass around". He stated that the Soldier then kicked his car, causing damage. He further stated he then got out of his vehicle and approached the Soldier and the Soldier struck him with a closed hand in the face. I'm now on my way out to the scene and just wanted to give you heads up on what has occurred. I take it you have Soldier's in the area doing that lane reversal?</t>
  </si>
  <si>
    <t>MAJ Berry (XO 1/117) to JTF-South - I just had one of my Soldiers contact me and he stated that he was at his assigned post conducting Contra flow Operations and vehicle refused to stop almost hitting him. He told me he kicked the front of the car to get the distracted drivers attention. He further stated that the driver became irate and jumped out the car, approaching him fast. He stated that he had reasonable apprehension that the citizen was going to strike him so he struck the driver in the face first. He stated that the driver then punched him in the ear and SPC Turncoat had to pull the driver off of him. He said the driver then walked back to his vehicle and stated he would sue him and the US Army for every penny they have and left the scene. I told him to stand fast and I would have his Platoon Leader in route to his location. I will provide more information when 1LT Johnson arrives at the scene.</t>
  </si>
  <si>
    <t>2LT Jackson contacts 226 MEB on Armory opening inquiry. Monroeville Mayor makes a premature statement of an Armory opening on public radio.</t>
  </si>
  <si>
    <t>Should refer this request to State EMA</t>
  </si>
  <si>
    <t>Should give PAO notification and let them make inquires with Mayors Office / Refer to State EMA</t>
  </si>
  <si>
    <t>Request 600 batteries for Manpack Radios (AN/PRC-150 or D Model SINCGARS) delivered to Fort Whiting in anticipation of manning security check points</t>
  </si>
  <si>
    <t>SSG Ronald, I just arrived at my Armory in Brewton after receiving a phone call from the Baldwin County Sheriff's Office and a tree has fallen over on our south wall. There is a gaping hole now in our armory about 4'X6' wide and it is leaving the armory unsecure. I'm requesting guidance on what I need to do because the storm is really getting bad out here? Do I need to stay in the armory and secure it. Sherriff's office stated it is going to be impossible to provide an extra patrol with all that is happing.</t>
  </si>
  <si>
    <t>Evergreen Police Department reports that a citizen has walked into their office stating that a Soldier assaulted them in their vehicle at County Hwy 20 and I-65. Police Department states that it also appears the Soldier kicked in the right fender and light of  the citizens car. Assistant Police Chief Fitzgerald wants to know if we have Soldiers in that area? He is on his way out to the scene where the alleged assault occurred.</t>
  </si>
  <si>
    <t>JOC planners may determine that a more appropriate targeting/attack method would be linear slurry drops with fixed wing aircraft (like C-130s) rather than spot attacks with helicopters. JOC may determine if slurry-equipped aircraft are available for EMACS request.</t>
  </si>
  <si>
    <t>EMITS message requests capability assessment of potential Guard capabilities to assist with train derailment north of Grove Hill. Request is to determine availability of CH-47 or UH-60 "Bambi Bucket" capability to help extinguish fires on railcars because of difficulty reaching fires with conventional fire apparatus.</t>
  </si>
  <si>
    <t>The duty status of this mission should come into question, and the JAG probably brought into the discussion. This mission is received as an SAD mission, and will likely remain as such. While the train derailment occurred in the same timeframe (roughly) as the hurricane, it is not a direct result of the hurricane, thus SAD rather than T32.</t>
  </si>
  <si>
    <t>EMITS message requests thirty personnel to establish VCPs to prevent civilians from entering evacuated areas in the vicinity of Grove Hill. Mission is SAD, anticipated duration is four days. Element is required to be self-sustaining for duration of mission.</t>
  </si>
  <si>
    <t>Because of impending hurricane landfall and associated emergency response activities, the Governor has decided that populations evacuated from Grove Hill and surrounding communities will be managed with hurricane evacuees, and will not be allowed to return until train derailment can be completely assessed and mitigated, which will likely not happen until after the hurricane has passed.</t>
  </si>
  <si>
    <t>TF-Alabama, JOC J-4</t>
  </si>
  <si>
    <t xml:space="preserve">The A Co. 711th BSB has a Truck Trac 5 Ton, M931A1 in need of an Engine Assy, NSN 2815-01-374-7539, 
Location: Orange Beach
</t>
  </si>
  <si>
    <t>A Co. 711th BSB</t>
  </si>
  <si>
    <t xml:space="preserve">Stage &amp; BPT deploy 2 SAR teams consisting of 4ea 5tons 16 PAX to Mobile and Baldwin County EOC locations. POC will be Mr. Evens and Mr Raines  </t>
  </si>
  <si>
    <t>Baldwin County EMA Request 4 SAR boat teams to vicinity Point Clear, AL POC is Mr Raines</t>
  </si>
  <si>
    <t>EMITS message requests capability assessment of potential Guard capabilities to assist with train derailment north of Grove Hill. Area, including US 43, is being evacuated. EMA wants to know viability of CST providing hazardous materials assistance. Additionally, EMA wants to determine availability of FLIRS-equipped R/W aircraft to locate "hot spots" in train, to assist in firefighting effort. There is extensive smoke as a result of multiple fires, which is why FLIR is being requested. State Trooper FLIR-equipped aircraft are currently tasked to other activities.</t>
  </si>
  <si>
    <t>SEOC LNO forwards report from DPS concerning train derailment north of Grove Hill</t>
  </si>
  <si>
    <t>SEOC LNO calls to report that DPS has just given a briefing on Grove Hill train derailment. DPS stated that the derailment involved a train consisting of four diesel-electric locomotives and roughly two hundred railcars of varying types. They stated that at least a third of the rolling stock had physically left the railroad tracks as a result of the derailment. The accident involved numerous tank cars containing hazardous materials, but there is no clear indication whether any of these cars are breached or in danger of breaching. The derailment involves multiple fires, most apparently involving rail cars carrying building materials (plywood) and bulk carpet scraps. Because of the fires, thesre is considerable amount of low-hanging smoke in the area, which is slowing the efforts of emergency responders to assess damages. Until hazards can be completely assessed, a mandatory evacuation is currently underway for the towns of Grove Hill, Fulton, Dickenson, and Thomasville. US 43 is closed, and all motorists are advised to avoid Clarke County because of all the evacuation-related traffic in the vicinity of the accident.</t>
  </si>
  <si>
    <t>Grove Hill Train Derailment</t>
  </si>
  <si>
    <t>JTF-S should pass this information upline to JFHQ JOC.</t>
  </si>
  <si>
    <t>The entire purpose of ths thread is to determine if the information (which will be received from multiple sources at different levels) is passed up-line to JFHQ JOC, and then subsequently assessed by various J-Staff elements. The location of the train derailment is directly adjacent to US 43, which should be an MSR for moving troops and equipment downrange, so will J-2 and J-4 receive info and advise TAG and units accordingly?</t>
  </si>
  <si>
    <t>FTUS NCO from Det 1, Co A, 711 BSB is standing by at Grove Hill armory to support hurricane response operations. He reports that a north-bound Norfolk Southern train experienced a serious derailment between Grove Hill and Thomasville (to the north). Clarke County Sheriff's Department and local fire departments are responding. A hazardous materials release is suspected. NCO states that local officials indicate that Grove Hill and surrounding communities will likely be evacuated. He is requesting guidance if evacuation is required.</t>
  </si>
  <si>
    <t>SEOC LNO reports train derailment just north of Grove Hill</t>
  </si>
  <si>
    <t>Telephone or e-mail</t>
  </si>
  <si>
    <t>JOC Chief</t>
  </si>
  <si>
    <t>JOC Chief should notify TAG and key leaders, pertinent staff personnel and JTFs.</t>
  </si>
  <si>
    <t>SEOC LNO calls JOC Chief with a "heads up" that a Norfolk Southern train has derailed approximately ten miles north of Grove Hill (Clarke County). The train was being "pushed" north to get it out of the hurricane impact area. Derailment involves multiple tank cars of hazardous materials, including chlorine, anhydrous ammonia, and flourine. Local emergency responders are on scene; State Troopers and ADEM are en route. SEOC LNO states that EMA may request technical assistance from the CST.</t>
  </si>
  <si>
    <t>EMITS Request for Assistance for Train Derailment emergency response</t>
  </si>
  <si>
    <t>SEOC WC</t>
  </si>
  <si>
    <t>1 Soldier found HIV positive after a periodic health assessment (PHA) performed with medical detachment, from last IDT.</t>
  </si>
  <si>
    <t xml:space="preserve">Soldier is threatening another Soldier with a loaded weapon while performing POD support in Bay Minnette.  He has recently redeployed from Iraq after 13 months. </t>
  </si>
  <si>
    <t>Soldier's father calls the American Red Cross Shelters trying to contact his son who is deployed to Mobile area.  He wants to send a Red Cross message that his Mother has died suddenly.</t>
  </si>
  <si>
    <t>AEMA preliminary report indicates civilians getting sick after drinking from a National Guard water trailer (M112) VIC Dauphin Island</t>
  </si>
  <si>
    <t>AEMA preliminary report indicates civilians getting sick after drinking from a National Guard water trailer (M112) VIC Foley Courthouse</t>
  </si>
  <si>
    <t>Units request resupply of CL 75 CLS bags.  TF Med (JTF North) can not support.</t>
  </si>
  <si>
    <t>5-10 soldiers have become sick in the Orange Beach area, experiencing FLU like symptoms.</t>
  </si>
  <si>
    <t>Several, 25-30 soldiers have become sick in the Orange Beach area, experiencing dysentery, vomiting, and fever.</t>
  </si>
  <si>
    <t>1 Soldier needs MEDEVAC for multiple life threatening injuries from a sinlge vehicle MVA in the vicinity of Evergreen.</t>
  </si>
  <si>
    <t>1 Soldier found HIV positive after a physical performed with medical command, last week</t>
  </si>
  <si>
    <t>Soldier's mother calls the American Red Cross Shelters trying to contact her son who is deployed to Atmore.  She wants to send a Red Cross message that his Uncle has died suddenly.</t>
  </si>
  <si>
    <t>Soldier in VIC of Montgomery is experiencing severe dental pains from dental class 3 issue identified at the last dental exam.  Soldier must receive emergency treatment to resolve issue.</t>
  </si>
  <si>
    <t xml:space="preserve">JTF-S (TF Med) request resupply of CL VIII supplies (IV Fluids, bandages, and pharmaceutical 6505 items).  </t>
  </si>
  <si>
    <t>JTF N</t>
  </si>
  <si>
    <t>JTF S</t>
  </si>
  <si>
    <t>JTF-N</t>
  </si>
  <si>
    <t>J3</t>
  </si>
  <si>
    <t>Safety</t>
  </si>
  <si>
    <t>Chaplain</t>
  </si>
  <si>
    <t>J4</t>
  </si>
  <si>
    <t>J3 w/AVN</t>
  </si>
  <si>
    <t>Benton</t>
  </si>
  <si>
    <t>Grove Hill soldier reports significant train derailment</t>
  </si>
  <si>
    <t>Telephone</t>
  </si>
  <si>
    <t>FTUS NCO manning Grove Hill armory</t>
  </si>
  <si>
    <t>The Jackson Medical Center (Jackson, AL) Administrator has contacted local armory and reports generator failure on pre-storm test. Requests Guards assistance to provide 1 each 100KW generator and support for duration of storm.</t>
  </si>
  <si>
    <t>Governors office inquires as to what packages/systems the Guard has to conduct Real-Time Imaging post landfall.</t>
  </si>
  <si>
    <t>RFI/Phone</t>
  </si>
  <si>
    <t>Whitecell-JTF South</t>
  </si>
  <si>
    <t>Admin NCO for Det 1, 1165 MP Co reports wind and tree damage to Armory. States there is a partially collapsed wall which is leaving the armory unsecure. Requests guidance about staying in the armory through the storm.</t>
  </si>
  <si>
    <t>Simcell - JTF South</t>
  </si>
  <si>
    <t xml:space="preserve">Sergeant L. Green reports to higher (1-117 FA BN) that while conducting his contra flow mission on I-65 at Evergreen a vehicle refused to stop and almost struck him. He stated at which time he kicked the front end of their vehicle to get their attention . He further advised that the citizen then became irate and jumped out their vehicle and a fight ensued. </t>
  </si>
  <si>
    <t xml:space="preserve">Assistant Police Chief Fitzgerald reports that Soldier questioned at scene has no signs of physical injury and has given a conflicting report. Fitzgerald states that SPC Judas Turncoat who was with SGT Green confirms the citizens statement. Fitzgerald states Soldier is in custody for Assault 3rd pending the citizen signing a warrant.  </t>
  </si>
  <si>
    <t>EOC requests SAR forces for Gulf Shores, Orange Beach, Dauphin Island, and Fort Morgan. Mission is to   assist with manning  security check points. Mission request is for 200 personnel. Anticipated mission duration is 72 hours. Request units be self sustaining</t>
  </si>
  <si>
    <t>JTF South sends Soldiers in vehicles or w/radio communication to each check point.</t>
  </si>
  <si>
    <t>Request generator supported light sets and barriers for security check points.</t>
  </si>
  <si>
    <t>MVA on I-65/I-85 interchange involving 3 vehicles (2 military LMTVs and 1 civilian tractor trailer).  4 military personnel injured and transported to Jackson Hospital.</t>
  </si>
  <si>
    <t>After Hurricane AL made landfall near the gulf coast area of Mobile. The local area Emergency Manager(EM) reported minor damage to a nursing home and a medical center in Pritchard, Alabama. Both the nursing home and medical center are without electricity. The Mobile Medical Center, and the nursing facility needs two generators each one to serve as the main power source and the other one as a backup.</t>
  </si>
  <si>
    <t>All units activated submit travel vouchers for identified soldiers.</t>
  </si>
  <si>
    <t>National Guard Bureau is requesting a spreadsheet which capture and track funding costs associated with the hurricane disaster.</t>
  </si>
  <si>
    <t>TF South are requesting 50 port-o-let for units.</t>
  </si>
  <si>
    <t>There are no military transportation assets available, provide commercial haul to deliver 50 tents (GP Medium) to Fort Whiting.</t>
  </si>
  <si>
    <t>On order, transition state active duty to federal active duty for pay purpose.</t>
  </si>
  <si>
    <t xml:space="preserve">Task Force South is requesting a Class A Agent.  </t>
  </si>
  <si>
    <t xml:space="preserve">We just received 100 pallets of bottle water, 100 cots, and 200 blankets.  We need a temporary storage site for these items.   </t>
  </si>
  <si>
    <t>A unit with 125 personnel is requesting one hot commercial meal per day.  Two restaurants are open in the area.</t>
  </si>
  <si>
    <t>Request 900 MREs, 100 cots, and 100 blankets to be preposition at Fort Whiting, Mobile AL.</t>
  </si>
  <si>
    <t>USPFO</t>
  </si>
  <si>
    <t>Therman</t>
  </si>
  <si>
    <t>Simcell (LEA)</t>
  </si>
  <si>
    <t>Sheriff Dept.</t>
  </si>
  <si>
    <t>Baldwin County Sheriff Department requests Guard assistance with ground evacuation of all trailer park residents along Dog River</t>
  </si>
  <si>
    <t>Wheeler</t>
  </si>
  <si>
    <t>White Cell</t>
  </si>
  <si>
    <t>Guard Officer</t>
  </si>
  <si>
    <t>2LT------------, I just heard the Monroeville Mayor make a public statement on FM 89.6 that our (Det 1, 778th Mn Co) Armory will be open for the duration of the storm. He also stated that this will be the primary distribution point for water and food. Just wanted to pass this along as I am a PL with the unit and this is the first I've heard of this.</t>
  </si>
  <si>
    <t>Simcell (City/County)</t>
  </si>
  <si>
    <t>High sustained wind from Hurricane AL damaged TF-South Warehouse facility, scattering several pallets of MRE's (approximately 5 pallets). Once TF-South request additional MRE's from DOL (J-4). The 5 ton truck transporting the MRE's to TF-South, Driver trying to avoid wildlife (deers) accidentally swerved the truck across I-65 south bound, losing a great portion of its cargo.</t>
  </si>
  <si>
    <t xml:space="preserve">DOL (J-4), utilizes available asset, before buying from local vendor. </t>
  </si>
  <si>
    <t>The local area Emergency Manager (EM), Fire Department and local police Department reported due to the high wind sustained by Hurricane AL many trees, and other debris has hindered many routes in Southwest Alabama. EM requested engineering support. EM is requesting an additional 50 chainsaws.</t>
  </si>
  <si>
    <t>Weather service?</t>
  </si>
  <si>
    <t xml:space="preserve">JOC </t>
  </si>
  <si>
    <t>Flash Flood Warning</t>
  </si>
  <si>
    <t>How the J-4 DOL respond to bulk product?</t>
  </si>
  <si>
    <t>After Hurricane AL made land fall near the Gulf Coast area of Mobile. The local weather advisory reported a Flash Flood Warning for Escambia County Alabama. The Burnt Corn Creek between HWY 41 and 49 near the town of Brewton, is forecasted to crest nearly two feet above flood stage. The Emergency Manager (EM) is asking for Class II (50 shovels), IV half million sand bags and VII Engineer equipment (two retrograde, two backhoes, ten dump trucks). Hundreds of homes and businesses are located within the possible flood zone. Berms and Barriers are needed to run alongside the creek bank for additional support.</t>
  </si>
  <si>
    <t>JOC, JTF-South, All</t>
  </si>
  <si>
    <t>Exterior power sources are needed to provided electricity for a Nursing House and Medical Center facilities which are approximately 35,000 square feet.</t>
  </si>
  <si>
    <t>Ability to coordinate with neighboring states for Logistic Assistance.</t>
  </si>
  <si>
    <t>McDonald</t>
  </si>
  <si>
    <t>How will DOL (J-4) section respond, when equipment not readily available within the state.</t>
  </si>
  <si>
    <t>TF-South/JOC (J-4)</t>
  </si>
  <si>
    <t>TF-South</t>
  </si>
  <si>
    <t>White Cell J-4</t>
  </si>
  <si>
    <t>Email/cell</t>
  </si>
  <si>
    <t>How would TF-South react and control the spillage in accordance with SOP.</t>
  </si>
  <si>
    <t xml:space="preserve">Telephone will be submitted to LTC Houck (DOL) from cousin, witness an accident on Hwy 13 near Saraland that involved a military vehicle.
- There will be a similar call to TF-South, indicating an accident and major diesel spills.
</t>
  </si>
  <si>
    <t>Enroute Convoy Request</t>
  </si>
  <si>
    <t>Convoy Commander</t>
  </si>
  <si>
    <t>Convoy request for 10 vehicles from 1343rd enroute to Fort Whiting, Mobile.</t>
  </si>
  <si>
    <t>Request for Alternative route, while traveling to Mobile. How is the detour route coordinated (unit thru DOL) and who approved (J-4/DOL)</t>
  </si>
  <si>
    <t xml:space="preserve">Route request procedures by unit thru J-4  -Select another route due to debris, heavy traffic and an accident 
- Part II: Depending on the selected route an accident will occur producing heavy traffic, causing a route detour. If I-65 is the primary route the accident will occur after reaching the City of Evergreen and before Barnett Crossroads. 
</t>
  </si>
  <si>
    <t>Det 1, 1343rd in-conjunction with 1343rd (Chem Co) are tasked to support military operations in the Mobile/Gulf Shores area. Det 1 (4 military vehicles), must link-up with 1343rd Chem Co (6 military vehicles) and convoy to Fort Whiting, Mobile to conduct military operations.</t>
  </si>
  <si>
    <t>TF-South, JOC J-4</t>
  </si>
  <si>
    <t>Approximately 5 pallets of MRE's were scattered during Hurricane Al.</t>
  </si>
  <si>
    <t>Approximately 5 pallets of MRE's were scattered during Hurricane AL.</t>
  </si>
  <si>
    <t>Request from TF south thru DOL (J-4) to USPF&amp;O (Food Service section). End results - Contract local vendor for meals</t>
  </si>
  <si>
    <t>What arrangement in accordance to DOL policy involves replacing MRE's reserve (replacement)?</t>
  </si>
  <si>
    <t xml:space="preserve">Clarke County request ALNG to man and operate the following POD sites beginning at 0800 7 May 10.  Duration 6-10 days, POC is County ESF 7 Mr. Carter.
Grove Hill
National Guard Armory, 22511 Highway 84
Labor Personnel: 20.  POD Equipment Needed:  forklift operator.  
Security Personnel. 4.  Operational Hours: 12
Jackson
National Guard Armory, 2405 Coffeeville Road
Labor Personnel:  20.  POD Equipment Needed:  1X Pallet Jack.  
Security Personnel. 2.  Operational Hours: 12
Thomasville
National Guard Armory, 31822 Highway 43
Labor Personnel: 20.  POD Equipment Needed:  None.  
Security Personnel. 4.  Operational Hours: 12
</t>
  </si>
  <si>
    <t>Conecuh County request ALNG to man and operate the following POD sites beginning at 0800 7 May 10.  Duration 8 days, POC is County ESF 7 Mrs. Collins.
Evergreen
Evergreen Airport Middleton Fld, Highway 84 W.
Labor Personnel: 20.  POD Equipment Needed:  None.  
Security Personnel. 0.  Operational Hours: 12</t>
  </si>
  <si>
    <t>Provide information as to what armories are under construction.  Specifically in areas of the projected landfall, or planned staging areas.</t>
  </si>
  <si>
    <t>"X" armory is being renovated, and is not suitable for occupation before, during, or after land fall.  BPT coordinate with local/regional contractors for services at alternate locations.</t>
  </si>
  <si>
    <t xml:space="preserve">Determine survivability and sustainability of select armories.  As directed by state/federal authorities.  </t>
  </si>
  <si>
    <t>BPT send engineer assessment teams out to support JTF and or local authorities.</t>
  </si>
  <si>
    <t xml:space="preserve">Provide storm surge models for anticipated areas of landfall.  </t>
  </si>
  <si>
    <t>SA</t>
  </si>
  <si>
    <t>McLeod</t>
  </si>
  <si>
    <t>CFMO</t>
  </si>
  <si>
    <t>J-4</t>
  </si>
  <si>
    <t xml:space="preserve">Vehicle is Non-Mission Capable (NMC), and is needed to transport supplies </t>
  </si>
  <si>
    <t>Insure that each Field Maintenance Shop (FMS) SSL/BSL Stock is check for stock on hand</t>
  </si>
  <si>
    <t>Cannon</t>
  </si>
  <si>
    <t xml:space="preserve">Loss of electrical power in the USPFO, emergency backup generator has maintenance problems, which makes it inoperable.    </t>
  </si>
  <si>
    <t>Email/EMITS</t>
  </si>
  <si>
    <t>JOC J-4</t>
  </si>
  <si>
    <t>Ability to coordinate in-state availability as well neighboring states.</t>
  </si>
  <si>
    <t xml:space="preserve">Mobile County request ALNG to man and operate the following LSA and POD sites beginning at 0800 7 May 10.  Duration 8 days, POC is County ESF 7 Mr. Manners.
County Logistics Staging Area
Mobile Bay Bears Stadium  6 QM  2 Security  1 Forklift Operator
County Distribution Sites
Bay Bears Stadium   12 QM  2 Security  1 Forklift Operator
Saraland K-Mart   12 QM  0 Security  1 Forklift Operator
Alma Bryant School (Bayou La Batre) 24 QM  4 Security  2 Forklift Operators
Prichard Stadium   12 QM  2 Security  1 Forklift Operator
Mount Vernon Park   12 QM  2 Security  1 Forklift Operator
Citronelle Industrial Park  12 QM  2 Security  1 Forklift Operator
Mobile Greyhound Park   12 QM  2 Security  2 Forklift Operators
Dauphin Island City Hall   6 QM  2 Security  0 Forklift Operator
Langon Park    12 QM  2 Security  1 Forklift Operator
Ladd-Peeples Memorial  Stadium 12 QM  2 Security  1 Forklift Operator
Equipment Requirements:
4-6K Forklifts 
14 + Forklifts for maintenance float 
Vehicles to transport soldiers to work areas
5 ton Cargo Trucks – 3 ea. To handle in and around delivery missions out of Staging Area
Fuel Trucks – 2 ea. To fuel military and civilian trucks at Staging Area
Command and Control
Per Task Force Plan  
</t>
  </si>
  <si>
    <t xml:space="preserve">Monroe County request ALNG to man and operate the following POD sites beginning at 0800 7 May 10.  Duration 8 days, POC is County ESF 7 Mr. Manucy.
Beatrice
Beatrice POD/VFD Station, 34 Robbins Street
Labor Personnel: 20.  POD Equipment Needed:  None.  
Security Personnel. 4.  Operational Hours: 12
Excel
Excel High School, 3010 Hwy 136 W
Labor Personnel: 20.  POD Equipment Needed:  2X Tents.  
Security Personnel. 2-4.  Operational Hours: 10
Frisco City
Frisco City, 200 School Street
Labor Personnel: 20.  POD Equipment Needed:  None.  
Security Personnel. 0.  Operational Hours: 8-10
Monroeville
Primary CSA and Resource Warehouse, 188 Sheffield Drive
Labor Personnel: 12.  POD Equipment Needed:  None.  
Security Personnel. 0.  Operational Hours: 12
</t>
  </si>
  <si>
    <t>Receive media inquires about support of the National Guard</t>
  </si>
  <si>
    <t>Coordinate pay submission and pay dates for soldiers in SAD status (Wireless/LAN).</t>
  </si>
  <si>
    <t>Request Increase in Single Purchase Limit for TF GPC Cardholders from NGB-PARC.</t>
  </si>
  <si>
    <t xml:space="preserve">The Dauphin Island EOC has transferred Dauphin Island 911 switching over to Mobile Co. EOC and staff are evacuating.  </t>
  </si>
  <si>
    <t>Identify the GPC Cardholders within each TF and request IMPAC/GPC Convenience Checks.</t>
  </si>
  <si>
    <t xml:space="preserve">Washington County request ALNG to man and operate the following POD sites beginning at 0800 7 May 10.  Duration 6-10 days, POC is County ESF 7 Mr. Williams.
Chatom
National Guard Armory, 1020 St. Stephens Avenue
Labor Personnel: 20.  POD Equipment Needed:  None.  Security Personnel. None.  
Operational Hours: 12
Fruitdale
Fruitdale High School, Raycoker Road
Labor Personnel: 10-12.  POD Equipment Needed:  1X tent.  Security Personnel. 2.  
Operational Hours: 8-10
Leroy
Leroy High School, 26301 Highway 43
Labor Personnel: 20.  POD Equipment Needed:  1X forklift and operator.  
Security Personnel. None.  Operational Hours: 10
McIntosh 
McIntosh Elementary School, Highway 43
Labor Personnel: 20.  POD Equipment Needed:  None.  Security Personnel. None.  
Operational Hours: 8-10
Millry
Millry Baptist Church, 800 5th Avenue
Labor Personnel: 15.  POD Equipment Needed:  forklift operator.  
Security Personnel. None.  Operational Hours: 8
</t>
  </si>
  <si>
    <t>SSG Ronald, I just arrived at my Armory in Brewton after receiving a phone call from the Baldwin County Sheriff's Office and a tree has fallen over on our south wall. There is a gaping hole now in our armory about 4'X6' wide and it is leaving the armory u</t>
  </si>
  <si>
    <t>KEANE</t>
  </si>
  <si>
    <t>HICKS</t>
  </si>
  <si>
    <t>TOMBERLIN</t>
  </si>
  <si>
    <t>HOWARD</t>
  </si>
  <si>
    <t>ALAN PETTY</t>
  </si>
  <si>
    <t>KAHL</t>
  </si>
  <si>
    <t>DENNIS</t>
  </si>
  <si>
    <t>BENTON</t>
  </si>
  <si>
    <t>JENNE</t>
  </si>
  <si>
    <t>117TH OPS</t>
  </si>
  <si>
    <t>POLLARD</t>
  </si>
  <si>
    <t>BFRS</t>
  </si>
  <si>
    <t>DONAHUE</t>
  </si>
  <si>
    <t>REAGAN</t>
  </si>
  <si>
    <t>MCLEOD</t>
  </si>
  <si>
    <t>GATE GUARD</t>
  </si>
  <si>
    <t xml:space="preserve">GOVERNOR'S OFFICE </t>
  </si>
  <si>
    <t>MCDONALD</t>
  </si>
  <si>
    <t>WHEELER</t>
  </si>
  <si>
    <t>HOSPITAL</t>
  </si>
  <si>
    <t>JOHNSON</t>
  </si>
  <si>
    <t>PERRY MCDONALD</t>
  </si>
  <si>
    <t>NAPIER</t>
  </si>
  <si>
    <t>MCDONALD/TOMBERLIN</t>
  </si>
  <si>
    <t xml:space="preserve">Due to the impending threat of Hurricane Al the Governor's of Texas, LA, MS has ordered a state of emergency for all of the respective Coastal areas.  Officials ordered a mandatory evacuation of visitors and special needs clients beginning at 9 a.m. Tuesday, 4 May. 
A phased evacuation of all residents begins Tuesday, May 4, 2010 at 8 a.m. 
</t>
  </si>
  <si>
    <t>The Department of Defense has ordered an evacuation of personnel, aircraft and ships from the Gulf of Mexico.  Some DoD aircraft will be made available to state and federal agencies until 24 hours from estimated landfall.</t>
  </si>
  <si>
    <t>Army National Guard CAT requests Alabama review resources available IOT support FL with 1X Med Trk Co and 1X DS/GS Maint Co.</t>
  </si>
  <si>
    <t>Army National Guard CAT requests Alabama review resources available IOT support TX with 1x Light/Medium Truck Company and 1x POL Co.</t>
  </si>
  <si>
    <t>Army National Guard CAT requests Alabama review resources available IOT support Tx and LA with unfilled EMAC Requests.</t>
  </si>
  <si>
    <t>Press Release:  AL Governor issues emergency proclamation for Hurricane Al, and requests federal assistance ahead of possible landfall in AL</t>
  </si>
  <si>
    <t>Receive notification from Governor's press office about proclamation</t>
  </si>
  <si>
    <t>NGB-PAO starts conference calls for updates</t>
  </si>
  <si>
    <t>AEMA Director issues a press release about the evacuation progress along I-65…."traffic is heavily congested, and moving along slowly".</t>
  </si>
  <si>
    <t>Hi this MAJ Fitzgerald again with the Evergreen PD and I just wanted to advise you that I had to get 10-15 (arrest) with your Soldier. I have a unit in route to headquarters with your Soldier. When I arrived at the scene I took his statement and a stateme</t>
  </si>
  <si>
    <t>Reporter from the Montgomery Advertiser who also states he is a freelance writer for the associated press wants  to speak with Army Public Affairs in reference to Soldiers arrest in Evergreen. He stated he has already spoken with the Evergreen Police Depa</t>
  </si>
  <si>
    <t xml:space="preserve">
...HURRICANE AL APPROACHES THE GULF COAST...
SUMMARY OF 1100 PM EDT...0300 UTC...INFORMATION
-----------------------------------------------
LOCATION...29.2N 88.6W
ABOUT 102 MILES...164 KM...EAST-SOUTHEAST OF NEW ORLEANS LOUISIANA 
ABOUT 108 MILES...17</t>
  </si>
  <si>
    <t xml:space="preserve">At approximately 0300, Alabama Power shut down the Joseph M. Farley Nuclear Power Plant in Dothan as a precaution.  It is expected to be back on-line 4 hours after Hurricane Al passes through the area.  The Electric grid is suffering brown out conditions </t>
  </si>
  <si>
    <t xml:space="preserve">
...HURRICANE AL LANDFALL IMMINENT BETWEEN BILOXI AND MOBILE...
SUMMARY OF 500 AM EDT...0900 UTC...INFORMATION
-----------------------------------------------
LOCATION...30.1N 88.4W
ABOUT 46 MILES...73 KM...SOUTH-SOUTHWEST OF MOBILE ALABAMA
ABOUT 100 MI</t>
  </si>
  <si>
    <t xml:space="preserve">A phone call from the wastewater treatment plant (WWTP) superintendent to the public works manager is made. The backup generator has just failed at the WWTP, and upon inspection, a new main rotor is required. He will put a call in to the supplier. In the </t>
  </si>
  <si>
    <t>After Hurricane Al made landfall near the Gulf Coast area of Mobile. The local area Emergency Manager (EM) reported a damaged bridge on Hwy 193 north of Dauphin Island. Without a temporary bridge, Dauphin Island has no means to rescue civilian and transpo</t>
  </si>
  <si>
    <t xml:space="preserve">Route request procedures by unit thru J-4  -Select another route due to debris, heavy traffic and an accident 
- Part II: Depending on the selected route an accident will occur producing heavy traffic, causing a route detour. If I-65 is the primary route </t>
  </si>
  <si>
    <t xml:space="preserve">Det 1, 1343rd in-conjunction with 1343rd (Chem Co) are tasked to support military operations in the Mobile/Gulf Shores area. Det 1 (4 military vehicles), must link-up with 1343rd Chem Co (6 military vehicles) and convoy to Fort Whiting, Mobile to conduct </t>
  </si>
  <si>
    <t>Evergreen Police Department reports that a citizen has walked into their office stating that a Soldier assaulted them in their vehicle at County Hwy 20 and I-65. Police Department states that it also appears the Soldier kicked in the right fender and ligh</t>
  </si>
  <si>
    <t>Hi I'm MAJ Fitzgerald the Assistant Police Chief with the Evergreen Police Department. I just had a citizen arrive at our headquarters wishing to file a complaint on an Army Soldier. He stated he was attempting to take I-85 South heading towards Mobile to</t>
  </si>
  <si>
    <t>Sergeant L. Green reports to higher (1-117 FA BN) that while conducting his contra flow mission on I-65 at Evergreen a vehicle refused to stop and almost struck him. He stated at which time he kicked the front end of their vehicle to get their attention .</t>
  </si>
  <si>
    <t xml:space="preserve">MAJ Berry (XO 1/117) to JTF-South - I just had one of my Soldiers contact me and he stated that he was at his assigned post conducting Contra flow Operations and vehicle refused to stop almost hitting him. He told me he kicked the front of the car to get </t>
  </si>
  <si>
    <t>Assistant Police Chief Fitzgerald reports that Soldier questioned at scene has no signs of physical injury and has given a conflicting report. Fitzgerald states that SPC Judas Turncoat who was with SGT Green confirms the citizens statement. Fitzgerald sta</t>
  </si>
  <si>
    <t>Escambia County request ALNG to man and operate the following POD sites beginning at 0800 7 May 10.  Duration 8 days, POC is County ESF 7 Mrs. Evans.
Brewton
Old North Brewton Elem School Bldg, 41960 Highway 31 North
Labor Personnel: 40.  POD Equipment N</t>
  </si>
  <si>
    <t>Washington County request ALNG to man and operate the following POD sites beginning at 0800 7 May 10.  Duration 6-10 days, POC is County ESF 7 Mr. Williams.
Chatom
National Guard Armory, 1020 St. Stephens Avenue
Labor Personnel: 20.  POD Equipment Needed</t>
  </si>
  <si>
    <t>Mobile County request ALNG to man and operate the following LSA and POD sites beginning at 0800 7 May 10.  Duration 8 days, POC is County ESF 7 Mr. Manners.
County Logistics Staging Area
Mobile Bay Bears Stadium  6 QM  2 Security  1 Forklift Operator
Co</t>
  </si>
  <si>
    <t xml:space="preserve">Monroe County request ALNG to man and operate the following POD sites beginning at 0800 7 May 10.  Duration 8 days, POC is County ESF 7 Mr. Manucy.
Beatrice
Beatrice POD/VFD Station, 34 Robbins Street
Labor Personnel: 20.  POD Equipment Needed:  None.  
</t>
  </si>
  <si>
    <t>Clarke County request ALNG to man and operate the following POD sites beginning at 0800 7 May 10.  Duration 6-10 days, POC is County ESF 7 Mr. Carter.
Grove Hill
National Guard Armory, 22511 Highway 84
Labor Personnel: 20.  POD Equipment Needed:  forklif</t>
  </si>
  <si>
    <t>Conecuh County request ALNG to man and operate the following POD sites beginning at 0800 7 May 10.  Duration 8 days, POC is County ESF 7 Mrs. Collins.
Evergreen
Evergreen Airport Middleton Fld, Highway 84 W.
Labor Personnel: 20.  POD Equipment Needed:  N</t>
  </si>
  <si>
    <t xml:space="preserve">
...HURRICANE AL NEAR LANDFALL...NORTHERLY COURSE PUSHING SLIGHTLY EASTWARD...
SUMMARY OF 500 PM EDT...2100 UTC...INFORMATION
-----------------------------------------------
LOCATION...28.2N 88.8W
ABOUT 141 MILES...228 KM...EAST-SOUTHEAST OF NEW ORLEANS</t>
  </si>
  <si>
    <t>Because of impending hurricane landfall and associated emergency response activities, the Governor has decided that populations evacuated from Grove Hill and surrounding communities will be managed with hurricane evacuees, and will not be allowed to retur</t>
  </si>
  <si>
    <t xml:space="preserve">
... HURRICANE AL ...NOW A CATEGORY THREE...SHIFTS NORTHWARD...
SUMMARY OF 2300 PM EDT...0300 UTC...INFORMATION
-----------------------------------------------
LOCATION...24.7N 88.3W
ABOUT 261 MILES...421 KM...NORTH-NORTHWEST OF CANCUN MEXICO
ABOUT 392 </t>
  </si>
  <si>
    <t xml:space="preserve">
...HURRICANE AL MOVING TOWARD THE NEW ORLEANS...
SUMMARY OF 500 AM EDT...0900 UTC...INFORMATION
-----------------------------------------------
LOCATION...25.8N 88.8W
ABOUT 338 MILES...544 KM...SOUTH OF MOBILE ALABAMA
ABOUT 445 MILES...717 KM...WEST-NO</t>
  </si>
  <si>
    <t xml:space="preserve">Request is for company-sized element (100 -150 personnel) to establish VCPs, roadblocks and blocking positions on external perimeter to prevent external forces from entering prison compound and providing assistance to prisoners.  Force must be configured </t>
  </si>
  <si>
    <t xml:space="preserve">
... HURRICANE AL SLOWS AND SHIFTS COURSE SLIGHTLY EASTWARD...
SUMMARY OF 1100 AM EDT...1500 UTC...INFORMATION
-----------------------------------------------
LOCATION...27.2N 89.0W
ABOUT 198 MILES...319 KM...SOUTH-SOUTHEAST OF NEW ORLEANS LOUISIANA
ABO</t>
  </si>
  <si>
    <t>Convoy traveling south bound on Hwy 13 from Jackson, Alabama to Orange Beach, Alabama. A Hemmit transporting diesel front left tire, blow out, causing it to slam into a guide rail near Saraland, Alabama. The incident caused an object to puncture a hole in</t>
  </si>
  <si>
    <t>Baldwin County request ALNG to man and operate the following POD sites beginning at 0800 7 May 10.  Duration 7 days, POC is County ESF 7 Mr. Bouie.
Bay Minette
First Baptist Church of Bay Minette, 1201 Hand Avenue
Labor Personnel: 10-12.  POD Equipment N</t>
  </si>
  <si>
    <t>EMITS message requests capability assessment of potential Guard capabilities to assist with train derailment north of Grove Hill. Request is to determine availability of CH-47 or UH-60 "Bambi Bucket" capability to help extinguish fires on railcars because</t>
  </si>
  <si>
    <t xml:space="preserve">Two vehicles convoy of generator mechanics traveling from Brundidge to Mobile to repair a 100kw generator. The convoy movement is being tracked by MTS. After reaching Greenville, AL from that point on, the convoy isn't visible on MTS and the JOC receives </t>
  </si>
  <si>
    <t>2LT------------, I just heard the Monroeville Mayor make a public statement on FM 89.6 that our (Det 1, 778th Mn Co) Armory will be open for the duration of the storm. He also stated that this will be the primary distribution point for water and food. Jus</t>
  </si>
  <si>
    <t>At the request of Governor Riley, the Alabama Adjutant General has directed the Joint Force Headquarters make preparations to fully activate and deploy a Joint Task Force in support of emergency response in the region of the Hurricane Alex impact area. Th</t>
  </si>
  <si>
    <t>At the request of the FL and AL governors, the President has approved a Major Disaster Declaration for all counties affected by Hurricane Alex in Florida and Alabama.  Both the National Response Framework (NRF) and the Stafford Act have been activated.  R</t>
  </si>
  <si>
    <t>The duty status of this mission should come into question, and the JAG probably brought into the discussion. This mission is received as an SAD mission, and will likely remain as such. While the train derailment occurred in the same timeframe (roughly) as</t>
  </si>
  <si>
    <t>EMITS message requests thirty personnel to establish VCPs to prevent civilians from entering evacuated areas in the vicinity of Grove Hill. Mission is SAD, anticipated duration is four days. Element is required to be self-sustaining for duration of missio</t>
  </si>
  <si>
    <t>The entire purpose of ths thread is to determine if the information (which will be received from multiple sources at different levels) is passed up-line to JFHQ JOC, and then subsequently assessed by various J-Staff elements. The location of the train der</t>
  </si>
  <si>
    <t>FTUS NCO from Det 1, Co A, 711 BSB is standing by at Grove Hill armory to support hurricane response operations. He reports that a north-bound Norfolk Southern train experienced a serious derailment between Grove Hill and Thomasville (to the north). Clark</t>
  </si>
  <si>
    <t xml:space="preserve">SEOC LNO calls JOC Chief with a "heads up" that a Norfolk Southern train has derailed approximately ten miles north of Grove Hill (Clarke County). The train was being "pushed" north to get it out of the hurricane impact area. Derailment involves multiple </t>
  </si>
  <si>
    <t xml:space="preserve">
... HURRICANE AL PASSES NORTH OF CANCUN...ENTERS THE GULF OF MEXICO...
SUMMARY OF 1100 AM EDT...1500 UTC...INFORMATION
-----------------------------------------------
LOCATION...22.0N 86.8W
ABOUT 58 MILES...94 KM...NORTH OF CANCUN MEXICO
ABOUT 120 MILE</t>
  </si>
  <si>
    <t>EMITS message requests capability assessment of potential Guard capabilities to assist with train derailment north of Grove Hill. Area, including US 43, is being evacuated. EMA wants to know viability of CST providing hazardous materials assistance. Addit</t>
  </si>
  <si>
    <t xml:space="preserve">SEOC LNO calls to report that DPS has just given a briefing on Grove Hill train derailment. DPS stated that the derailment involved a train consisting of four diesel-electric locomotives and roughly two hundred railcars of varying types. They stated that </t>
  </si>
  <si>
    <t>JOC planners may determine that a more appropriate targeting/attack method would be linear slurry drops with fixed wing aircraft (like C-130s) rather than spot attacks with helicopters. JOC may determine if slurry-equipped aircraft are available for EMACS</t>
  </si>
  <si>
    <t xml:space="preserve">
... HURRICANE AL MOVING NORTHWESTWARD...APPROACHING THE YUCATAN PENINSULA
TOMORROW...
SUMMARY OF 1700 AM EDT...2100 UTC...INFORMATION
-----------------------------------------------
LOCATION...19.0N 84.1W
ABOUT 179 MILES...288 KM...SOUTHWEST OF GEORGE </t>
  </si>
  <si>
    <t xml:space="preserve">Gulf Shores Police Department reports confrontation with twelve members of out-of-state outlaw motorcycle club(Road Vermin M/C) who were drunk and disorderly at a local bar.  Gulf Shores Police indicate that incident was handled with no need for arrests. </t>
  </si>
  <si>
    <t>SEOC LNO describes developing situation at Holman Prison in which inmates apparently intend to riot and take over the prison during the hurricane, followed by a mass escape assisted by external forces.  LNO states that DOC and State Troopers are confident</t>
  </si>
  <si>
    <t xml:space="preserve">
... HURRICANE AL THREATENS CANCUN...
SUMMARY OF 2300 AM EDT...0300 UTC...INFORMATION
-----------------------------------------------
LOCATION...19.9N 85.1W
ABOUT 141 MILES...228 KM...SOUTHWEST OF CANCUN MEXICO
ABOUT 245 MILES...395 KM...WEST-SOUTHWEST </t>
  </si>
  <si>
    <t>Mobile Police Department reports incident where three armored cars were stolen from a Brinks Company parking lot in Mobile.  Report states that parking lot guard and vehicle dispatcher were overpowered by five armed men at approximately 0200.  Three armor</t>
  </si>
  <si>
    <t xml:space="preserve">
... HURRICANE AL EYE JUST OFF THE TIP OF THE YUCATAN...
SUMMARY OF 0500 AM EDT...0900 UTC...INFORMATION
-----------------------------------------------
LOCATION...21.2N 86.2W
ABOUT 41 MILES...66 KM...EAST OF CANCUN MEXICO
ABOUT 67 MILES...109 KM...NORT</t>
  </si>
  <si>
    <t>SEOC requests that Guard conduct a contingency study to determine if they can provide security assistance to Holman Prison at same time hurricane response operations are underway.  Potential security assistance requirement is for approximately a company-s</t>
  </si>
  <si>
    <t xml:space="preserve">
... HURRICANE AL TRACKS TOWARD THE YUCATAN...
SUMMARY OF 1100 AM EDT...0900 UTC...INFORMATION
-----------------------------------------------
LOCATION...16.3N 79.0W
ABOUT 257 MILES... 321 KM...SOUTH SOUTHEAST OF GEORGE TOWN CAYMAN ISLANDS 
ABOUT 137 MIL</t>
  </si>
  <si>
    <t xml:space="preserve">
... HURRICANE AL TRACKS TOWARD THE YUCATAN...AS A CATEGORY TWO HURRICANE...
SUMMARY OF 0500 AM EDT...0900 UTC...INFORMATION
-----------------------------------------------
LOCATION...16.7N 80.0W
ABOUT 199 MILES... 321 KM...SOUTH SOUTHEAST OF GEORGE TOWN</t>
  </si>
  <si>
    <t xml:space="preserve">
... HURRICANE AL GAINS MOMENTUM AS A CATEGORY TWO HURRICANE...
SUMMARY OF 2300 PM EDT...0300 UTC...INFORMATION
-----------------------------------------------
LOCATION...17.1N 80.9W
ABOUT 184 MILES...296 KM...WEST-SOUTHWEST NEGRIL JAMAICA 
ABOUT 154 MIL</t>
  </si>
  <si>
    <t xml:space="preserve">
... HURRICANE AL CONTINUES ON A TRACK TOWARD COZUMEL...
SUMMARY OF 0500 AM EDT...0900 UTC...INFORMATION
-----------------------------------------------
LOCATION...17.7N 82.1W
ABOUT 250 MILES...401 KM...WEST-SOUTHWEST NEGRIL JAMAICA 
ABOUT 154 MILES...24</t>
  </si>
  <si>
    <t>Company commander has a soldier who is a prison guard at Holman Prison.  Soldier states that he has been directed to remain at prison and not to report to Guard.  Indicates rumors of potential inmate takeover and mass escape during hurricane.  Soldier/gua</t>
  </si>
  <si>
    <t>AEMA Director contacts AL TAG/J3 to discuss hurricane response planning/operations.  AEMA Director states that they are making preliminary plans for possible Alex response operations. Suggests issuing warning orders to MACOMs for potential in-state respon</t>
  </si>
  <si>
    <t xml:space="preserve">
... HURRICANE AL MOVING NORTHWESTWARD...APPROACHING THE YUCATAN PENINSULA
TOMORROW...
SUMMARY OF 1100 AM EDT...1500 UTC...INFORMATION
-----------------------------------------------
LOCATION...18.3N 83.1W
ABOUT 129 MILES...208 KM...SOUTHWEST OF GEORGE </t>
  </si>
  <si>
    <t xml:space="preserve">At approximately 0300, Alabama Power shut down the Joseph M. Farley Nuclear Power Plant in Dothan as a precaution.  It is expected to be back on-line 4 hours after Hurricane Al passes through the area.  The Electric grid is suffering brown out conditions to further complicate power distribution. </t>
  </si>
  <si>
    <t xml:space="preserve">After Hurricane Al made landfall near the Gulf Coast area of Mobile. The local area Emergency Manager (EM) reported a damaged bridge on Hwy 193 north of Dauphin Island. Without a temporary bridge, Dauphin Island has no means to rescue civilian and transport supplies to local personnel. This bridge is the main transportation route to the island. Engineer assist is needed for emplacing a temporary bridge and road able to support at a minimum 5 tons truck. The temporary bridge must be at least 150 feet in length. </t>
  </si>
  <si>
    <t>EOC Request for Security forces</t>
  </si>
  <si>
    <t xml:space="preserve">
...FIRST TROPICAL STORM OF THE SEASON...AL NEARS THE COAST OF NICARAGUA...
SUMMARY OF 1100 AM EDT...1500 UTC...INFORMATION
-----------------------------------------------
LOCATION...14.9N 74.9W
ABOUT 220 MILES...354 KM...SOUTH SOUTHEAST OF KINGSTON JAMA</t>
  </si>
  <si>
    <t xml:space="preserve">
...TROPICAL STORM AL STRENGTHENS AS IT NEARS THE COAST OF NICARAGUA...
SUMMARY OF 1700 AM EDT...2100 UTC...INFORMATION
-----------------------------------------------
LOCATION...15.30 N 76.20 W
ABOUT 188 MILES...303 KM...167 DEGREES...SOUTH-SOUTHEAST OF</t>
  </si>
  <si>
    <t xml:space="preserve">
...AL BECOMES A HURRICANE AS IT NEARS THE NORTH COAST OF NICARAGUA...
SUMMARY OF 1100 PM EDT...0300 UTC...INFORMATION
-----------------------------------------------
LOCATION...15.50 N 77.10 W
ABOUT 172 MILES...277 KM...SOUTH SOUTHEAST OF KINGSTON JAMAI</t>
  </si>
  <si>
    <t xml:space="preserve">
...AL REMAINS A CAT 1 HURRICANE MOVING EAST TO WEST...SOUTH OF JAMAICA...GAINING STRENGTH...
SUMMARY OF 0500 AM EDT...0900 UTC...INFORMATION
-----------------------------------------------
LOCATION...15.90 N 78.10 W
ABOUT 159 MILES... 255 KM... SOUTH NE</t>
  </si>
  <si>
    <t>Mobile Police Department reports incident where three armored cars were stolen from a Brinks Company parking lot in Mobile.  Report states that parking lot guard and vehicle dispatcher were overpowered by five armed men at approximately 0200.  Three armored cars (no money or valuables) were taken.  Vehicles were equipped with tracking devices, but the tracking devices were disabled shortly after the incident.</t>
  </si>
  <si>
    <t>DOT through AEMA requests resources resources (vehicles and manpower) to staff twenty traffic control points to assist in implementing the I-65 Lane Reversal Contingency Plan.</t>
  </si>
  <si>
    <t>SEOC requests that Guard conduct a contingency study to determine if they can provide security assistance to Holman Prison at same time hurricane response operations are underway.  Potential security assistance requirement is for approximately a company-sized element (preferably MPs or infantry) to establish VCPs, roadblocks and blocking positions on external perimeter to prevent external forces from entering prison compound and providing assistance to prisoners.  All Guard operations are anticipated to be external to prison; DOC and State Troopers will manage in-prison and internal security perimeter. Governor states that because of political sensitivity of situation, he wants a detailed briefback on ground tactical plan (via VTC or other means, if necessary) to Directors of DOC and DPS.</t>
  </si>
  <si>
    <t>Sgt ……. Vehicle rolled over on interstate in route to armory.  He was wearing a seat belt but rolled into ditch and drowned</t>
  </si>
  <si>
    <t xml:space="preserve">AEMA recommends voluntary evacuation of Baldwin and Mobile counties. </t>
  </si>
  <si>
    <t>AEMA recommends voluntary evacuation of Baldwin and Mobile counties. Voluntary evacuations recommended for citizens living in mobile homes for the following counties:  Washington, Clarke, Monroe, Conecuh, Escambia, Covington, Geneva, and Houston.</t>
  </si>
  <si>
    <t>AEMA requests dispatch of NG LNOs to County EOCs  by 1200 5 May 2010.</t>
  </si>
  <si>
    <t xml:space="preserve">Alabama Power has shut down the Joseph M. Farley Nuclear Power Plant </t>
  </si>
  <si>
    <t>Looting of chaplain supplies reported</t>
  </si>
  <si>
    <t>Door to Door SAR Requesr</t>
  </si>
  <si>
    <t>Request for Light Sets for night operations</t>
  </si>
  <si>
    <t>Request for MREs</t>
  </si>
  <si>
    <t>NGB Requests Battle Rhythym</t>
  </si>
  <si>
    <t>Request for NLWS for security mission</t>
  </si>
  <si>
    <t>Request for route clearance</t>
  </si>
  <si>
    <t>Sandbag Request</t>
  </si>
  <si>
    <t>NG Weapon (M16) taken from soldier</t>
  </si>
  <si>
    <t>News agency reports flooding</t>
  </si>
  <si>
    <t>Problems reported at Waste Water Treatment Plant</t>
  </si>
  <si>
    <t>Internal NG request for low density component</t>
  </si>
  <si>
    <t>NG Soldier requires dental treatment</t>
  </si>
  <si>
    <t>RFI concerning NG capabilities to temporarily replace damaged bridge</t>
  </si>
  <si>
    <t>Armory damage reported.</t>
  </si>
  <si>
    <t>Hospital reports that it is completely filled</t>
  </si>
  <si>
    <t>Loss of electrical power in the USPFO</t>
  </si>
  <si>
    <t>Water SAR Request - Baldwin County</t>
  </si>
  <si>
    <t>Aviation Request</t>
  </si>
  <si>
    <t>Evacuation Assistance Request</t>
  </si>
  <si>
    <t>LSA Support - Commodity Transportation</t>
  </si>
  <si>
    <t>AEMA Request for additional Guard personnel</t>
  </si>
  <si>
    <t>Report of problems at WWTP</t>
  </si>
  <si>
    <t>EMA Request for Aviation Support</t>
  </si>
  <si>
    <t>Request for chainsaws to clearance debris for route clearance</t>
  </si>
  <si>
    <t>INFO - Evacuation</t>
  </si>
  <si>
    <t>RFI - Evacuation</t>
  </si>
  <si>
    <t>The State Emergency Response Team (SERT) is recalled to the State Emergency Operations Center (SEOC (AL)) and activated at Level 1 effective 0900 3 May 2010.</t>
  </si>
  <si>
    <t>I just heard that the Governor is probably going to order contra flow on I 65 sometimes tomorrow morning.  I will let you know more as I hear it.</t>
  </si>
  <si>
    <t>FEMA Region JFO ERT-A will deploy to AEMA on 4 May about 1200, FEMA Region 9 DCO will serve as JFO-AL DCO</t>
  </si>
  <si>
    <t>Deploy SERT (AL) LNOs to Mobile and Baldwin counties NLT 4 May 1800.</t>
  </si>
  <si>
    <t>Deploy SERT (AL)LNOs to Mobile and Baldwin counties NLT 4 May 1800.</t>
  </si>
  <si>
    <t>Governor oders I 65  contra flow operations conducted beginning 0800 4 May 2010</t>
  </si>
  <si>
    <t>Need SINCGARS batteries for manpack radios.</t>
  </si>
  <si>
    <t xml:space="preserve">Soldier's father calls the American Red Cross Shelters trying to contact his son who is deployed to Mobile area.  </t>
  </si>
  <si>
    <t>AEMA issues sandbagging mission</t>
  </si>
  <si>
    <t>MISSION - Holman Prison</t>
  </si>
  <si>
    <t>Question concerning Cell Phone</t>
  </si>
  <si>
    <t>Question concerning Chaplain chain of command</t>
  </si>
  <si>
    <t>Mobile County transportation request</t>
  </si>
  <si>
    <t>Marshall Co EOC requests opening of Arab and Albertville armories</t>
  </si>
  <si>
    <t xml:space="preserve">Mobile County Sheriff requests NG assistance for site security and traffic control. </t>
  </si>
  <si>
    <t>CCIR concerning troops deployed in Iraq</t>
  </si>
  <si>
    <t>Generator Request</t>
  </si>
  <si>
    <t>RFI concerning storage location</t>
  </si>
  <si>
    <t>Fuel spill from NG vehicle</t>
  </si>
  <si>
    <t>FUEL SPILL</t>
  </si>
  <si>
    <t>Governor RFI concerning NG real-time imaging capabilities</t>
  </si>
  <si>
    <t xml:space="preserve">Baldwin County Sheriff requests NG assistance for site security and traffic control. </t>
  </si>
  <si>
    <t>Mission to support Baldwin County PODs</t>
  </si>
  <si>
    <t>Mission to support Escambia County PODs</t>
  </si>
  <si>
    <t>Mission to support Washington County PODs</t>
  </si>
  <si>
    <t>Mission to support Mobile County PODs</t>
  </si>
  <si>
    <t>Mission to support Monroe County PODs</t>
  </si>
  <si>
    <t>Mission to support Clarke County PODs</t>
  </si>
  <si>
    <t>Mission to support Conecuh County PODs</t>
  </si>
  <si>
    <t>Det 1, 1343rd in-conjunction with 1343rd (Chem Co) are tasked to support military operations in the Mobile/Gulf Shores area. Det 1 (4 military vehicles), must link-up with 1343rd Chem Co (6 military vehicles) and convoy to Fort Whiting, Mobile to conduct military operations. 4 vehicles convoy from Det 1 1343rd (Chem CO), Fort Payne and 6 vehicles from 1343rd (Chem CO) Centre, convoy to Mobile to assist in military operations (Security operations).</t>
  </si>
  <si>
    <t>Soldier - Citizen Confrontation</t>
  </si>
  <si>
    <t>Evergreen Police Department reports that a citizen has reported an assault by a NG Soldier.</t>
  </si>
  <si>
    <t xml:space="preserve">Soldier - Citizen Confrontation </t>
  </si>
  <si>
    <t>Sheriff deputy (Guard M-day officer) requests evacuation assistance</t>
  </si>
  <si>
    <t>Reporter from the Montgomery Advertiser wants  to speak with Army Public Affairs in reference to Soldiers arrest in Evergreen.</t>
  </si>
  <si>
    <t>INFO - Train Derailment</t>
  </si>
  <si>
    <t>MISSION - Train Derailment</t>
  </si>
  <si>
    <t>MISSION - POD</t>
  </si>
  <si>
    <t>POD (Point of Distribution) Missions</t>
  </si>
  <si>
    <t>RFI - Holman Prison</t>
  </si>
  <si>
    <t xml:space="preserve">AEMA Director contacts AL TAG/J3 to discuss hurricane response planning/operations.  </t>
  </si>
  <si>
    <t>MISSION - SASO</t>
  </si>
  <si>
    <t>MISSION - SEOC LOG CELL</t>
  </si>
  <si>
    <t>Set NGB Conference call up on DCO</t>
  </si>
  <si>
    <t>Informal message from LNO</t>
  </si>
  <si>
    <t>EMAC</t>
  </si>
  <si>
    <t>BPT establish LSA</t>
  </si>
  <si>
    <t xml:space="preserve">Stage &amp; BPT deploy 2 SAR teams to Mobile and Baldwin County EOC locations. </t>
  </si>
  <si>
    <t>BPT to provide 3000 Soldiers for security operations in South and Central Alabama</t>
  </si>
  <si>
    <t>CONTRA FLOW</t>
  </si>
  <si>
    <t>CHAPLAIN &amp; UMT ACTIIVITIES</t>
  </si>
  <si>
    <t>Stage &amp; BPT deploy 2 SAR teams consisting of 4ea 5tons 16 PAX to Mobile and Baldwin County .</t>
  </si>
  <si>
    <t xml:space="preserve">Gulf Shores Police Department reports confrontation with twelve members of out-of-state outlaw motorcycle club(Road Vermin M/C) who were drunk and disorderly at a local bar.  Gulf Shores Police indicate that incident was handled with no need for arrests.  They also indicate that an unusually large number of outlaw M/C members are present in the Gulf Coast area, particularly prior to a hurricane.  They indicate that the Road Vermin M/C has known alliances with white supremacist organizations. </t>
  </si>
  <si>
    <t>INFO - Holman Prison</t>
  </si>
  <si>
    <t>SEOC LNO describes developing situation at Holman Prison in which inmates apparently intend to riot and take over the prison during the hurricane, followed by a mass escape assisted by external forces.  LNO states that DOC and State Troopers are confident that they can manage the situation inside the prison, to include the perimeter, but are concerned about the potential of external forces attempting to force their way in to breach fences and other security measures.  Are considering asking for "two to three platoons" of MPs or infantry to establish extra security perimeter.</t>
  </si>
  <si>
    <t>AT/FP</t>
  </si>
  <si>
    <t>EVACUATION</t>
  </si>
  <si>
    <t>Citizen reports accident at front gate</t>
  </si>
  <si>
    <t>MTS</t>
  </si>
  <si>
    <t xml:space="preserve">MVA on I-65/I-85 interchange involving 3 vehicles (2 military LMTVs and 1 civilian tractor trailer).  </t>
  </si>
  <si>
    <r>
      <t>FEMA requests implementation of</t>
    </r>
    <r>
      <rPr>
        <sz val="10"/>
        <color indexed="10"/>
        <rFont val="Arial"/>
        <family val="2"/>
      </rPr>
      <t xml:space="preserve"> (United States Army Corps of Engineers [USACE])</t>
    </r>
    <r>
      <rPr>
        <sz val="10"/>
        <rFont val="Arial"/>
        <family val="2"/>
      </rPr>
      <t xml:space="preserve"> generator installation contracts.</t>
    </r>
  </si>
  <si>
    <t>DTG</t>
  </si>
  <si>
    <t>IMPLEMENTER</t>
  </si>
  <si>
    <t>AUTHOR</t>
  </si>
  <si>
    <t>EXPECTED ACTIONS</t>
  </si>
  <si>
    <t>MSEL #</t>
  </si>
  <si>
    <t>INJECT MODE: / SEND FROM: / INJECTED BY: / SEND TO:</t>
  </si>
  <si>
    <t>STORYLINE / DESCRIPTION / NOTES &amp; REMARKS / BACKGROUND INFO</t>
  </si>
  <si>
    <t>Background Information (Hurricane Synchronization Matrix)</t>
  </si>
  <si>
    <t>JFHQ activates JTF-South (FTUS) Primary Staff (LNO's)and local units for possible support</t>
  </si>
  <si>
    <t xml:space="preserve">Mississippi Issues EMAC Request for Aviation support, 3x UH60's for SAR </t>
  </si>
  <si>
    <t>31st CHEM BDE - Alert 1165th &amp; 690th O/O Activate</t>
  </si>
  <si>
    <t>31st CHEM BDE - Dispatch LNO to Montgomery</t>
  </si>
  <si>
    <t>31st CHEM BDE - Coordinate w/ JTF-S and establish direct communications with 1165th and 690th</t>
  </si>
  <si>
    <t>31st CHME BDE - Stands up the CMOC</t>
  </si>
  <si>
    <t>31st CHEM BDE - Staff security requirements for Evac Shelters</t>
  </si>
  <si>
    <t>31st CHEM BDE - Activates the 1165th and 690th</t>
  </si>
  <si>
    <t>31st CHEM BDE - Monitors Convoy for 1165th from Fairhope to Fort Whiting</t>
  </si>
  <si>
    <t xml:space="preserve">31st CHEM BDE - During 1165th convoy to Fort Whiting rear axle on a HMMWV busted and broke down on the Bay Bridge </t>
  </si>
  <si>
    <t>Inject</t>
  </si>
  <si>
    <t>31st CHEM BDE - Required security support for EVAC sites (# of sites &amp; # of pax @ each site)</t>
  </si>
  <si>
    <t>31st CHEM BDE - Notify JTF-S for Assistance for broke down HMMWV</t>
  </si>
  <si>
    <t>31st CHEM BDE - Stands up TOC</t>
  </si>
  <si>
    <t>31st CHEM BDE - JTF-AL goes to REDCON2</t>
  </si>
  <si>
    <t>Company commander has a soldier who is a prison guard at Holman Prison.  Soldier states that he has been directed to remain at prison and not to report to Guard.  Indicates rumors of potential inmate takeover and mass escape during hurricane.  Soldier/guard states that inmates are apparently planning a takeover while hurricane is in progress, followed by mass escape.  There are indications that they may receive external support by an affilated gang.  Soldier/guard states that prison officials are discussing requesting security assistance from Guard.</t>
  </si>
  <si>
    <t>MISSION - BPT</t>
  </si>
  <si>
    <t>RFI - Train Derailment</t>
  </si>
  <si>
    <t xml:space="preserve">AEMA receives reports Mobile Co. EOC via SATCOM advising that as best they can determine, Mobile Co. is without power.  This was verified in the City of Mobile EOC.  EMITS terminal function appears to be intermittent.  Initial damage assessments are on-going.  </t>
  </si>
  <si>
    <t>31st CHEM BDE - Notifies select staff</t>
  </si>
  <si>
    <t>Not Injected</t>
  </si>
  <si>
    <t>Napier</t>
  </si>
  <si>
    <t>31st CHEM BDE - Telecon with unit CDRs  and issue verbal WARNO</t>
  </si>
  <si>
    <t>31st CHEM BDE - Test alert roster of key personnel and for the 1165th and 690th</t>
  </si>
  <si>
    <t>31st CHEM BDE - Stands up the CAC and begins tracking storm</t>
  </si>
  <si>
    <t>News media calling concerning KC-135 Crash and radioactive materials</t>
  </si>
  <si>
    <t>Governor asks TAG to conduct press conference concerning KC-135 crash</t>
  </si>
  <si>
    <t>Birmingham Fire and Rescue Service isolating KC-135 crash site until radioactive materials can be identified. Requesting Guard assistance.</t>
  </si>
  <si>
    <t>Birmingham Police bomb robot being used to inspect interior of aircraft. Located container with marking (NSN number)</t>
  </si>
  <si>
    <r>
      <t xml:space="preserve">JTF-S/226 MEB - Receive </t>
    </r>
    <r>
      <rPr>
        <i/>
        <sz val="10"/>
        <color indexed="10"/>
        <rFont val="Arial"/>
        <family val="2"/>
      </rPr>
      <t>OPORD from JFHQ directing mobilization of JTF-S IEF (HQ-1-167 IN,  A/1-167 IN, 1203 EN (-) IEF, HQ 711 BSB,  A/711 BSB, 280th CBCS ICEv3)</t>
    </r>
  </si>
  <si>
    <r>
      <t xml:space="preserve">JTF-S/226 MEB - </t>
    </r>
    <r>
      <rPr>
        <i/>
        <sz val="10"/>
        <color indexed="10"/>
        <rFont val="Arial"/>
        <family val="2"/>
      </rPr>
      <t xml:space="preserve">SAR and COMMS move to staging Areas </t>
    </r>
  </si>
  <si>
    <r>
      <t xml:space="preserve">A local news station reports that there are major flooding and power outages throughout the </t>
    </r>
    <r>
      <rPr>
        <b/>
        <u/>
        <sz val="10"/>
        <rFont val="Arial"/>
        <family val="2"/>
      </rPr>
      <t>(named)</t>
    </r>
    <r>
      <rPr>
        <sz val="10"/>
        <rFont val="Arial"/>
        <family val="2"/>
      </rPr>
      <t xml:space="preserve"> city.  </t>
    </r>
  </si>
  <si>
    <r>
      <t xml:space="preserve">A fax from </t>
    </r>
    <r>
      <rPr>
        <b/>
        <u/>
        <sz val="10"/>
        <rFont val="Arial"/>
        <family val="2"/>
      </rPr>
      <t>(named)</t>
    </r>
    <r>
      <rPr>
        <sz val="10"/>
        <rFont val="Arial"/>
        <family val="2"/>
      </rPr>
      <t xml:space="preserve"> Hospital’s administrator to all hospital administrators in </t>
    </r>
    <r>
      <rPr>
        <b/>
        <u/>
        <sz val="10"/>
        <rFont val="Arial"/>
        <family val="2"/>
      </rPr>
      <t>(named)</t>
    </r>
    <r>
      <rPr>
        <sz val="10"/>
        <rFont val="Arial"/>
        <family val="2"/>
      </rPr>
      <t xml:space="preserve">  City notifies them that the beds are full. </t>
    </r>
    <r>
      <rPr>
        <b/>
        <u/>
        <sz val="10"/>
        <rFont val="Arial"/>
        <family val="2"/>
      </rPr>
      <t>(named)</t>
    </r>
    <r>
      <rPr>
        <sz val="10"/>
        <rFont val="Arial"/>
        <family val="2"/>
      </rPr>
      <t xml:space="preserve"> hospital will need to redirect incoming ambulances to other hospitals, and they require help in coordinating the patient transfers. They are uncertain of road closures.</t>
    </r>
  </si>
  <si>
    <r>
      <t xml:space="preserve">A Deputy Sheriff calls the water superintendent to let them know that he received a radio call from an EMS worker reporting that </t>
    </r>
    <r>
      <rPr>
        <b/>
        <u/>
        <sz val="10"/>
        <rFont val="Arial"/>
        <family val="2"/>
      </rPr>
      <t>(named)</t>
    </r>
    <r>
      <rPr>
        <sz val="10"/>
        <rFont val="Arial"/>
        <family val="2"/>
      </rPr>
      <t xml:space="preserve"> Hospital was losing water pressure fast. He also informs the water treatment plant (WTP) that the same EMS worker also noticed that water was gushing out of a pipe under the </t>
    </r>
    <r>
      <rPr>
        <b/>
        <u/>
        <sz val="10"/>
        <rFont val="Arial"/>
        <family val="2"/>
      </rPr>
      <t>(named)</t>
    </r>
    <r>
      <rPr>
        <sz val="10"/>
        <rFont val="Arial"/>
        <family val="2"/>
      </rPr>
      <t xml:space="preserve"> Street bridge.</t>
    </r>
  </si>
</sst>
</file>

<file path=xl/styles.xml><?xml version="1.0" encoding="utf-8"?>
<styleSheet xmlns="http://schemas.openxmlformats.org/spreadsheetml/2006/main">
  <numFmts count="4">
    <numFmt numFmtId="164" formatCode="[$-409]d\-mmm\-yy;@"/>
    <numFmt numFmtId="165" formatCode="m/d/yy\ h:mm;@"/>
    <numFmt numFmtId="166" formatCode="[$-F400]h:mm:ss\ AM/PM"/>
    <numFmt numFmtId="167" formatCode="[$-409]m/d/yy\ h:mm\ AM/PM;@"/>
  </numFmts>
  <fonts count="26">
    <font>
      <sz val="10"/>
      <name val="Arial"/>
      <family val="2"/>
    </font>
    <font>
      <sz val="8"/>
      <name val="Arial"/>
      <family val="2"/>
    </font>
    <font>
      <sz val="10"/>
      <name val="Arial"/>
      <family val="2"/>
    </font>
    <font>
      <b/>
      <sz val="14"/>
      <name val="Arial"/>
      <family val="2"/>
    </font>
    <font>
      <b/>
      <sz val="16"/>
      <color indexed="9"/>
      <name val="Arial"/>
      <family val="2"/>
    </font>
    <font>
      <sz val="10"/>
      <color indexed="10"/>
      <name val="Arial"/>
      <family val="2"/>
    </font>
    <font>
      <b/>
      <sz val="10"/>
      <name val="Arial"/>
      <family val="2"/>
    </font>
    <font>
      <sz val="10"/>
      <color indexed="10"/>
      <name val="Calibri"/>
      <family val="2"/>
    </font>
    <font>
      <sz val="10"/>
      <color indexed="49"/>
      <name val="Arial"/>
      <family val="2"/>
    </font>
    <font>
      <sz val="10"/>
      <color indexed="40"/>
      <name val="Arial"/>
      <family val="2"/>
    </font>
    <font>
      <b/>
      <sz val="10"/>
      <color indexed="10"/>
      <name val="Arial"/>
      <family val="2"/>
    </font>
    <font>
      <sz val="10"/>
      <color indexed="15"/>
      <name val="Arial"/>
      <family val="2"/>
    </font>
    <font>
      <sz val="11"/>
      <name val="Calibri"/>
      <family val="2"/>
    </font>
    <font>
      <sz val="10"/>
      <color indexed="8"/>
      <name val="Arial"/>
      <family val="2"/>
    </font>
    <font>
      <sz val="10.5"/>
      <name val="Consolas"/>
      <family val="3"/>
    </font>
    <font>
      <sz val="10"/>
      <name val="Arial"/>
      <family val="2"/>
    </font>
    <font>
      <i/>
      <sz val="10"/>
      <color indexed="10"/>
      <name val="Arial"/>
      <family val="2"/>
    </font>
    <font>
      <b/>
      <u/>
      <sz val="10"/>
      <name val="Arial"/>
      <family val="2"/>
    </font>
    <font>
      <sz val="8"/>
      <color indexed="81"/>
      <name val="Tahoma"/>
      <family val="2"/>
    </font>
    <font>
      <b/>
      <sz val="8"/>
      <color indexed="81"/>
      <name val="Tahoma"/>
      <family val="2"/>
    </font>
    <font>
      <b/>
      <sz val="8"/>
      <name val="Arial"/>
      <family val="2"/>
    </font>
    <font>
      <b/>
      <sz val="14"/>
      <color indexed="9"/>
      <name val="Arial"/>
      <family val="2"/>
    </font>
    <font>
      <sz val="10"/>
      <color indexed="9"/>
      <name val="Arial"/>
      <family val="2"/>
    </font>
    <font>
      <sz val="10"/>
      <color indexed="60"/>
      <name val="Arial"/>
      <family val="2"/>
    </font>
    <font>
      <sz val="8"/>
      <name val="Arial"/>
      <family val="2"/>
    </font>
    <font>
      <sz val="14"/>
      <name val="Arial"/>
      <family val="2"/>
    </font>
  </fonts>
  <fills count="8">
    <fill>
      <patternFill patternType="none"/>
    </fill>
    <fill>
      <patternFill patternType="gray125"/>
    </fill>
    <fill>
      <patternFill patternType="solid">
        <fgColor indexed="18"/>
        <bgColor indexed="64"/>
      </patternFill>
    </fill>
    <fill>
      <patternFill patternType="solid">
        <fgColor indexed="62"/>
        <bgColor indexed="64"/>
      </patternFill>
    </fill>
    <fill>
      <patternFill patternType="solid">
        <fgColor indexed="13"/>
        <bgColor indexed="64"/>
      </patternFill>
    </fill>
    <fill>
      <patternFill patternType="solid">
        <fgColor indexed="9"/>
        <bgColor indexed="64"/>
      </patternFill>
    </fill>
    <fill>
      <patternFill patternType="solid">
        <fgColor indexed="43"/>
        <bgColor indexed="64"/>
      </patternFill>
    </fill>
    <fill>
      <patternFill patternType="solid">
        <fgColor indexed="2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s>
  <cellStyleXfs count="3">
    <xf numFmtId="0" fontId="0" fillId="0" borderId="0"/>
    <xf numFmtId="0" fontId="15" fillId="0" borderId="0"/>
    <xf numFmtId="0" fontId="2" fillId="0" borderId="0"/>
  </cellStyleXfs>
  <cellXfs count="141">
    <xf numFmtId="0" fontId="0" fillId="0" borderId="0" xfId="0"/>
    <xf numFmtId="0" fontId="2" fillId="0" borderId="1" xfId="0" applyFont="1" applyFill="1" applyBorder="1" applyAlignment="1">
      <alignment horizontal="left" vertical="center" wrapText="1"/>
    </xf>
    <xf numFmtId="49" fontId="2" fillId="0" borderId="1" xfId="0" applyNumberFormat="1" applyFont="1" applyFill="1" applyBorder="1" applyAlignment="1">
      <alignment horizontal="left" vertical="center" wrapText="1"/>
    </xf>
    <xf numFmtId="0" fontId="3" fillId="0" borderId="1" xfId="0" applyFont="1" applyFill="1" applyBorder="1" applyAlignment="1" applyProtection="1">
      <alignment horizontal="center" vertical="center" wrapText="1"/>
    </xf>
    <xf numFmtId="49" fontId="3" fillId="0" borderId="1" xfId="0" applyNumberFormat="1" applyFont="1" applyFill="1" applyBorder="1" applyAlignment="1" applyProtection="1">
      <alignment horizontal="center"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0" fillId="0" borderId="2" xfId="0" applyFill="1" applyBorder="1" applyAlignment="1">
      <alignment horizontal="left" vertical="center" wrapText="1"/>
    </xf>
    <xf numFmtId="0" fontId="0" fillId="0" borderId="0" xfId="0" applyBorder="1"/>
    <xf numFmtId="0" fontId="3" fillId="0" borderId="0" xfId="0" applyFont="1" applyBorder="1" applyAlignment="1">
      <alignment horizontal="center" vertical="center" wrapText="1"/>
    </xf>
    <xf numFmtId="0" fontId="0" fillId="0" borderId="1" xfId="0" applyFill="1" applyBorder="1" applyAlignment="1">
      <alignment horizontal="left" vertical="center" wrapText="1"/>
    </xf>
    <xf numFmtId="0" fontId="4" fillId="2" borderId="3" xfId="0" applyFont="1" applyFill="1" applyBorder="1" applyAlignment="1">
      <alignment horizontal="left" vertical="center"/>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xf>
    <xf numFmtId="0" fontId="4" fillId="2" borderId="4" xfId="0" applyFont="1" applyFill="1" applyBorder="1" applyAlignment="1">
      <alignment horizontal="left" vertical="center" wrapText="1"/>
    </xf>
    <xf numFmtId="0" fontId="2"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3" fillId="0" borderId="5" xfId="0" applyFont="1" applyBorder="1" applyAlignment="1">
      <alignment horizontal="center" vertical="center" wrapText="1"/>
    </xf>
    <xf numFmtId="0" fontId="0" fillId="0" borderId="6" xfId="0" applyBorder="1"/>
    <xf numFmtId="0" fontId="0" fillId="0" borderId="6" xfId="0" applyBorder="1" applyAlignment="1">
      <alignment wrapText="1"/>
    </xf>
    <xf numFmtId="164" fontId="3" fillId="0" borderId="1" xfId="0" applyNumberFormat="1" applyFont="1" applyFill="1" applyBorder="1" applyAlignment="1" applyProtection="1">
      <alignment horizontal="center" vertical="center" wrapText="1"/>
    </xf>
    <xf numFmtId="164" fontId="2" fillId="0" borderId="1" xfId="0" applyNumberFormat="1" applyFont="1" applyFill="1" applyBorder="1" applyAlignment="1">
      <alignment horizontal="left" vertical="center" wrapText="1"/>
    </xf>
    <xf numFmtId="165" fontId="3" fillId="0" borderId="1" xfId="0" applyNumberFormat="1" applyFont="1" applyFill="1" applyBorder="1" applyAlignment="1" applyProtection="1">
      <alignment horizontal="center" vertical="center" wrapText="1"/>
    </xf>
    <xf numFmtId="165" fontId="2" fillId="0" borderId="1" xfId="0" applyNumberFormat="1" applyFont="1" applyFill="1" applyBorder="1" applyAlignment="1">
      <alignment horizontal="left" vertical="center" wrapText="1"/>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7" xfId="0" applyFont="1" applyFill="1" applyBorder="1" applyAlignment="1">
      <alignment horizontal="center" vertical="center" wrapText="1"/>
    </xf>
    <xf numFmtId="0" fontId="0" fillId="0" borderId="0" xfId="0" applyAlignment="1">
      <alignment wrapText="1"/>
    </xf>
    <xf numFmtId="0" fontId="4" fillId="2" borderId="8" xfId="0" applyFont="1" applyFill="1" applyBorder="1" applyAlignment="1">
      <alignment horizontal="center" vertical="center" wrapText="1"/>
    </xf>
    <xf numFmtId="0" fontId="0" fillId="0" borderId="0" xfId="0" applyBorder="1" applyAlignment="1">
      <alignment wrapText="1"/>
    </xf>
    <xf numFmtId="165" fontId="2" fillId="0" borderId="1" xfId="0" applyNumberFormat="1" applyFont="1" applyFill="1" applyBorder="1" applyAlignment="1">
      <alignment horizontal="center" vertical="center" wrapText="1"/>
    </xf>
    <xf numFmtId="166" fontId="2" fillId="0" borderId="1" xfId="0"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Border="1" applyAlignment="1">
      <alignment horizontal="center" vertical="center" wrapText="1"/>
    </xf>
    <xf numFmtId="0" fontId="5" fillId="0" borderId="1" xfId="0"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0" fontId="2" fillId="0" borderId="1" xfId="0" applyFont="1" applyFill="1" applyBorder="1" applyAlignment="1">
      <alignment horizontal="justify" vertical="justify" wrapText="1"/>
    </xf>
    <xf numFmtId="0" fontId="12" fillId="0" borderId="1" xfId="0" applyFont="1" applyBorder="1" applyAlignment="1">
      <alignment horizontal="justify" vertical="justify" wrapText="1"/>
    </xf>
    <xf numFmtId="0" fontId="2" fillId="0" borderId="1" xfId="0" quotePrefix="1" applyFont="1" applyFill="1" applyBorder="1" applyAlignment="1">
      <alignment horizontal="justify" vertical="justify" wrapText="1"/>
    </xf>
    <xf numFmtId="0" fontId="2" fillId="0" borderId="1" xfId="0" applyNumberFormat="1" applyFont="1" applyFill="1" applyBorder="1" applyAlignment="1">
      <alignment horizontal="justify" vertical="justify" wrapText="1"/>
    </xf>
    <xf numFmtId="0" fontId="5" fillId="0" borderId="1" xfId="0" applyFont="1" applyFill="1" applyBorder="1" applyAlignment="1">
      <alignment horizontal="justify" vertical="justify" wrapText="1"/>
    </xf>
    <xf numFmtId="0" fontId="5" fillId="0" borderId="1" xfId="0" applyNumberFormat="1" applyFont="1" applyFill="1" applyBorder="1" applyAlignment="1">
      <alignment horizontal="justify" vertical="justify" wrapText="1"/>
    </xf>
    <xf numFmtId="0" fontId="0" fillId="0" borderId="1" xfId="0" applyFill="1" applyBorder="1" applyAlignment="1">
      <alignment horizontal="justify" vertical="justify" wrapText="1"/>
    </xf>
    <xf numFmtId="0" fontId="2" fillId="0" borderId="1" xfId="0" applyFont="1" applyFill="1" applyBorder="1" applyAlignment="1">
      <alignment horizontal="justify" vertical="center" wrapText="1"/>
    </xf>
    <xf numFmtId="0" fontId="5" fillId="0" borderId="1" xfId="0" applyFont="1" applyFill="1" applyBorder="1" applyAlignment="1">
      <alignment horizontal="justify" vertical="center" wrapText="1"/>
    </xf>
    <xf numFmtId="0" fontId="21" fillId="3" borderId="1" xfId="0" applyFont="1" applyFill="1" applyBorder="1" applyAlignment="1" applyProtection="1">
      <alignment horizontal="center" vertical="top" wrapText="1"/>
    </xf>
    <xf numFmtId="14" fontId="21" fillId="3" borderId="1" xfId="0" applyNumberFormat="1" applyFont="1" applyFill="1" applyBorder="1" applyAlignment="1" applyProtection="1">
      <alignment horizontal="center" vertical="top" wrapText="1"/>
    </xf>
    <xf numFmtId="166" fontId="21" fillId="3" borderId="1" xfId="0" applyNumberFormat="1" applyFont="1" applyFill="1" applyBorder="1" applyAlignment="1" applyProtection="1">
      <alignment horizontal="center" vertical="top" wrapText="1"/>
    </xf>
    <xf numFmtId="165" fontId="21" fillId="3" borderId="1" xfId="0" applyNumberFormat="1" applyFont="1" applyFill="1" applyBorder="1" applyAlignment="1" applyProtection="1">
      <alignment horizontal="center" vertical="top" wrapText="1"/>
    </xf>
    <xf numFmtId="0" fontId="21" fillId="3" borderId="1" xfId="0" applyFont="1" applyFill="1" applyBorder="1" applyAlignment="1">
      <alignment horizontal="center" vertical="top" wrapText="1"/>
    </xf>
    <xf numFmtId="49" fontId="21" fillId="3" borderId="1" xfId="0" applyNumberFormat="1" applyFont="1" applyFill="1" applyBorder="1" applyAlignment="1" applyProtection="1">
      <alignment horizontal="center" vertical="top" wrapText="1"/>
    </xf>
    <xf numFmtId="0" fontId="22" fillId="0" borderId="1" xfId="0" applyFont="1" applyBorder="1" applyAlignment="1">
      <alignment horizontal="center" vertical="center" wrapText="1"/>
    </xf>
    <xf numFmtId="0" fontId="2" fillId="0" borderId="1" xfId="0" applyFont="1" applyFill="1" applyBorder="1" applyAlignment="1">
      <alignment horizontal="center" vertical="top" wrapText="1"/>
    </xf>
    <xf numFmtId="14" fontId="2" fillId="0" borderId="1" xfId="0" applyNumberFormat="1" applyFont="1" applyFill="1" applyBorder="1" applyAlignment="1">
      <alignment horizontal="center" vertical="top" wrapText="1"/>
    </xf>
    <xf numFmtId="166" fontId="2" fillId="0" borderId="1" xfId="0" applyNumberFormat="1" applyFont="1" applyFill="1" applyBorder="1" applyAlignment="1">
      <alignment horizontal="center" vertical="top" wrapText="1"/>
    </xf>
    <xf numFmtId="165" fontId="23" fillId="0" borderId="1" xfId="0" applyNumberFormat="1" applyFont="1" applyFill="1" applyBorder="1" applyAlignment="1">
      <alignment horizontal="center" vertical="top" wrapText="1"/>
    </xf>
    <xf numFmtId="0" fontId="2" fillId="4" borderId="1" xfId="0" applyFont="1" applyFill="1" applyBorder="1" applyAlignment="1">
      <alignment horizontal="center" vertical="top" wrapText="1"/>
    </xf>
    <xf numFmtId="0" fontId="0" fillId="0" borderId="1" xfId="0" applyBorder="1" applyAlignment="1">
      <alignment horizontal="center" vertical="top" wrapText="1"/>
    </xf>
    <xf numFmtId="0" fontId="14" fillId="0" borderId="1" xfId="0" applyFont="1" applyBorder="1" applyAlignment="1">
      <alignment horizontal="center" vertical="top" wrapText="1"/>
    </xf>
    <xf numFmtId="0" fontId="0" fillId="0" borderId="1" xfId="0" applyFill="1" applyBorder="1" applyAlignment="1">
      <alignment horizontal="center" vertical="top" wrapText="1"/>
    </xf>
    <xf numFmtId="0" fontId="2" fillId="0" borderId="1" xfId="0" applyFont="1" applyBorder="1" applyAlignment="1">
      <alignment horizontal="center" vertical="top" wrapText="1"/>
    </xf>
    <xf numFmtId="165" fontId="2" fillId="0" borderId="1" xfId="0" applyNumberFormat="1" applyFont="1" applyFill="1" applyBorder="1" applyAlignment="1">
      <alignment horizontal="center" vertical="top" wrapText="1"/>
    </xf>
    <xf numFmtId="49" fontId="2" fillId="0" borderId="1" xfId="0" applyNumberFormat="1" applyFont="1" applyFill="1" applyBorder="1" applyAlignment="1">
      <alignment horizontal="center" vertical="top" wrapText="1"/>
    </xf>
    <xf numFmtId="166" fontId="23" fillId="0" borderId="1" xfId="0" applyNumberFormat="1" applyFont="1" applyFill="1" applyBorder="1" applyAlignment="1">
      <alignment horizontal="center" vertical="top" wrapText="1"/>
    </xf>
    <xf numFmtId="0" fontId="5" fillId="0"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13" fillId="5" borderId="1" xfId="0" applyFont="1" applyFill="1" applyBorder="1" applyAlignment="1">
      <alignment horizontal="center" vertical="top" wrapText="1"/>
    </xf>
    <xf numFmtId="49" fontId="2" fillId="5" borderId="1" xfId="0" applyNumberFormat="1" applyFont="1" applyFill="1" applyBorder="1" applyAlignment="1">
      <alignment horizontal="center" vertical="top" wrapText="1"/>
    </xf>
    <xf numFmtId="165" fontId="2" fillId="5" borderId="1" xfId="0" applyNumberFormat="1" applyFont="1" applyFill="1" applyBorder="1" applyAlignment="1">
      <alignment horizontal="center" vertical="top" wrapText="1"/>
    </xf>
    <xf numFmtId="14" fontId="2" fillId="4" borderId="1" xfId="0" applyNumberFormat="1" applyFont="1" applyFill="1" applyBorder="1" applyAlignment="1">
      <alignment horizontal="center" vertical="top" wrapText="1"/>
    </xf>
    <xf numFmtId="166" fontId="2" fillId="4" borderId="1" xfId="0" applyNumberFormat="1" applyFont="1" applyFill="1" applyBorder="1" applyAlignment="1">
      <alignment horizontal="center" vertical="top" wrapText="1"/>
    </xf>
    <xf numFmtId="165" fontId="2" fillId="4" borderId="1" xfId="0" applyNumberFormat="1" applyFont="1" applyFill="1" applyBorder="1" applyAlignment="1">
      <alignment horizontal="center" vertical="top" wrapText="1"/>
    </xf>
    <xf numFmtId="49" fontId="2" fillId="4" borderId="1" xfId="0" applyNumberFormat="1" applyFont="1" applyFill="1" applyBorder="1" applyAlignment="1">
      <alignment horizontal="center" vertical="top" wrapText="1"/>
    </xf>
    <xf numFmtId="166" fontId="23" fillId="4" borderId="1" xfId="0" applyNumberFormat="1" applyFont="1" applyFill="1" applyBorder="1" applyAlignment="1">
      <alignment horizontal="center" vertical="top" wrapText="1"/>
    </xf>
    <xf numFmtId="165" fontId="23" fillId="4" borderId="1" xfId="0" applyNumberFormat="1" applyFont="1" applyFill="1" applyBorder="1" applyAlignment="1">
      <alignment horizontal="center" vertical="top" wrapText="1"/>
    </xf>
    <xf numFmtId="0" fontId="5" fillId="4" borderId="1" xfId="0" applyFont="1" applyFill="1" applyBorder="1" applyAlignment="1">
      <alignment horizontal="center" vertical="top" wrapText="1"/>
    </xf>
    <xf numFmtId="0" fontId="2" fillId="5" borderId="1" xfId="0" applyNumberFormat="1" applyFont="1" applyFill="1" applyBorder="1" applyAlignment="1" applyProtection="1">
      <alignment horizontal="center" vertical="top" wrapText="1"/>
    </xf>
    <xf numFmtId="0" fontId="6" fillId="4" borderId="1" xfId="0" applyFont="1" applyFill="1" applyBorder="1" applyAlignment="1">
      <alignment horizontal="center" vertical="top" wrapText="1"/>
    </xf>
    <xf numFmtId="0" fontId="2" fillId="0" borderId="1" xfId="1" applyFont="1" applyFill="1" applyBorder="1" applyAlignment="1">
      <alignment horizontal="center" vertical="top" wrapText="1"/>
    </xf>
    <xf numFmtId="0" fontId="22" fillId="0" borderId="1" xfId="0" applyFont="1" applyBorder="1" applyAlignment="1">
      <alignment horizontal="center" vertical="top" wrapText="1"/>
    </xf>
    <xf numFmtId="165" fontId="2" fillId="0" borderId="1" xfId="0" applyNumberFormat="1" applyFont="1" applyBorder="1" applyAlignment="1">
      <alignment horizontal="center" vertical="top" wrapText="1"/>
    </xf>
    <xf numFmtId="166" fontId="2" fillId="0" borderId="1" xfId="0" applyNumberFormat="1" applyFont="1" applyBorder="1" applyAlignment="1">
      <alignment horizontal="center" vertical="top" wrapText="1"/>
    </xf>
    <xf numFmtId="0" fontId="6" fillId="0" borderId="1" xfId="0" applyFont="1" applyBorder="1" applyAlignment="1">
      <alignment horizontal="center" vertical="top" wrapText="1"/>
    </xf>
    <xf numFmtId="0" fontId="2" fillId="0" borderId="1" xfId="0" applyNumberFormat="1" applyFont="1" applyFill="1" applyBorder="1" applyAlignment="1">
      <alignment horizontal="center" vertical="top" wrapText="1"/>
    </xf>
    <xf numFmtId="0" fontId="6" fillId="0" borderId="0" xfId="0" applyFont="1"/>
    <xf numFmtId="0" fontId="1" fillId="0" borderId="1" xfId="0" applyFont="1" applyBorder="1" applyAlignment="1">
      <alignment horizontal="left" vertical="top" wrapText="1"/>
    </xf>
    <xf numFmtId="167" fontId="1" fillId="0" borderId="1" xfId="0" applyNumberFormat="1" applyFont="1" applyBorder="1" applyAlignment="1">
      <alignment horizontal="left" vertical="top" wrapText="1"/>
    </xf>
    <xf numFmtId="0" fontId="1" fillId="0" borderId="0" xfId="0" applyFont="1" applyAlignment="1">
      <alignment horizontal="left" vertical="top" wrapText="1"/>
    </xf>
    <xf numFmtId="167" fontId="1" fillId="0" borderId="0" xfId="0" applyNumberFormat="1" applyFont="1" applyAlignment="1">
      <alignment horizontal="left" vertical="top" wrapText="1"/>
    </xf>
    <xf numFmtId="0" fontId="20" fillId="0" borderId="1" xfId="0" applyFont="1" applyBorder="1" applyAlignment="1">
      <alignment horizontal="left" vertical="top" wrapText="1"/>
    </xf>
    <xf numFmtId="167" fontId="20" fillId="0" borderId="1" xfId="0" applyNumberFormat="1" applyFont="1" applyBorder="1" applyAlignment="1">
      <alignment horizontal="left" vertical="top" wrapText="1"/>
    </xf>
    <xf numFmtId="0" fontId="20" fillId="0" borderId="1" xfId="0" applyFont="1" applyBorder="1" applyAlignment="1">
      <alignment horizontal="left" vertical="top"/>
    </xf>
    <xf numFmtId="0" fontId="1" fillId="0" borderId="0" xfId="0" applyFont="1" applyAlignment="1">
      <alignment horizontal="left" vertical="top"/>
    </xf>
    <xf numFmtId="0" fontId="2" fillId="0" borderId="1" xfId="0" applyFont="1" applyBorder="1" applyAlignment="1">
      <alignment horizontal="left" wrapText="1"/>
    </xf>
    <xf numFmtId="0" fontId="21" fillId="3" borderId="1" xfId="0" applyFont="1" applyFill="1" applyBorder="1" applyAlignment="1">
      <alignment vertical="top" wrapText="1"/>
    </xf>
    <xf numFmtId="0" fontId="2" fillId="0" borderId="1" xfId="0" applyFont="1" applyFill="1" applyBorder="1" applyAlignment="1">
      <alignment vertical="top" wrapText="1"/>
    </xf>
    <xf numFmtId="0" fontId="2" fillId="5" borderId="1" xfId="0" applyFont="1" applyFill="1" applyBorder="1" applyAlignment="1">
      <alignment vertical="top" wrapText="1"/>
    </xf>
    <xf numFmtId="0" fontId="2" fillId="0" borderId="1" xfId="0" applyFont="1" applyBorder="1" applyAlignment="1">
      <alignment vertical="top" wrapText="1"/>
    </xf>
    <xf numFmtId="0" fontId="2" fillId="0" borderId="1" xfId="0" applyNumberFormat="1" applyFont="1" applyFill="1" applyBorder="1" applyAlignment="1">
      <alignment vertical="top" wrapText="1"/>
    </xf>
    <xf numFmtId="0" fontId="2" fillId="4" borderId="1" xfId="0" applyFont="1" applyFill="1" applyBorder="1" applyAlignment="1">
      <alignment vertical="top" wrapText="1"/>
    </xf>
    <xf numFmtId="0" fontId="0" fillId="0" borderId="1" xfId="0" applyFill="1" applyBorder="1" applyAlignment="1">
      <alignment vertical="top" wrapText="1"/>
    </xf>
    <xf numFmtId="0" fontId="2" fillId="6" borderId="1" xfId="0" applyFont="1" applyFill="1" applyBorder="1" applyAlignment="1">
      <alignment horizontal="center" vertical="top" wrapText="1"/>
    </xf>
    <xf numFmtId="14" fontId="2" fillId="6" borderId="1" xfId="0" applyNumberFormat="1" applyFont="1" applyFill="1" applyBorder="1" applyAlignment="1">
      <alignment horizontal="center" vertical="top" wrapText="1"/>
    </xf>
    <xf numFmtId="166" fontId="2" fillId="6" borderId="1" xfId="0" applyNumberFormat="1" applyFont="1" applyFill="1" applyBorder="1" applyAlignment="1">
      <alignment horizontal="center" vertical="top" wrapText="1"/>
    </xf>
    <xf numFmtId="165" fontId="23" fillId="6" borderId="1" xfId="0" applyNumberFormat="1" applyFont="1" applyFill="1" applyBorder="1" applyAlignment="1">
      <alignment horizontal="center" vertical="top" wrapText="1"/>
    </xf>
    <xf numFmtId="0" fontId="2" fillId="6" borderId="1" xfId="1" applyFont="1" applyFill="1" applyBorder="1" applyAlignment="1">
      <alignment horizontal="center" vertical="top" wrapText="1"/>
    </xf>
    <xf numFmtId="165" fontId="2" fillId="6" borderId="1" xfId="0" applyNumberFormat="1" applyFont="1" applyFill="1" applyBorder="1" applyAlignment="1">
      <alignment horizontal="center" vertical="top" wrapText="1"/>
    </xf>
    <xf numFmtId="0" fontId="2" fillId="6" borderId="1" xfId="0" applyFont="1" applyFill="1" applyBorder="1" applyAlignment="1">
      <alignment vertical="top" wrapText="1"/>
    </xf>
    <xf numFmtId="0" fontId="2" fillId="7" borderId="1" xfId="0" applyFont="1" applyFill="1" applyBorder="1" applyAlignment="1">
      <alignment horizontal="center" vertical="top" wrapText="1"/>
    </xf>
    <xf numFmtId="14" fontId="2" fillId="7" borderId="1" xfId="0" applyNumberFormat="1" applyFont="1" applyFill="1" applyBorder="1" applyAlignment="1">
      <alignment horizontal="center" vertical="top" wrapText="1"/>
    </xf>
    <xf numFmtId="166" fontId="2" fillId="7" borderId="1" xfId="0" applyNumberFormat="1" applyFont="1" applyFill="1" applyBorder="1" applyAlignment="1">
      <alignment horizontal="center" vertical="top" wrapText="1"/>
    </xf>
    <xf numFmtId="165" fontId="2" fillId="7" borderId="1" xfId="0" applyNumberFormat="1" applyFont="1" applyFill="1" applyBorder="1" applyAlignment="1">
      <alignment horizontal="center" vertical="top" wrapText="1"/>
    </xf>
    <xf numFmtId="0" fontId="2" fillId="7" borderId="1" xfId="0" applyFont="1" applyFill="1" applyBorder="1" applyAlignment="1">
      <alignment vertical="top" wrapText="1"/>
    </xf>
    <xf numFmtId="166" fontId="23" fillId="6" borderId="1" xfId="0" applyNumberFormat="1" applyFont="1" applyFill="1" applyBorder="1" applyAlignment="1">
      <alignment horizontal="center" vertical="top" wrapText="1"/>
    </xf>
    <xf numFmtId="0" fontId="5" fillId="6" borderId="1" xfId="0" applyFont="1" applyFill="1" applyBorder="1" applyAlignment="1">
      <alignment horizontal="center" vertical="top" wrapText="1"/>
    </xf>
    <xf numFmtId="0" fontId="16" fillId="0" borderId="1" xfId="0" applyFont="1" applyBorder="1" applyAlignment="1">
      <alignment horizontal="left" wrapText="1"/>
    </xf>
    <xf numFmtId="0" fontId="16" fillId="0" borderId="1" xfId="0" applyFont="1" applyBorder="1" applyAlignment="1">
      <alignment vertical="top" wrapText="1"/>
    </xf>
    <xf numFmtId="0" fontId="2" fillId="6" borderId="1" xfId="2" applyFont="1" applyFill="1" applyBorder="1" applyAlignment="1">
      <alignment horizontal="center" vertical="top" wrapText="1"/>
    </xf>
    <xf numFmtId="0" fontId="2" fillId="0" borderId="1" xfId="2" applyFont="1" applyFill="1" applyBorder="1" applyAlignment="1">
      <alignment horizontal="center" vertical="top" wrapText="1"/>
    </xf>
    <xf numFmtId="0" fontId="16" fillId="0" borderId="1" xfId="0" applyFont="1" applyBorder="1" applyAlignment="1">
      <alignment horizontal="center" vertical="top" wrapText="1"/>
    </xf>
    <xf numFmtId="165" fontId="2" fillId="0" borderId="0" xfId="0" applyNumberFormat="1" applyFont="1" applyAlignment="1">
      <alignment horizontal="center" vertical="top" wrapText="1"/>
    </xf>
    <xf numFmtId="0" fontId="16" fillId="0" borderId="0" xfId="0" applyFont="1" applyAlignment="1">
      <alignment horizontal="center" vertical="top" wrapText="1"/>
    </xf>
    <xf numFmtId="0" fontId="0" fillId="0" borderId="1" xfId="0" applyBorder="1" applyAlignment="1">
      <alignment wrapText="1"/>
    </xf>
    <xf numFmtId="0" fontId="2" fillId="0" borderId="0" xfId="0" applyFont="1" applyFill="1" applyAlignment="1">
      <alignment horizontal="center" vertical="top" wrapText="1"/>
    </xf>
    <xf numFmtId="0" fontId="0" fillId="0" borderId="1" xfId="0" applyBorder="1"/>
    <xf numFmtId="0" fontId="2" fillId="0" borderId="9" xfId="0" applyFont="1" applyFill="1" applyBorder="1" applyAlignment="1">
      <alignment horizontal="center" vertical="top" wrapText="1"/>
    </xf>
    <xf numFmtId="49" fontId="2" fillId="0" borderId="1" xfId="0" applyNumberFormat="1" applyFont="1" applyFill="1" applyBorder="1" applyAlignment="1">
      <alignment vertical="top" wrapText="1"/>
    </xf>
    <xf numFmtId="0" fontId="25" fillId="0" borderId="1" xfId="0" applyFont="1" applyFill="1" applyBorder="1" applyAlignment="1">
      <alignment horizontal="center" vertical="top" wrapText="1"/>
    </xf>
    <xf numFmtId="165" fontId="2" fillId="0" borderId="0" xfId="0" applyNumberFormat="1" applyFont="1" applyFill="1" applyAlignment="1">
      <alignment horizontal="center" vertical="top" wrapText="1"/>
    </xf>
    <xf numFmtId="165" fontId="23" fillId="4" borderId="0" xfId="0" applyNumberFormat="1" applyFont="1" applyFill="1" applyAlignment="1">
      <alignment horizontal="center" vertical="top" wrapText="1"/>
    </xf>
    <xf numFmtId="165" fontId="23" fillId="0" borderId="0" xfId="0" applyNumberFormat="1" applyFont="1" applyFill="1" applyAlignment="1">
      <alignment horizontal="center" vertical="top" wrapText="1"/>
    </xf>
    <xf numFmtId="0" fontId="2" fillId="4" borderId="0" xfId="0" applyFont="1" applyFill="1" applyAlignment="1">
      <alignment horizontal="center" vertical="top" wrapText="1"/>
    </xf>
    <xf numFmtId="0" fontId="2" fillId="0" borderId="0" xfId="1" applyFont="1" applyFill="1" applyBorder="1" applyAlignment="1">
      <alignment horizontal="center" vertical="top" wrapText="1"/>
    </xf>
    <xf numFmtId="0" fontId="5" fillId="4" borderId="0" xfId="0" applyFont="1" applyFill="1" applyAlignment="1">
      <alignment horizontal="center" vertical="top" wrapText="1"/>
    </xf>
    <xf numFmtId="1" fontId="21" fillId="3" borderId="1" xfId="0" applyNumberFormat="1" applyFont="1" applyFill="1" applyBorder="1" applyAlignment="1" applyProtection="1">
      <alignment horizontal="center" vertical="top" wrapText="1"/>
    </xf>
    <xf numFmtId="1" fontId="2" fillId="0" borderId="1" xfId="0" applyNumberFormat="1" applyFont="1" applyFill="1" applyBorder="1" applyAlignment="1">
      <alignment horizontal="center" vertical="top" wrapText="1"/>
    </xf>
    <xf numFmtId="0" fontId="2" fillId="0" borderId="0" xfId="0" applyFont="1" applyAlignment="1">
      <alignment wrapText="1"/>
    </xf>
    <xf numFmtId="15" fontId="0" fillId="0" borderId="0" xfId="0" applyNumberFormat="1" applyAlignment="1">
      <alignment wrapText="1"/>
    </xf>
    <xf numFmtId="165" fontId="0" fillId="0" borderId="1" xfId="0" applyNumberFormat="1" applyBorder="1" applyAlignment="1">
      <alignment horizontal="center"/>
    </xf>
    <xf numFmtId="165" fontId="0" fillId="0" borderId="0" xfId="0" applyNumberFormat="1" applyAlignment="1">
      <alignment horizontal="center"/>
    </xf>
    <xf numFmtId="0" fontId="2" fillId="0" borderId="1" xfId="1" applyNumberFormat="1" applyFont="1" applyFill="1" applyBorder="1" applyAlignment="1">
      <alignment horizontal="center" vertical="top" wrapText="1"/>
    </xf>
  </cellXfs>
  <cellStyles count="3">
    <cellStyle name="Normal" xfId="0" builtinId="0"/>
    <cellStyle name="Normal 2" xfId="1"/>
    <cellStyle name="Normal 2_MIKE MSEL RW2010" xfId="2"/>
  </cellStyles>
  <dxfs count="16">
    <dxf>
      <font>
        <strike/>
      </font>
      <fill>
        <patternFill>
          <bgColor rgb="FF92D050"/>
        </patternFill>
      </fill>
    </dxf>
    <dxf>
      <font>
        <color theme="0"/>
      </font>
      <fill>
        <patternFill>
          <bgColor theme="1" tint="4.9989318521683403E-2"/>
        </patternFill>
      </fill>
    </dxf>
    <dxf>
      <font>
        <color theme="1"/>
      </font>
      <fill>
        <patternFill>
          <bgColor rgb="FFFFFF99"/>
        </patternFill>
      </fill>
    </dxf>
    <dxf>
      <fill>
        <patternFill>
          <bgColor rgb="FFFF9999"/>
        </patternFill>
      </fill>
    </dxf>
    <dxf>
      <font>
        <strike/>
      </font>
      <fill>
        <patternFill>
          <bgColor rgb="FF92D050"/>
        </patternFill>
      </fill>
    </dxf>
    <dxf>
      <font>
        <color theme="0"/>
      </font>
      <fill>
        <patternFill>
          <bgColor theme="1" tint="4.9989318521683403E-2"/>
        </patternFill>
      </fill>
    </dxf>
    <dxf>
      <font>
        <color theme="1"/>
      </font>
      <fill>
        <patternFill>
          <bgColor rgb="FFFFFF99"/>
        </patternFill>
      </fill>
    </dxf>
    <dxf>
      <fill>
        <patternFill>
          <bgColor rgb="FFFF9999"/>
        </patternFill>
      </fill>
    </dxf>
    <dxf>
      <font>
        <strike/>
      </font>
      <fill>
        <patternFill>
          <bgColor rgb="FF92D050"/>
        </patternFill>
      </fill>
    </dxf>
    <dxf>
      <font>
        <color theme="0"/>
      </font>
      <fill>
        <patternFill>
          <bgColor theme="1" tint="4.9989318521683403E-2"/>
        </patternFill>
      </fill>
    </dxf>
    <dxf>
      <font>
        <color theme="1"/>
      </font>
      <fill>
        <patternFill>
          <bgColor rgb="FFFFFF99"/>
        </patternFill>
      </fill>
    </dxf>
    <dxf>
      <fill>
        <patternFill>
          <bgColor rgb="FFFF9999"/>
        </patternFill>
      </fill>
    </dxf>
    <dxf>
      <font>
        <strike/>
      </font>
      <fill>
        <patternFill>
          <bgColor rgb="FF92D050"/>
        </patternFill>
      </fill>
    </dxf>
    <dxf>
      <font>
        <color theme="0"/>
      </font>
      <fill>
        <patternFill>
          <bgColor theme="1" tint="4.9989318521683403E-2"/>
        </patternFill>
      </fill>
    </dxf>
    <dxf>
      <font>
        <color theme="1"/>
      </font>
      <fill>
        <patternFill>
          <bgColor rgb="FFFFFF99"/>
        </patternFill>
      </fill>
    </dxf>
    <dxf>
      <fill>
        <patternFill>
          <bgColor rgb="FFFF9999"/>
        </patternFill>
      </fill>
    </dxf>
  </dxfs>
  <tableStyles count="0" defaultTableStyle="TableStyleMedium9"/>
  <colors>
    <mruColors>
      <color rgb="FFFF9999"/>
      <color rgb="FFFFFF99"/>
      <color rgb="FF99FF66"/>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0"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enableFormatConditionsCalculation="0">
    <pageSetUpPr fitToPage="1"/>
  </sheetPr>
  <dimension ref="A1:R504"/>
  <sheetViews>
    <sheetView tabSelected="1" zoomScale="80" zoomScaleNormal="80" zoomScalePageLayoutView="80" workbookViewId="0">
      <pane ySplit="1" topLeftCell="A2" activePane="bottomLeft" state="frozen"/>
      <selection activeCell="H1" sqref="H1"/>
      <selection pane="bottomLeft" activeCell="B4" sqref="B4"/>
    </sheetView>
  </sheetViews>
  <sheetFormatPr baseColWidth="10" defaultColWidth="8.83203125" defaultRowHeight="12"/>
  <cols>
    <col min="1" max="1" width="20.5" style="135" customWidth="1"/>
    <col min="2" max="2" width="14.5" style="53" customWidth="1"/>
    <col min="3" max="4" width="14.5" style="54" customWidth="1"/>
    <col min="5" max="5" width="26.6640625" style="61" customWidth="1"/>
    <col min="6" max="6" width="14.1640625" style="59" customWidth="1"/>
    <col min="7" max="7" width="14.33203125" style="52" bestFit="1" customWidth="1"/>
    <col min="8" max="8" width="20.83203125" style="52" bestFit="1" customWidth="1"/>
    <col min="9" max="9" width="12.5" style="59" bestFit="1" customWidth="1"/>
    <col min="10" max="10" width="9.83203125" style="52" bestFit="1" customWidth="1"/>
    <col min="11" max="11" width="52.6640625" style="52" customWidth="1"/>
    <col min="12" max="12" width="8.83203125" style="52"/>
    <col min="13" max="13" width="40.33203125" style="100" customWidth="1"/>
    <col min="14" max="14" width="18" style="52" customWidth="1"/>
    <col min="15" max="15" width="24.83203125" style="59" customWidth="1"/>
    <col min="16" max="16" width="69" style="52" customWidth="1"/>
    <col min="17" max="17" width="60.6640625" style="59" bestFit="1" customWidth="1"/>
    <col min="18" max="18" width="21.83203125" style="57" bestFit="1" customWidth="1"/>
    <col min="19" max="16384" width="8.83203125" style="57"/>
  </cols>
  <sheetData>
    <row r="1" spans="1:18" s="79" customFormat="1" ht="57.75" customHeight="1">
      <c r="A1" s="134" t="s">
        <v>421</v>
      </c>
      <c r="B1" s="46" t="s">
        <v>424</v>
      </c>
      <c r="C1" s="47" t="s">
        <v>899</v>
      </c>
      <c r="D1" s="47" t="s">
        <v>131</v>
      </c>
      <c r="E1" s="48" t="s">
        <v>572</v>
      </c>
      <c r="F1" s="49" t="s">
        <v>408</v>
      </c>
      <c r="G1" s="45" t="s">
        <v>411</v>
      </c>
      <c r="H1" s="50" t="s">
        <v>412</v>
      </c>
      <c r="I1" s="49" t="s">
        <v>409</v>
      </c>
      <c r="J1" s="50" t="s">
        <v>413</v>
      </c>
      <c r="K1" s="127" t="s">
        <v>410</v>
      </c>
      <c r="L1" s="49" t="s">
        <v>417</v>
      </c>
      <c r="M1" s="94" t="s">
        <v>418</v>
      </c>
      <c r="N1" s="50" t="s">
        <v>419</v>
      </c>
      <c r="O1" s="49" t="s">
        <v>420</v>
      </c>
      <c r="P1" s="49" t="s">
        <v>414</v>
      </c>
      <c r="Q1" s="49" t="s">
        <v>415</v>
      </c>
      <c r="R1" s="49" t="s">
        <v>428</v>
      </c>
    </row>
    <row r="2" spans="1:18" s="60" customFormat="1" ht="36">
      <c r="A2" s="135">
        <v>1</v>
      </c>
      <c r="B2" s="54"/>
      <c r="C2" s="54"/>
      <c r="D2" s="54" t="s">
        <v>136</v>
      </c>
      <c r="E2" s="61">
        <v>40298.208333333336</v>
      </c>
      <c r="F2" s="54" t="s">
        <v>1579</v>
      </c>
      <c r="G2" s="54" t="s">
        <v>1580</v>
      </c>
      <c r="H2" s="54"/>
      <c r="I2" s="54"/>
      <c r="J2" s="54"/>
      <c r="K2" s="54"/>
      <c r="L2" s="54"/>
      <c r="M2" s="54"/>
      <c r="N2" s="54"/>
      <c r="O2" s="54"/>
      <c r="P2" s="54"/>
      <c r="Q2" s="54"/>
      <c r="R2" s="54" t="s">
        <v>1581</v>
      </c>
    </row>
    <row r="3" spans="1:18" s="60" customFormat="1" ht="24">
      <c r="A3" s="135">
        <v>2</v>
      </c>
      <c r="B3" s="54">
        <v>40299</v>
      </c>
      <c r="C3" s="54">
        <v>40299.166666666664</v>
      </c>
      <c r="D3" s="54" t="s">
        <v>133</v>
      </c>
      <c r="E3" s="61">
        <v>40299.166666666664</v>
      </c>
      <c r="F3" s="54" t="s">
        <v>1098</v>
      </c>
      <c r="G3" s="54" t="s">
        <v>425</v>
      </c>
      <c r="H3" s="54" t="s">
        <v>429</v>
      </c>
      <c r="I3" s="54" t="s">
        <v>1360</v>
      </c>
      <c r="J3" s="54" t="s">
        <v>426</v>
      </c>
      <c r="K3" s="54" t="s">
        <v>370</v>
      </c>
      <c r="L3" s="54" t="s">
        <v>423</v>
      </c>
      <c r="M3" s="54" t="s">
        <v>370</v>
      </c>
      <c r="N3" s="54"/>
      <c r="O3" s="54"/>
      <c r="P3" s="54" t="s">
        <v>369</v>
      </c>
      <c r="Q3" s="54"/>
      <c r="R3" s="54" t="s">
        <v>427</v>
      </c>
    </row>
    <row r="4" spans="1:18" s="60" customFormat="1" ht="48">
      <c r="A4" s="135">
        <v>3</v>
      </c>
      <c r="B4" s="54"/>
      <c r="C4" s="54"/>
      <c r="D4" s="54" t="s">
        <v>136</v>
      </c>
      <c r="E4" s="61">
        <v>40299.208333333336</v>
      </c>
      <c r="F4" s="54" t="s">
        <v>1582</v>
      </c>
      <c r="G4" s="54" t="s">
        <v>1580</v>
      </c>
      <c r="H4" s="54"/>
      <c r="I4" s="54"/>
      <c r="J4" s="54"/>
      <c r="K4" s="54"/>
      <c r="L4" s="54"/>
      <c r="M4" s="54"/>
      <c r="N4" s="54"/>
      <c r="O4" s="54"/>
      <c r="P4" s="54"/>
      <c r="Q4" s="54"/>
      <c r="R4" s="54" t="s">
        <v>1581</v>
      </c>
    </row>
    <row r="5" spans="1:18" s="60" customFormat="1" ht="60">
      <c r="A5" s="135">
        <v>4</v>
      </c>
      <c r="B5" s="54"/>
      <c r="C5" s="54"/>
      <c r="D5" s="54" t="s">
        <v>136</v>
      </c>
      <c r="E5" s="61">
        <v>40299.208333333336</v>
      </c>
      <c r="F5" s="54" t="s">
        <v>1583</v>
      </c>
      <c r="G5" s="54" t="s">
        <v>1580</v>
      </c>
      <c r="H5" s="54"/>
      <c r="I5" s="54"/>
      <c r="J5" s="54"/>
      <c r="K5" s="54"/>
      <c r="L5" s="54"/>
      <c r="M5" s="54"/>
      <c r="N5" s="54"/>
      <c r="O5" s="54"/>
      <c r="P5" s="54"/>
      <c r="Q5" s="54"/>
      <c r="R5" s="54" t="s">
        <v>1581</v>
      </c>
    </row>
    <row r="6" spans="1:18" s="60" customFormat="1" ht="180">
      <c r="A6" s="135">
        <v>5</v>
      </c>
      <c r="B6" s="53">
        <v>40299</v>
      </c>
      <c r="C6" s="54">
        <v>40299.416666666664</v>
      </c>
      <c r="D6" s="54" t="s">
        <v>133</v>
      </c>
      <c r="E6" s="61">
        <v>40299.416666666664</v>
      </c>
      <c r="F6" s="52" t="s">
        <v>1098</v>
      </c>
      <c r="G6" s="52" t="s">
        <v>425</v>
      </c>
      <c r="H6" s="62" t="s">
        <v>429</v>
      </c>
      <c r="I6" s="52" t="s">
        <v>1360</v>
      </c>
      <c r="J6" s="62" t="s">
        <v>426</v>
      </c>
      <c r="K6" s="52" t="s">
        <v>371</v>
      </c>
      <c r="L6" s="62" t="s">
        <v>423</v>
      </c>
      <c r="M6" s="95" t="s">
        <v>371</v>
      </c>
      <c r="N6" s="62"/>
      <c r="O6" s="52"/>
      <c r="P6" s="52" t="s">
        <v>586</v>
      </c>
      <c r="Q6" s="52"/>
      <c r="R6" s="60" t="s">
        <v>427</v>
      </c>
    </row>
    <row r="7" spans="1:18" s="60" customFormat="1" ht="180">
      <c r="A7" s="135">
        <v>6</v>
      </c>
      <c r="B7" s="53">
        <v>40299</v>
      </c>
      <c r="C7" s="54">
        <v>40299.666666666664</v>
      </c>
      <c r="D7" s="54" t="s">
        <v>133</v>
      </c>
      <c r="E7" s="61">
        <v>40299.666666666664</v>
      </c>
      <c r="F7" s="52" t="s">
        <v>1098</v>
      </c>
      <c r="G7" s="52" t="s">
        <v>425</v>
      </c>
      <c r="H7" s="62" t="s">
        <v>429</v>
      </c>
      <c r="I7" s="52" t="s">
        <v>1360</v>
      </c>
      <c r="J7" s="62" t="s">
        <v>426</v>
      </c>
      <c r="K7" s="52" t="s">
        <v>372</v>
      </c>
      <c r="L7" s="62" t="s">
        <v>423</v>
      </c>
      <c r="M7" s="95" t="s">
        <v>372</v>
      </c>
      <c r="N7" s="62"/>
      <c r="O7" s="52"/>
      <c r="P7" s="52" t="s">
        <v>587</v>
      </c>
      <c r="Q7" s="52"/>
      <c r="R7" s="60" t="s">
        <v>427</v>
      </c>
    </row>
    <row r="8" spans="1:18" s="60" customFormat="1" ht="156">
      <c r="A8" s="135">
        <v>7</v>
      </c>
      <c r="B8" s="53">
        <v>40299</v>
      </c>
      <c r="C8" s="54">
        <v>40299.916666666664</v>
      </c>
      <c r="D8" s="54" t="s">
        <v>133</v>
      </c>
      <c r="E8" s="61">
        <v>40299.916666666664</v>
      </c>
      <c r="F8" s="52" t="s">
        <v>1098</v>
      </c>
      <c r="G8" s="52" t="s">
        <v>425</v>
      </c>
      <c r="H8" s="62" t="s">
        <v>429</v>
      </c>
      <c r="I8" s="52" t="s">
        <v>1360</v>
      </c>
      <c r="J8" s="62" t="s">
        <v>426</v>
      </c>
      <c r="K8" s="52" t="s">
        <v>373</v>
      </c>
      <c r="L8" s="62" t="s">
        <v>423</v>
      </c>
      <c r="M8" s="95" t="s">
        <v>373</v>
      </c>
      <c r="N8" s="62"/>
      <c r="O8" s="52"/>
      <c r="P8" s="52" t="s">
        <v>569</v>
      </c>
      <c r="Q8" s="52"/>
      <c r="R8" s="60" t="s">
        <v>427</v>
      </c>
    </row>
    <row r="9" spans="1:18" s="60" customFormat="1" ht="192">
      <c r="A9" s="135">
        <v>8</v>
      </c>
      <c r="B9" s="53">
        <v>40300</v>
      </c>
      <c r="C9" s="54">
        <v>40300.166666666664</v>
      </c>
      <c r="D9" s="54" t="s">
        <v>133</v>
      </c>
      <c r="E9" s="61">
        <v>40300.166666666664</v>
      </c>
      <c r="F9" s="52" t="s">
        <v>1098</v>
      </c>
      <c r="G9" s="52" t="s">
        <v>425</v>
      </c>
      <c r="H9" s="62" t="s">
        <v>429</v>
      </c>
      <c r="I9" s="52" t="s">
        <v>1360</v>
      </c>
      <c r="J9" s="62" t="s">
        <v>426</v>
      </c>
      <c r="K9" s="52" t="s">
        <v>373</v>
      </c>
      <c r="L9" s="62" t="s">
        <v>423</v>
      </c>
      <c r="M9" s="95" t="s">
        <v>373</v>
      </c>
      <c r="N9" s="62"/>
      <c r="O9" s="52"/>
      <c r="P9" s="52" t="s">
        <v>570</v>
      </c>
      <c r="Q9" s="52"/>
      <c r="R9" s="60" t="s">
        <v>427</v>
      </c>
    </row>
    <row r="10" spans="1:18" s="60" customFormat="1">
      <c r="A10" s="135">
        <v>9</v>
      </c>
      <c r="B10" s="53">
        <v>40300.208333333336</v>
      </c>
      <c r="C10" s="81">
        <v>40300.208333333336</v>
      </c>
      <c r="D10" s="54" t="s">
        <v>133</v>
      </c>
      <c r="E10" s="80">
        <v>40300.208333333336</v>
      </c>
      <c r="F10" s="93" t="s">
        <v>1098</v>
      </c>
      <c r="G10" s="52"/>
      <c r="H10" s="52"/>
      <c r="I10" s="52"/>
      <c r="J10" s="52"/>
      <c r="K10" s="52" t="s">
        <v>374</v>
      </c>
      <c r="L10" s="52"/>
      <c r="M10" s="95" t="s">
        <v>374</v>
      </c>
      <c r="N10" s="52"/>
      <c r="O10" s="52"/>
      <c r="P10" s="52"/>
      <c r="Q10" s="52"/>
      <c r="R10" s="60" t="s">
        <v>891</v>
      </c>
    </row>
    <row r="11" spans="1:18" s="60" customFormat="1" ht="168">
      <c r="A11" s="135">
        <v>10</v>
      </c>
      <c r="B11" s="53">
        <v>40300</v>
      </c>
      <c r="C11" s="54">
        <v>40300.416666666664</v>
      </c>
      <c r="D11" s="54" t="s">
        <v>133</v>
      </c>
      <c r="E11" s="61">
        <v>40300.416666666664</v>
      </c>
      <c r="F11" s="52" t="s">
        <v>1098</v>
      </c>
      <c r="G11" s="52" t="s">
        <v>425</v>
      </c>
      <c r="H11" s="62" t="s">
        <v>429</v>
      </c>
      <c r="I11" s="52" t="s">
        <v>1360</v>
      </c>
      <c r="J11" s="62" t="s">
        <v>426</v>
      </c>
      <c r="K11" s="52" t="s">
        <v>375</v>
      </c>
      <c r="L11" s="62" t="s">
        <v>423</v>
      </c>
      <c r="M11" s="95" t="s">
        <v>375</v>
      </c>
      <c r="N11" s="62"/>
      <c r="O11" s="52"/>
      <c r="P11" s="52" t="s">
        <v>571</v>
      </c>
      <c r="Q11" s="52"/>
      <c r="R11" s="60" t="s">
        <v>427</v>
      </c>
    </row>
    <row r="12" spans="1:18" s="60" customFormat="1" ht="36">
      <c r="A12" s="135">
        <v>11</v>
      </c>
      <c r="B12" s="53">
        <v>40300</v>
      </c>
      <c r="C12" s="63">
        <v>0.5</v>
      </c>
      <c r="D12" s="54" t="s">
        <v>133</v>
      </c>
      <c r="E12" s="55">
        <v>40300.5</v>
      </c>
      <c r="F12" s="52" t="s">
        <v>430</v>
      </c>
      <c r="G12" s="64" t="s">
        <v>425</v>
      </c>
      <c r="H12" s="64" t="s">
        <v>431</v>
      </c>
      <c r="I12" s="52" t="s">
        <v>432</v>
      </c>
      <c r="J12" s="52" t="s">
        <v>433</v>
      </c>
      <c r="K12" s="52"/>
      <c r="L12" s="52"/>
      <c r="M12" s="95" t="s">
        <v>434</v>
      </c>
      <c r="N12" s="52" t="s">
        <v>435</v>
      </c>
      <c r="O12" s="52"/>
      <c r="P12" s="52" t="s">
        <v>436</v>
      </c>
      <c r="Q12" s="52"/>
      <c r="R12" s="60" t="s">
        <v>437</v>
      </c>
    </row>
    <row r="13" spans="1:18" s="60" customFormat="1" ht="180">
      <c r="A13" s="135">
        <v>12</v>
      </c>
      <c r="B13" s="53">
        <v>40300</v>
      </c>
      <c r="C13" s="54">
        <v>40300.666666666664</v>
      </c>
      <c r="D13" s="54" t="s">
        <v>133</v>
      </c>
      <c r="E13" s="61">
        <v>40300.666666666664</v>
      </c>
      <c r="F13" s="52" t="s">
        <v>1098</v>
      </c>
      <c r="G13" s="52" t="s">
        <v>425</v>
      </c>
      <c r="H13" s="62" t="s">
        <v>429</v>
      </c>
      <c r="I13" s="52" t="s">
        <v>1360</v>
      </c>
      <c r="J13" s="62" t="s">
        <v>426</v>
      </c>
      <c r="K13" s="52" t="s">
        <v>376</v>
      </c>
      <c r="L13" s="62" t="s">
        <v>423</v>
      </c>
      <c r="M13" s="95" t="s">
        <v>376</v>
      </c>
      <c r="N13" s="62"/>
      <c r="O13" s="52"/>
      <c r="P13" s="52" t="s">
        <v>573</v>
      </c>
      <c r="Q13" s="52"/>
      <c r="R13" s="60" t="s">
        <v>427</v>
      </c>
    </row>
    <row r="14" spans="1:18" s="60" customFormat="1" ht="168">
      <c r="A14" s="135">
        <v>13</v>
      </c>
      <c r="B14" s="53">
        <v>40300</v>
      </c>
      <c r="C14" s="54">
        <v>40300.916666666664</v>
      </c>
      <c r="D14" s="54" t="s">
        <v>133</v>
      </c>
      <c r="E14" s="61">
        <v>40300.916666666664</v>
      </c>
      <c r="F14" s="60" t="s">
        <v>1098</v>
      </c>
      <c r="G14" s="52" t="s">
        <v>425</v>
      </c>
      <c r="H14" s="62" t="s">
        <v>429</v>
      </c>
      <c r="I14" s="52" t="s">
        <v>1360</v>
      </c>
      <c r="J14" s="62" t="s">
        <v>426</v>
      </c>
      <c r="K14" s="52" t="s">
        <v>377</v>
      </c>
      <c r="L14" s="62" t="s">
        <v>423</v>
      </c>
      <c r="M14" s="95" t="s">
        <v>377</v>
      </c>
      <c r="N14" s="62"/>
      <c r="O14" s="52"/>
      <c r="P14" s="52" t="s">
        <v>566</v>
      </c>
      <c r="Q14" s="52"/>
      <c r="R14" s="60" t="s">
        <v>427</v>
      </c>
    </row>
    <row r="15" spans="1:18" s="60" customFormat="1" ht="168">
      <c r="A15" s="135">
        <v>14</v>
      </c>
      <c r="B15" s="53">
        <v>40301</v>
      </c>
      <c r="C15" s="54">
        <v>40301.166666666664</v>
      </c>
      <c r="D15" s="54" t="s">
        <v>133</v>
      </c>
      <c r="E15" s="61">
        <v>40301.166666666664</v>
      </c>
      <c r="F15" s="52" t="s">
        <v>1098</v>
      </c>
      <c r="G15" s="52" t="s">
        <v>425</v>
      </c>
      <c r="H15" s="62" t="s">
        <v>429</v>
      </c>
      <c r="I15" s="52" t="s">
        <v>1360</v>
      </c>
      <c r="J15" s="62" t="s">
        <v>426</v>
      </c>
      <c r="K15" s="52" t="s">
        <v>378</v>
      </c>
      <c r="L15" s="62" t="s">
        <v>423</v>
      </c>
      <c r="M15" s="95" t="s">
        <v>378</v>
      </c>
      <c r="N15" s="62"/>
      <c r="O15" s="52"/>
      <c r="P15" s="52" t="s">
        <v>567</v>
      </c>
      <c r="Q15" s="52"/>
      <c r="R15" s="60" t="s">
        <v>427</v>
      </c>
    </row>
    <row r="16" spans="1:18" s="60" customFormat="1" ht="48">
      <c r="A16" s="135">
        <v>15</v>
      </c>
      <c r="B16" s="53"/>
      <c r="C16" s="81"/>
      <c r="D16" s="54" t="s">
        <v>136</v>
      </c>
      <c r="E16" s="138">
        <v>40301.208333333336</v>
      </c>
      <c r="F16" s="122" t="s">
        <v>1584</v>
      </c>
      <c r="G16" s="124" t="s">
        <v>1580</v>
      </c>
      <c r="H16" s="52"/>
      <c r="I16" s="52"/>
      <c r="J16" s="52"/>
      <c r="K16" s="52"/>
      <c r="L16" s="52"/>
      <c r="M16" s="52"/>
      <c r="N16" s="52"/>
      <c r="O16" s="52"/>
      <c r="P16" s="52"/>
      <c r="Q16" s="52"/>
      <c r="R16" s="60" t="s">
        <v>1581</v>
      </c>
    </row>
    <row r="17" spans="1:18" s="60" customFormat="1" ht="48">
      <c r="A17" s="135">
        <v>16</v>
      </c>
      <c r="B17" s="53"/>
      <c r="C17" s="81"/>
      <c r="D17" s="54" t="s">
        <v>136</v>
      </c>
      <c r="E17" s="138">
        <v>40301.208333333336</v>
      </c>
      <c r="F17" s="122" t="s">
        <v>1562</v>
      </c>
      <c r="G17" s="124" t="s">
        <v>1580</v>
      </c>
      <c r="H17" s="52"/>
      <c r="I17" s="52"/>
      <c r="J17" s="52"/>
      <c r="K17" s="52"/>
      <c r="L17" s="52"/>
      <c r="M17" s="52"/>
      <c r="N17" s="52"/>
      <c r="O17" s="52"/>
      <c r="P17" s="52"/>
      <c r="Q17" s="52"/>
      <c r="R17" s="60" t="s">
        <v>1581</v>
      </c>
    </row>
    <row r="18" spans="1:18" s="60" customFormat="1">
      <c r="A18" s="135">
        <v>17</v>
      </c>
      <c r="B18" s="53">
        <v>40301</v>
      </c>
      <c r="C18" s="54">
        <v>40301.291666666664</v>
      </c>
      <c r="D18" s="54" t="s">
        <v>133</v>
      </c>
      <c r="E18" s="61">
        <v>40301.292361111111</v>
      </c>
      <c r="F18" s="65" t="s">
        <v>1101</v>
      </c>
      <c r="G18" s="52" t="s">
        <v>1188</v>
      </c>
      <c r="H18" s="62" t="s">
        <v>801</v>
      </c>
      <c r="I18" s="52" t="s">
        <v>801</v>
      </c>
      <c r="J18" s="62" t="s">
        <v>668</v>
      </c>
      <c r="K18" s="52"/>
      <c r="L18" s="62"/>
      <c r="M18" s="96" t="s">
        <v>1100</v>
      </c>
      <c r="N18" s="62"/>
      <c r="O18" s="52"/>
      <c r="P18" s="65" t="s">
        <v>1100</v>
      </c>
      <c r="Q18" s="52"/>
      <c r="R18" s="60" t="s">
        <v>427</v>
      </c>
    </row>
    <row r="19" spans="1:18" s="60" customFormat="1" ht="84">
      <c r="A19" s="135">
        <v>18</v>
      </c>
      <c r="B19" s="53">
        <v>40301.3125</v>
      </c>
      <c r="C19" s="54">
        <v>40301.3125</v>
      </c>
      <c r="D19" s="54" t="s">
        <v>133</v>
      </c>
      <c r="E19" s="61">
        <v>40301.313194444447</v>
      </c>
      <c r="F19" s="52" t="s">
        <v>1530</v>
      </c>
      <c r="G19" s="52" t="s">
        <v>793</v>
      </c>
      <c r="H19" s="62" t="s">
        <v>794</v>
      </c>
      <c r="I19" s="52" t="s">
        <v>1362</v>
      </c>
      <c r="J19" s="62" t="s">
        <v>796</v>
      </c>
      <c r="K19" s="52" t="s">
        <v>797</v>
      </c>
      <c r="L19" s="62"/>
      <c r="M19" s="95" t="s">
        <v>892</v>
      </c>
      <c r="N19" s="62"/>
      <c r="O19" s="52" t="s">
        <v>90</v>
      </c>
      <c r="P19" s="52" t="s">
        <v>1575</v>
      </c>
      <c r="Q19" s="52"/>
      <c r="R19" s="60" t="s">
        <v>891</v>
      </c>
    </row>
    <row r="20" spans="1:18" s="60" customFormat="1">
      <c r="A20" s="135">
        <v>19</v>
      </c>
      <c r="B20" s="53"/>
      <c r="C20" s="54"/>
      <c r="D20" s="54" t="s">
        <v>133</v>
      </c>
      <c r="E20" s="61">
        <v>40301.313888888886</v>
      </c>
      <c r="F20" s="52" t="s">
        <v>1161</v>
      </c>
      <c r="G20" s="52" t="s">
        <v>1188</v>
      </c>
      <c r="H20" s="52" t="s">
        <v>1164</v>
      </c>
      <c r="I20" s="52" t="s">
        <v>801</v>
      </c>
      <c r="J20" s="52" t="s">
        <v>668</v>
      </c>
      <c r="K20" s="52"/>
      <c r="L20" s="52">
        <v>5</v>
      </c>
      <c r="M20" s="95" t="s">
        <v>1147</v>
      </c>
      <c r="N20" s="52"/>
      <c r="O20" s="52"/>
      <c r="P20" s="52" t="s">
        <v>1147</v>
      </c>
      <c r="Q20" s="52"/>
      <c r="R20" s="60" t="s">
        <v>427</v>
      </c>
    </row>
    <row r="21" spans="1:18" s="60" customFormat="1" ht="48">
      <c r="A21" s="135">
        <v>20</v>
      </c>
      <c r="B21" s="53"/>
      <c r="C21" s="54"/>
      <c r="D21" s="54" t="s">
        <v>133</v>
      </c>
      <c r="E21" s="61">
        <v>40301.333333333336</v>
      </c>
      <c r="F21" s="65" t="s">
        <v>1186</v>
      </c>
      <c r="G21" s="52" t="s">
        <v>394</v>
      </c>
      <c r="H21" s="62" t="s">
        <v>593</v>
      </c>
      <c r="I21" s="52" t="s">
        <v>1364</v>
      </c>
      <c r="J21" s="62" t="s">
        <v>1185</v>
      </c>
      <c r="K21" s="52"/>
      <c r="L21" s="62"/>
      <c r="M21" s="95" t="s">
        <v>1531</v>
      </c>
      <c r="N21" s="62"/>
      <c r="O21" s="52"/>
      <c r="P21" s="65" t="s">
        <v>1184</v>
      </c>
      <c r="Q21" s="52"/>
      <c r="R21" s="60" t="s">
        <v>427</v>
      </c>
    </row>
    <row r="22" spans="1:18" s="60" customFormat="1" ht="24">
      <c r="A22" s="135">
        <v>21</v>
      </c>
      <c r="B22" s="53">
        <v>40301</v>
      </c>
      <c r="C22" s="63">
        <v>0.33333333333333331</v>
      </c>
      <c r="D22" s="54" t="s">
        <v>133</v>
      </c>
      <c r="E22" s="55">
        <v>40301.334722222222</v>
      </c>
      <c r="F22" s="52" t="s">
        <v>1532</v>
      </c>
      <c r="G22" s="64" t="s">
        <v>425</v>
      </c>
      <c r="H22" s="64" t="s">
        <v>592</v>
      </c>
      <c r="I22" s="52" t="s">
        <v>801</v>
      </c>
      <c r="J22" s="52" t="s">
        <v>594</v>
      </c>
      <c r="K22" s="52" t="s">
        <v>598</v>
      </c>
      <c r="L22" s="52"/>
      <c r="M22" s="95" t="s">
        <v>599</v>
      </c>
      <c r="N22" s="52" t="s">
        <v>600</v>
      </c>
      <c r="O22" s="52"/>
      <c r="P22" s="52" t="s">
        <v>602</v>
      </c>
      <c r="Q22" s="52"/>
      <c r="R22" s="60" t="s">
        <v>597</v>
      </c>
    </row>
    <row r="23" spans="1:18" s="60" customFormat="1" ht="36">
      <c r="A23" s="135">
        <v>22</v>
      </c>
      <c r="B23" s="53">
        <v>40301</v>
      </c>
      <c r="C23" s="63">
        <v>0.33333333333333331</v>
      </c>
      <c r="D23" s="54" t="s">
        <v>133</v>
      </c>
      <c r="E23" s="55">
        <v>40301.335416666669</v>
      </c>
      <c r="F23" s="52" t="s">
        <v>1533</v>
      </c>
      <c r="G23" s="64" t="s">
        <v>425</v>
      </c>
      <c r="H23" s="64" t="s">
        <v>592</v>
      </c>
      <c r="I23" s="52" t="s">
        <v>801</v>
      </c>
      <c r="J23" s="52" t="s">
        <v>594</v>
      </c>
      <c r="K23" s="52" t="s">
        <v>603</v>
      </c>
      <c r="L23" s="52"/>
      <c r="M23" s="95" t="s">
        <v>604</v>
      </c>
      <c r="N23" s="52" t="s">
        <v>600</v>
      </c>
      <c r="O23" s="52"/>
      <c r="P23" s="52" t="s">
        <v>605</v>
      </c>
      <c r="Q23" s="52"/>
      <c r="R23" s="60" t="s">
        <v>597</v>
      </c>
    </row>
    <row r="24" spans="1:18" s="60" customFormat="1" ht="48">
      <c r="A24" s="135">
        <v>23</v>
      </c>
      <c r="B24" s="53">
        <v>40301</v>
      </c>
      <c r="C24" s="63">
        <v>0.35416666666666669</v>
      </c>
      <c r="D24" s="54" t="s">
        <v>134</v>
      </c>
      <c r="E24" s="55">
        <v>40301.354166666664</v>
      </c>
      <c r="F24" s="52" t="s">
        <v>1098</v>
      </c>
      <c r="G24" s="64" t="s">
        <v>394</v>
      </c>
      <c r="H24" s="64" t="s">
        <v>606</v>
      </c>
      <c r="I24" s="52" t="s">
        <v>1363</v>
      </c>
      <c r="J24" s="52" t="s">
        <v>608</v>
      </c>
      <c r="K24" s="52" t="s">
        <v>612</v>
      </c>
      <c r="L24" s="52"/>
      <c r="M24" s="95" t="s">
        <v>609</v>
      </c>
      <c r="N24" s="52" t="s">
        <v>610</v>
      </c>
      <c r="O24" s="52"/>
      <c r="P24" s="52" t="s">
        <v>611</v>
      </c>
      <c r="Q24" s="52"/>
      <c r="R24" s="60" t="s">
        <v>597</v>
      </c>
    </row>
    <row r="25" spans="1:18" s="60" customFormat="1">
      <c r="A25" s="135">
        <v>24</v>
      </c>
      <c r="B25" s="53"/>
      <c r="C25" s="54"/>
      <c r="D25" s="54" t="s">
        <v>133</v>
      </c>
      <c r="E25" s="80">
        <v>40301.375694444447</v>
      </c>
      <c r="F25" s="52" t="s">
        <v>1098</v>
      </c>
      <c r="G25" s="52" t="s">
        <v>425</v>
      </c>
      <c r="H25" s="62" t="s">
        <v>652</v>
      </c>
      <c r="I25" s="52" t="s">
        <v>1365</v>
      </c>
      <c r="J25" s="62" t="s">
        <v>668</v>
      </c>
      <c r="K25" s="52" t="s">
        <v>1534</v>
      </c>
      <c r="L25" s="62"/>
      <c r="M25" s="95"/>
      <c r="N25" s="62"/>
      <c r="O25" s="52"/>
      <c r="P25" s="52"/>
      <c r="Q25" s="52"/>
      <c r="R25" s="60" t="s">
        <v>657</v>
      </c>
    </row>
    <row r="26" spans="1:18" s="60" customFormat="1" ht="24">
      <c r="A26" s="135">
        <v>25</v>
      </c>
      <c r="B26" s="53">
        <v>40301</v>
      </c>
      <c r="C26" s="63">
        <v>0.375</v>
      </c>
      <c r="D26" s="54" t="s">
        <v>133</v>
      </c>
      <c r="E26" s="55">
        <v>40301.376388888893</v>
      </c>
      <c r="F26" s="52" t="s">
        <v>1098</v>
      </c>
      <c r="G26" s="64" t="s">
        <v>394</v>
      </c>
      <c r="H26" s="64" t="s">
        <v>582</v>
      </c>
      <c r="I26" s="52" t="s">
        <v>801</v>
      </c>
      <c r="J26" s="52" t="s">
        <v>594</v>
      </c>
      <c r="K26" s="52" t="s">
        <v>581</v>
      </c>
      <c r="L26" s="52"/>
      <c r="M26" s="95" t="s">
        <v>1535</v>
      </c>
      <c r="N26" s="52" t="s">
        <v>584</v>
      </c>
      <c r="O26" s="52"/>
      <c r="P26" s="52" t="s">
        <v>1492</v>
      </c>
      <c r="Q26" s="52"/>
      <c r="R26" s="60" t="s">
        <v>597</v>
      </c>
    </row>
    <row r="27" spans="1:18" s="60" customFormat="1">
      <c r="A27" s="135">
        <v>26</v>
      </c>
      <c r="B27" s="53"/>
      <c r="C27" s="54"/>
      <c r="D27" s="54" t="s">
        <v>133</v>
      </c>
      <c r="E27" s="80">
        <v>40301.37708333334</v>
      </c>
      <c r="F27" s="52" t="s">
        <v>1098</v>
      </c>
      <c r="G27" s="52" t="s">
        <v>425</v>
      </c>
      <c r="H27" s="62" t="s">
        <v>649</v>
      </c>
      <c r="I27" s="52" t="s">
        <v>1365</v>
      </c>
      <c r="J27" s="62" t="s">
        <v>668</v>
      </c>
      <c r="K27" s="52" t="s">
        <v>650</v>
      </c>
      <c r="L27" s="62"/>
      <c r="M27" s="95"/>
      <c r="N27" s="62"/>
      <c r="O27" s="52"/>
      <c r="P27" s="52"/>
      <c r="Q27" s="52"/>
      <c r="R27" s="60" t="s">
        <v>657</v>
      </c>
    </row>
    <row r="28" spans="1:18" s="60" customFormat="1">
      <c r="A28" s="135">
        <v>27</v>
      </c>
      <c r="B28" s="53"/>
      <c r="C28" s="54"/>
      <c r="D28" s="54" t="s">
        <v>133</v>
      </c>
      <c r="E28" s="80">
        <v>40301.377777777787</v>
      </c>
      <c r="F28" s="52" t="s">
        <v>430</v>
      </c>
      <c r="G28" s="52" t="s">
        <v>652</v>
      </c>
      <c r="H28" s="62" t="s">
        <v>652</v>
      </c>
      <c r="I28" s="52" t="s">
        <v>1365</v>
      </c>
      <c r="J28" s="62" t="s">
        <v>668</v>
      </c>
      <c r="K28" s="52" t="s">
        <v>653</v>
      </c>
      <c r="L28" s="62"/>
      <c r="M28" s="52" t="s">
        <v>651</v>
      </c>
      <c r="N28" s="62"/>
      <c r="O28" s="52"/>
      <c r="P28" s="52"/>
      <c r="Q28" s="52"/>
      <c r="R28" s="60" t="s">
        <v>657</v>
      </c>
    </row>
    <row r="29" spans="1:18" s="60" customFormat="1" ht="48">
      <c r="A29" s="135">
        <v>28</v>
      </c>
      <c r="B29" s="53">
        <v>40301</v>
      </c>
      <c r="C29" s="54"/>
      <c r="D29" s="54" t="s">
        <v>133</v>
      </c>
      <c r="E29" s="68">
        <v>40301.378472222234</v>
      </c>
      <c r="F29" s="65" t="s">
        <v>1098</v>
      </c>
      <c r="G29" s="52"/>
      <c r="H29" s="62"/>
      <c r="I29" s="52" t="s">
        <v>801</v>
      </c>
      <c r="J29" s="62"/>
      <c r="K29" s="52"/>
      <c r="L29" s="62"/>
      <c r="M29" s="65" t="s">
        <v>1491</v>
      </c>
      <c r="N29" s="62"/>
      <c r="O29" s="52"/>
      <c r="P29" s="65" t="s">
        <v>1491</v>
      </c>
      <c r="Q29" s="52"/>
      <c r="R29" s="60" t="s">
        <v>427</v>
      </c>
    </row>
    <row r="30" spans="1:18" s="60" customFormat="1" ht="36">
      <c r="A30" s="135">
        <v>29</v>
      </c>
      <c r="B30" s="53">
        <v>40301</v>
      </c>
      <c r="C30" s="54">
        <v>40301.375</v>
      </c>
      <c r="D30" s="54" t="s">
        <v>133</v>
      </c>
      <c r="E30" s="61">
        <v>40301.37916666668</v>
      </c>
      <c r="F30" s="52" t="s">
        <v>1161</v>
      </c>
      <c r="G30" s="52" t="s">
        <v>425</v>
      </c>
      <c r="H30" s="66" t="s">
        <v>1180</v>
      </c>
      <c r="I30" s="65" t="s">
        <v>1366</v>
      </c>
      <c r="J30" s="65" t="s">
        <v>1178</v>
      </c>
      <c r="K30" s="52"/>
      <c r="L30" s="67"/>
      <c r="M30" s="76" t="s">
        <v>1176</v>
      </c>
      <c r="N30" s="67"/>
      <c r="O30" s="65"/>
      <c r="P30" s="76" t="s">
        <v>1176</v>
      </c>
      <c r="Q30" s="67" t="s">
        <v>1179</v>
      </c>
      <c r="R30" s="60" t="s">
        <v>427</v>
      </c>
    </row>
    <row r="31" spans="1:18" s="60" customFormat="1" ht="36">
      <c r="A31" s="135">
        <v>30</v>
      </c>
      <c r="B31" s="53">
        <v>40301</v>
      </c>
      <c r="C31" s="81"/>
      <c r="D31" s="54" t="s">
        <v>133</v>
      </c>
      <c r="E31" s="68">
        <v>40301.380555555574</v>
      </c>
      <c r="F31" s="60" t="s">
        <v>1489</v>
      </c>
      <c r="G31" s="52"/>
      <c r="I31" s="52" t="s">
        <v>801</v>
      </c>
      <c r="J31" s="62"/>
      <c r="K31" s="52"/>
      <c r="L31" s="62"/>
      <c r="M31" s="65" t="s">
        <v>1460</v>
      </c>
      <c r="N31" s="62"/>
      <c r="O31" s="52"/>
      <c r="P31" s="65" t="s">
        <v>1461</v>
      </c>
      <c r="Q31" s="52"/>
      <c r="R31" s="60" t="s">
        <v>427</v>
      </c>
    </row>
    <row r="32" spans="1:18" s="60" customFormat="1" ht="24">
      <c r="A32" s="135">
        <v>31</v>
      </c>
      <c r="B32" s="53">
        <v>40301</v>
      </c>
      <c r="C32" s="54"/>
      <c r="D32" s="54" t="s">
        <v>133</v>
      </c>
      <c r="E32" s="68">
        <v>40301.38125000002</v>
      </c>
      <c r="F32" s="52" t="s">
        <v>1098</v>
      </c>
      <c r="G32" s="52"/>
      <c r="H32" s="62"/>
      <c r="I32" s="52" t="s">
        <v>1360</v>
      </c>
      <c r="J32" s="62"/>
      <c r="K32" s="52"/>
      <c r="L32" s="62"/>
      <c r="M32" s="65" t="s">
        <v>1560</v>
      </c>
      <c r="N32" s="62"/>
      <c r="O32" s="52"/>
      <c r="P32" s="65" t="s">
        <v>1560</v>
      </c>
      <c r="Q32" s="52"/>
      <c r="R32" s="60" t="s">
        <v>427</v>
      </c>
    </row>
    <row r="33" spans="1:18" s="60" customFormat="1" ht="48">
      <c r="A33" s="135">
        <v>32</v>
      </c>
      <c r="B33" s="102"/>
      <c r="C33" s="103"/>
      <c r="D33" s="54" t="s">
        <v>133</v>
      </c>
      <c r="E33" s="104">
        <v>40301.385416666664</v>
      </c>
      <c r="F33" s="105" t="s">
        <v>1098</v>
      </c>
      <c r="G33" s="105" t="s">
        <v>425</v>
      </c>
      <c r="H33" s="105" t="s">
        <v>153</v>
      </c>
      <c r="I33" s="101" t="s">
        <v>1367</v>
      </c>
      <c r="J33" s="105" t="s">
        <v>156</v>
      </c>
      <c r="K33" s="78" t="s">
        <v>154</v>
      </c>
      <c r="L33" s="101"/>
      <c r="M33" s="105" t="s">
        <v>154</v>
      </c>
      <c r="N33" s="101"/>
      <c r="O33" s="101"/>
      <c r="P33" s="105" t="s">
        <v>154</v>
      </c>
      <c r="Q33" s="101"/>
      <c r="R33" s="105" t="s">
        <v>1267</v>
      </c>
    </row>
    <row r="34" spans="1:18" s="60" customFormat="1" ht="120">
      <c r="A34" s="135">
        <v>33</v>
      </c>
      <c r="B34" s="53"/>
      <c r="C34" s="81"/>
      <c r="D34" s="54" t="s">
        <v>133</v>
      </c>
      <c r="E34" s="80">
        <v>40301.385416666664</v>
      </c>
      <c r="F34" s="119"/>
      <c r="G34" s="52"/>
      <c r="H34" s="52"/>
      <c r="I34" s="52" t="s">
        <v>158</v>
      </c>
      <c r="J34" s="52" t="s">
        <v>159</v>
      </c>
      <c r="K34" s="95" t="s">
        <v>1386</v>
      </c>
      <c r="L34" s="52"/>
      <c r="M34" s="52"/>
      <c r="N34" s="52"/>
      <c r="O34" s="52" t="s">
        <v>162</v>
      </c>
      <c r="P34" s="95" t="s">
        <v>1386</v>
      </c>
      <c r="Q34" s="52"/>
      <c r="R34" s="60" t="s">
        <v>1314</v>
      </c>
    </row>
    <row r="35" spans="1:18" s="60" customFormat="1" ht="96">
      <c r="A35" s="135">
        <v>34</v>
      </c>
      <c r="B35" s="102"/>
      <c r="C35" s="103"/>
      <c r="D35" s="54" t="s">
        <v>133</v>
      </c>
      <c r="E35" s="104">
        <v>40301.386111111111</v>
      </c>
      <c r="F35" s="105" t="s">
        <v>1098</v>
      </c>
      <c r="G35" s="105" t="s">
        <v>151</v>
      </c>
      <c r="H35" s="105" t="s">
        <v>152</v>
      </c>
      <c r="I35" s="101" t="s">
        <v>1367</v>
      </c>
      <c r="J35" s="105" t="s">
        <v>155</v>
      </c>
      <c r="K35" s="78" t="s">
        <v>157</v>
      </c>
      <c r="L35" s="101"/>
      <c r="M35" s="78" t="s">
        <v>157</v>
      </c>
      <c r="N35" s="101"/>
      <c r="O35" s="101"/>
      <c r="P35" s="78" t="s">
        <v>157</v>
      </c>
      <c r="Q35" s="101"/>
      <c r="R35" s="105" t="s">
        <v>1267</v>
      </c>
    </row>
    <row r="36" spans="1:18" s="60" customFormat="1">
      <c r="A36" s="135">
        <v>35</v>
      </c>
      <c r="B36" s="53">
        <v>40301</v>
      </c>
      <c r="C36" s="54"/>
      <c r="D36" s="54" t="s">
        <v>133</v>
      </c>
      <c r="E36" s="68">
        <v>40301.386805555594</v>
      </c>
      <c r="F36" s="52" t="s">
        <v>1098</v>
      </c>
      <c r="G36" s="52"/>
      <c r="H36" s="62"/>
      <c r="I36" s="52" t="s">
        <v>801</v>
      </c>
      <c r="J36" s="62"/>
      <c r="K36" s="52"/>
      <c r="L36" s="62"/>
      <c r="M36" s="65" t="s">
        <v>1146</v>
      </c>
      <c r="N36" s="62"/>
      <c r="O36" s="52"/>
      <c r="P36" s="65" t="s">
        <v>1146</v>
      </c>
      <c r="Q36" s="52"/>
      <c r="R36" s="60" t="s">
        <v>427</v>
      </c>
    </row>
    <row r="37" spans="1:18" s="60" customFormat="1" ht="192">
      <c r="A37" s="135">
        <v>36</v>
      </c>
      <c r="B37" s="53"/>
      <c r="C37" s="81"/>
      <c r="D37" s="54" t="s">
        <v>133</v>
      </c>
      <c r="E37" s="80">
        <v>40301.388888888891</v>
      </c>
      <c r="F37" s="119"/>
      <c r="G37" s="52"/>
      <c r="H37" s="52"/>
      <c r="I37" s="52" t="s">
        <v>158</v>
      </c>
      <c r="J37" s="52"/>
      <c r="K37" s="95" t="s">
        <v>1387</v>
      </c>
      <c r="L37" s="52"/>
      <c r="M37" s="52"/>
      <c r="N37" s="52"/>
      <c r="O37" s="52" t="s">
        <v>122</v>
      </c>
      <c r="P37" s="95" t="s">
        <v>1387</v>
      </c>
      <c r="Q37" s="52"/>
      <c r="R37" s="60" t="s">
        <v>1314</v>
      </c>
    </row>
    <row r="38" spans="1:18" s="60" customFormat="1" ht="36">
      <c r="A38" s="135">
        <v>37</v>
      </c>
      <c r="B38" s="53">
        <v>40301</v>
      </c>
      <c r="C38" s="54"/>
      <c r="D38" s="54" t="s">
        <v>133</v>
      </c>
      <c r="E38" s="68">
        <v>40301.389583333381</v>
      </c>
      <c r="F38" s="52" t="s">
        <v>1098</v>
      </c>
      <c r="G38" s="52"/>
      <c r="H38" s="62"/>
      <c r="I38" s="52" t="s">
        <v>801</v>
      </c>
      <c r="J38" s="62"/>
      <c r="K38" s="52"/>
      <c r="L38" s="62"/>
      <c r="M38" s="65" t="s">
        <v>1493</v>
      </c>
      <c r="N38" s="62"/>
      <c r="O38" s="52"/>
      <c r="P38" s="65" t="s">
        <v>1493</v>
      </c>
      <c r="Q38" s="52"/>
      <c r="R38" s="60" t="s">
        <v>427</v>
      </c>
    </row>
    <row r="39" spans="1:18" s="60" customFormat="1" ht="24">
      <c r="A39" s="135">
        <v>38</v>
      </c>
      <c r="B39" s="53">
        <v>40301</v>
      </c>
      <c r="C39" s="54"/>
      <c r="D39" s="54" t="s">
        <v>133</v>
      </c>
      <c r="E39" s="68">
        <v>40301.390277777828</v>
      </c>
      <c r="F39" s="52" t="s">
        <v>1161</v>
      </c>
      <c r="G39" s="52"/>
      <c r="H39" s="62"/>
      <c r="I39" s="52" t="s">
        <v>801</v>
      </c>
      <c r="J39" s="62"/>
      <c r="K39" s="52"/>
      <c r="L39" s="62"/>
      <c r="M39" s="65" t="s">
        <v>1494</v>
      </c>
      <c r="N39" s="62"/>
      <c r="O39" s="52"/>
      <c r="P39" s="65" t="s">
        <v>1495</v>
      </c>
      <c r="Q39" s="52"/>
      <c r="R39" s="60" t="s">
        <v>427</v>
      </c>
    </row>
    <row r="40" spans="1:18" s="60" customFormat="1" ht="24">
      <c r="A40" s="135">
        <v>39</v>
      </c>
      <c r="B40" s="53"/>
      <c r="C40" s="81"/>
      <c r="D40" s="54" t="s">
        <v>136</v>
      </c>
      <c r="E40" s="80">
        <v>40301.392361111109</v>
      </c>
      <c r="F40" s="119"/>
      <c r="G40" s="52"/>
      <c r="H40" s="52"/>
      <c r="I40" s="52"/>
      <c r="J40" s="52"/>
      <c r="K40" s="95" t="s">
        <v>1388</v>
      </c>
      <c r="L40" s="52"/>
      <c r="M40" s="52"/>
      <c r="N40" s="52"/>
      <c r="O40" s="52"/>
      <c r="P40" s="95" t="s">
        <v>1388</v>
      </c>
      <c r="Q40" s="52"/>
    </row>
    <row r="41" spans="1:18" s="60" customFormat="1">
      <c r="A41" s="135">
        <v>40</v>
      </c>
      <c r="B41" s="53">
        <v>40301</v>
      </c>
      <c r="C41" s="54"/>
      <c r="D41" s="54" t="s">
        <v>133</v>
      </c>
      <c r="E41" s="68">
        <v>40301.395138888955</v>
      </c>
      <c r="F41" s="52" t="s">
        <v>1098</v>
      </c>
      <c r="G41" s="52"/>
      <c r="H41" s="62"/>
      <c r="I41" s="52" t="s">
        <v>1360</v>
      </c>
      <c r="J41" s="62"/>
      <c r="K41" s="52"/>
      <c r="L41" s="62"/>
      <c r="M41" s="65" t="s">
        <v>1155</v>
      </c>
      <c r="N41" s="62"/>
      <c r="O41" s="52"/>
      <c r="P41" s="65" t="s">
        <v>1155</v>
      </c>
      <c r="Q41" s="52"/>
      <c r="R41" s="60" t="s">
        <v>427</v>
      </c>
    </row>
    <row r="42" spans="1:18" s="60" customFormat="1" ht="36">
      <c r="A42" s="135">
        <v>41</v>
      </c>
      <c r="B42" s="53">
        <v>40301</v>
      </c>
      <c r="C42" s="54">
        <v>40301.375</v>
      </c>
      <c r="D42" s="54" t="s">
        <v>133</v>
      </c>
      <c r="E42" s="61">
        <v>40301.395833333336</v>
      </c>
      <c r="F42" s="52" t="s">
        <v>1161</v>
      </c>
      <c r="G42" s="52" t="s">
        <v>425</v>
      </c>
      <c r="H42" s="66" t="s">
        <v>1180</v>
      </c>
      <c r="I42" s="65" t="s">
        <v>801</v>
      </c>
      <c r="J42" s="65" t="s">
        <v>1178</v>
      </c>
      <c r="K42" s="52"/>
      <c r="L42" s="67"/>
      <c r="M42" s="76" t="s">
        <v>1177</v>
      </c>
      <c r="N42" s="67"/>
      <c r="O42" s="65"/>
      <c r="P42" s="76" t="s">
        <v>1177</v>
      </c>
      <c r="Q42" s="67" t="s">
        <v>1179</v>
      </c>
      <c r="R42" s="60" t="s">
        <v>427</v>
      </c>
    </row>
    <row r="43" spans="1:18" s="60" customFormat="1" ht="36">
      <c r="A43" s="135">
        <v>42</v>
      </c>
      <c r="B43" s="53">
        <v>40301</v>
      </c>
      <c r="C43" s="54">
        <v>40301.381944444445</v>
      </c>
      <c r="D43" s="54" t="s">
        <v>133</v>
      </c>
      <c r="E43" s="61">
        <v>40301.40625</v>
      </c>
      <c r="F43" s="65" t="s">
        <v>430</v>
      </c>
      <c r="G43" s="65" t="s">
        <v>1182</v>
      </c>
      <c r="H43" s="65" t="s">
        <v>1183</v>
      </c>
      <c r="I43" s="65" t="s">
        <v>1365</v>
      </c>
      <c r="J43" s="65" t="s">
        <v>668</v>
      </c>
      <c r="K43" s="52" t="s">
        <v>1536</v>
      </c>
      <c r="L43" s="67"/>
      <c r="M43" s="65" t="s">
        <v>1181</v>
      </c>
      <c r="N43" s="67"/>
      <c r="O43" s="65"/>
      <c r="P43" s="65" t="s">
        <v>1181</v>
      </c>
      <c r="Q43" s="67"/>
      <c r="R43" s="60" t="s">
        <v>427</v>
      </c>
    </row>
    <row r="44" spans="1:18" s="60" customFormat="1" ht="36">
      <c r="A44" s="135">
        <v>43</v>
      </c>
      <c r="B44" s="53">
        <v>40301</v>
      </c>
      <c r="C44" s="63">
        <v>0.41666666666666669</v>
      </c>
      <c r="D44" s="54" t="s">
        <v>134</v>
      </c>
      <c r="E44" s="55">
        <v>40301.416666666664</v>
      </c>
      <c r="F44" s="52" t="s">
        <v>1098</v>
      </c>
      <c r="G44" s="64" t="s">
        <v>425</v>
      </c>
      <c r="H44" s="64" t="s">
        <v>592</v>
      </c>
      <c r="I44" s="52" t="s">
        <v>801</v>
      </c>
      <c r="J44" s="52" t="s">
        <v>575</v>
      </c>
      <c r="K44" s="52"/>
      <c r="L44" s="52"/>
      <c r="M44" s="52" t="s">
        <v>577</v>
      </c>
      <c r="N44" s="52" t="s">
        <v>576</v>
      </c>
      <c r="O44" s="52"/>
      <c r="P44" s="52" t="s">
        <v>577</v>
      </c>
      <c r="Q44" s="52"/>
      <c r="R44" s="60" t="s">
        <v>597</v>
      </c>
    </row>
    <row r="45" spans="1:18" s="60" customFormat="1" ht="36">
      <c r="A45" s="135">
        <v>44</v>
      </c>
      <c r="B45" s="53"/>
      <c r="C45" s="81"/>
      <c r="D45" s="54" t="s">
        <v>136</v>
      </c>
      <c r="E45" s="138">
        <v>40301.416666666664</v>
      </c>
      <c r="F45" s="122" t="s">
        <v>1563</v>
      </c>
      <c r="G45" s="124" t="s">
        <v>1580</v>
      </c>
      <c r="H45" s="52"/>
      <c r="I45" s="52"/>
      <c r="J45" s="52"/>
      <c r="K45" s="52"/>
      <c r="L45" s="52"/>
      <c r="M45" s="52"/>
      <c r="N45" s="52"/>
      <c r="O45" s="52"/>
      <c r="P45" s="52"/>
      <c r="Q45" s="52"/>
      <c r="R45" s="60" t="s">
        <v>1581</v>
      </c>
    </row>
    <row r="46" spans="1:18" s="60" customFormat="1" ht="204">
      <c r="A46" s="135">
        <v>45</v>
      </c>
      <c r="B46" s="53">
        <v>40301</v>
      </c>
      <c r="C46" s="54">
        <v>40301.416666666664</v>
      </c>
      <c r="D46" s="54" t="s">
        <v>133</v>
      </c>
      <c r="E46" s="61">
        <v>40301.417361111111</v>
      </c>
      <c r="F46" s="52" t="s">
        <v>1098</v>
      </c>
      <c r="G46" s="52" t="s">
        <v>425</v>
      </c>
      <c r="H46" s="62" t="s">
        <v>429</v>
      </c>
      <c r="I46" s="52" t="s">
        <v>1360</v>
      </c>
      <c r="J46" s="62" t="s">
        <v>426</v>
      </c>
      <c r="K46" s="52" t="s">
        <v>379</v>
      </c>
      <c r="L46" s="62" t="s">
        <v>423</v>
      </c>
      <c r="M46" s="95" t="s">
        <v>379</v>
      </c>
      <c r="N46" s="62"/>
      <c r="O46" s="52"/>
      <c r="P46" s="52" t="s">
        <v>568</v>
      </c>
      <c r="Q46" s="52"/>
      <c r="R46" s="60" t="s">
        <v>427</v>
      </c>
    </row>
    <row r="47" spans="1:18" s="60" customFormat="1" ht="84">
      <c r="A47" s="135">
        <v>46</v>
      </c>
      <c r="B47" s="53">
        <v>40301</v>
      </c>
      <c r="C47" s="54"/>
      <c r="D47" s="54" t="s">
        <v>133</v>
      </c>
      <c r="E47" s="68">
        <v>40301.4375</v>
      </c>
      <c r="F47" s="52" t="s">
        <v>430</v>
      </c>
      <c r="G47" s="52" t="s">
        <v>394</v>
      </c>
      <c r="H47" s="62"/>
      <c r="I47" s="52" t="s">
        <v>160</v>
      </c>
      <c r="J47" s="62" t="s">
        <v>161</v>
      </c>
      <c r="K47" s="52" t="s">
        <v>1536</v>
      </c>
      <c r="L47" s="62"/>
      <c r="M47" s="65" t="s">
        <v>1561</v>
      </c>
      <c r="N47" s="62"/>
      <c r="O47" s="52" t="s">
        <v>109</v>
      </c>
      <c r="P47" s="65" t="s">
        <v>1561</v>
      </c>
      <c r="Q47" s="52"/>
      <c r="R47" s="60" t="s">
        <v>1314</v>
      </c>
    </row>
    <row r="48" spans="1:18" s="60" customFormat="1" ht="24">
      <c r="A48" s="135">
        <v>47</v>
      </c>
      <c r="B48" s="102"/>
      <c r="C48" s="103"/>
      <c r="D48" s="54" t="s">
        <v>133</v>
      </c>
      <c r="E48" s="106">
        <v>40301.447916666664</v>
      </c>
      <c r="F48" s="101" t="s">
        <v>1161</v>
      </c>
      <c r="G48" s="101" t="s">
        <v>425</v>
      </c>
      <c r="H48" s="101"/>
      <c r="I48" s="101" t="s">
        <v>1362</v>
      </c>
      <c r="J48" s="101"/>
      <c r="K48" s="52"/>
      <c r="L48" s="101"/>
      <c r="M48" s="107" t="s">
        <v>1196</v>
      </c>
      <c r="N48" s="101"/>
      <c r="O48" s="101"/>
      <c r="P48" s="101" t="s">
        <v>1292</v>
      </c>
      <c r="Q48" s="101"/>
      <c r="R48" s="101" t="s">
        <v>1294</v>
      </c>
    </row>
    <row r="49" spans="1:18" s="60" customFormat="1" ht="37.5" customHeight="1">
      <c r="A49" s="135">
        <v>48</v>
      </c>
      <c r="B49" s="53">
        <v>40301</v>
      </c>
      <c r="C49" s="54"/>
      <c r="D49" s="54" t="s">
        <v>132</v>
      </c>
      <c r="E49" s="68">
        <v>40301.458333333336</v>
      </c>
      <c r="F49" s="52" t="s">
        <v>430</v>
      </c>
      <c r="G49" s="52"/>
      <c r="H49" s="62"/>
      <c r="I49" s="52" t="s">
        <v>801</v>
      </c>
      <c r="J49" s="62"/>
      <c r="K49" s="52" t="s">
        <v>1536</v>
      </c>
      <c r="L49" s="62"/>
      <c r="M49" s="65" t="s">
        <v>1142</v>
      </c>
      <c r="N49" s="62"/>
      <c r="O49" s="52"/>
      <c r="P49" s="65" t="s">
        <v>1142</v>
      </c>
      <c r="Q49" s="52"/>
      <c r="R49" s="60" t="s">
        <v>427</v>
      </c>
    </row>
    <row r="50" spans="1:18" s="101" customFormat="1" ht="24">
      <c r="A50" s="135">
        <v>49</v>
      </c>
      <c r="B50" s="53">
        <v>40301</v>
      </c>
      <c r="C50" s="54"/>
      <c r="D50" s="54" t="s">
        <v>132</v>
      </c>
      <c r="E50" s="68">
        <v>40301.479166666664</v>
      </c>
      <c r="F50" s="52" t="s">
        <v>1576</v>
      </c>
      <c r="G50" s="52"/>
      <c r="H50" s="62"/>
      <c r="I50" s="52" t="s">
        <v>801</v>
      </c>
      <c r="J50" s="62"/>
      <c r="K50" s="52"/>
      <c r="L50" s="62"/>
      <c r="M50" s="65" t="s">
        <v>1537</v>
      </c>
      <c r="N50" s="62"/>
      <c r="O50" s="52"/>
      <c r="P50" s="65" t="s">
        <v>1143</v>
      </c>
      <c r="Q50" s="52"/>
      <c r="R50" s="60" t="s">
        <v>427</v>
      </c>
    </row>
    <row r="51" spans="1:18" s="101" customFormat="1" ht="24">
      <c r="A51" s="135">
        <v>50</v>
      </c>
      <c r="B51" s="53">
        <v>40301</v>
      </c>
      <c r="C51" s="54"/>
      <c r="D51" s="54" t="s">
        <v>132</v>
      </c>
      <c r="E51" s="68">
        <v>40301.499305555553</v>
      </c>
      <c r="F51" s="52" t="s">
        <v>1576</v>
      </c>
      <c r="G51" s="52"/>
      <c r="H51" s="62"/>
      <c r="I51" s="52" t="s">
        <v>801</v>
      </c>
      <c r="J51" s="62"/>
      <c r="K51" s="52"/>
      <c r="L51" s="62"/>
      <c r="M51" s="65" t="s">
        <v>1144</v>
      </c>
      <c r="N51" s="62"/>
      <c r="O51" s="52"/>
      <c r="P51" s="65" t="s">
        <v>1144</v>
      </c>
      <c r="Q51" s="52"/>
      <c r="R51" s="60" t="s">
        <v>427</v>
      </c>
    </row>
    <row r="52" spans="1:18" s="60" customFormat="1" ht="36">
      <c r="A52" s="135">
        <v>51</v>
      </c>
      <c r="B52" s="53">
        <v>40301</v>
      </c>
      <c r="C52" s="63">
        <v>0.5</v>
      </c>
      <c r="D52" s="54" t="s">
        <v>135</v>
      </c>
      <c r="E52" s="55">
        <v>40301.5</v>
      </c>
      <c r="F52" s="52" t="s">
        <v>430</v>
      </c>
      <c r="G52" s="64" t="s">
        <v>425</v>
      </c>
      <c r="H52" s="64" t="s">
        <v>431</v>
      </c>
      <c r="I52" s="52" t="s">
        <v>432</v>
      </c>
      <c r="J52" s="52" t="s">
        <v>433</v>
      </c>
      <c r="K52" s="52"/>
      <c r="L52" s="52"/>
      <c r="M52" s="95" t="s">
        <v>434</v>
      </c>
      <c r="N52" s="52" t="s">
        <v>435</v>
      </c>
      <c r="O52" s="52"/>
      <c r="P52" s="52" t="s">
        <v>436</v>
      </c>
      <c r="Q52" s="52"/>
      <c r="R52" s="60" t="s">
        <v>437</v>
      </c>
    </row>
    <row r="53" spans="1:18" s="60" customFormat="1" ht="24">
      <c r="A53" s="135">
        <v>52</v>
      </c>
      <c r="B53" s="53">
        <v>40301</v>
      </c>
      <c r="C53" s="54"/>
      <c r="D53" s="54" t="s">
        <v>132</v>
      </c>
      <c r="E53" s="68">
        <v>40301.520833333336</v>
      </c>
      <c r="F53" s="52" t="s">
        <v>1161</v>
      </c>
      <c r="G53" s="52"/>
      <c r="H53" s="62"/>
      <c r="I53" s="52" t="s">
        <v>801</v>
      </c>
      <c r="J53" s="62"/>
      <c r="K53" s="52"/>
      <c r="L53" s="62"/>
      <c r="M53" s="65" t="s">
        <v>1145</v>
      </c>
      <c r="N53" s="62"/>
      <c r="O53" s="52"/>
      <c r="P53" s="65" t="s">
        <v>1145</v>
      </c>
      <c r="Q53" s="52"/>
      <c r="R53" s="60" t="s">
        <v>427</v>
      </c>
    </row>
    <row r="54" spans="1:18" s="101" customFormat="1" ht="24">
      <c r="A54" s="135">
        <v>53</v>
      </c>
      <c r="B54" s="53">
        <v>40301</v>
      </c>
      <c r="C54" s="54"/>
      <c r="D54" s="54" t="s">
        <v>132</v>
      </c>
      <c r="E54" s="68">
        <v>40301.541666666664</v>
      </c>
      <c r="F54" s="52" t="s">
        <v>1576</v>
      </c>
      <c r="G54" s="52"/>
      <c r="H54" s="62"/>
      <c r="I54" s="52" t="s">
        <v>801</v>
      </c>
      <c r="J54" s="62"/>
      <c r="K54" s="52"/>
      <c r="L54" s="62"/>
      <c r="M54" s="65" t="s">
        <v>1538</v>
      </c>
      <c r="N54" s="62"/>
      <c r="O54" s="52"/>
      <c r="P54" s="65" t="s">
        <v>1230</v>
      </c>
      <c r="Q54" s="52"/>
      <c r="R54" s="60" t="s">
        <v>427</v>
      </c>
    </row>
    <row r="55" spans="1:18" s="60" customFormat="1" ht="36">
      <c r="A55" s="135">
        <v>54</v>
      </c>
      <c r="B55" s="53"/>
      <c r="C55" s="54"/>
      <c r="D55" s="54" t="s">
        <v>133</v>
      </c>
      <c r="E55" s="80">
        <v>40301.542361111111</v>
      </c>
      <c r="F55" s="60" t="s">
        <v>430</v>
      </c>
      <c r="G55" s="52" t="s">
        <v>425</v>
      </c>
      <c r="H55" s="62"/>
      <c r="I55" s="52" t="s">
        <v>1361</v>
      </c>
      <c r="J55" s="62"/>
      <c r="K55" s="52" t="s">
        <v>1541</v>
      </c>
      <c r="L55" s="62"/>
      <c r="M55" s="95"/>
      <c r="N55" s="62" t="s">
        <v>786</v>
      </c>
      <c r="O55" s="52"/>
      <c r="P55" s="60" t="s">
        <v>813</v>
      </c>
      <c r="Q55" s="52"/>
      <c r="R55" s="60" t="s">
        <v>810</v>
      </c>
    </row>
    <row r="56" spans="1:18" s="60" customFormat="1">
      <c r="A56" s="135">
        <v>55</v>
      </c>
      <c r="B56" s="53">
        <v>40301</v>
      </c>
      <c r="C56" s="54"/>
      <c r="D56" s="54" t="s">
        <v>133</v>
      </c>
      <c r="E56" s="68">
        <v>40301.583333333336</v>
      </c>
      <c r="F56" s="52" t="s">
        <v>1161</v>
      </c>
      <c r="G56" s="52"/>
      <c r="H56" s="62"/>
      <c r="I56" s="52" t="s">
        <v>801</v>
      </c>
      <c r="J56" s="62"/>
      <c r="K56" s="52"/>
      <c r="L56" s="62" t="s">
        <v>1156</v>
      </c>
      <c r="M56" s="65" t="s">
        <v>1148</v>
      </c>
      <c r="N56" s="62"/>
      <c r="O56" s="52"/>
      <c r="P56" s="65" t="s">
        <v>1148</v>
      </c>
      <c r="Q56" s="52"/>
      <c r="R56" s="60" t="s">
        <v>427</v>
      </c>
    </row>
    <row r="57" spans="1:18" s="60" customFormat="1">
      <c r="A57" s="135">
        <v>56</v>
      </c>
      <c r="B57" s="53">
        <v>40301</v>
      </c>
      <c r="C57" s="54"/>
      <c r="D57" s="54" t="s">
        <v>133</v>
      </c>
      <c r="E57" s="68">
        <v>40301.604166666664</v>
      </c>
      <c r="F57" s="52" t="s">
        <v>1576</v>
      </c>
      <c r="G57" s="52"/>
      <c r="H57" s="62"/>
      <c r="I57" s="52" t="s">
        <v>801</v>
      </c>
      <c r="J57" s="62"/>
      <c r="K57" s="52"/>
      <c r="L57" s="62"/>
      <c r="M57" s="65" t="s">
        <v>1149</v>
      </c>
      <c r="N57" s="62"/>
      <c r="O57" s="52"/>
      <c r="P57" s="65" t="s">
        <v>1149</v>
      </c>
      <c r="Q57" s="52"/>
      <c r="R57" s="60" t="s">
        <v>427</v>
      </c>
    </row>
    <row r="58" spans="1:18" s="60" customFormat="1" ht="24">
      <c r="A58" s="135">
        <v>57</v>
      </c>
      <c r="B58" s="53">
        <v>40301</v>
      </c>
      <c r="C58" s="54"/>
      <c r="D58" s="54" t="s">
        <v>133</v>
      </c>
      <c r="E58" s="68">
        <v>40301.625</v>
      </c>
      <c r="F58" s="52" t="s">
        <v>1576</v>
      </c>
      <c r="G58" s="52"/>
      <c r="H58" s="62"/>
      <c r="I58" s="52" t="s">
        <v>801</v>
      </c>
      <c r="J58" s="62"/>
      <c r="K58" s="52"/>
      <c r="L58" s="62"/>
      <c r="M58" s="65" t="s">
        <v>791</v>
      </c>
      <c r="N58" s="62"/>
      <c r="O58" s="52"/>
      <c r="P58" s="65" t="s">
        <v>791</v>
      </c>
      <c r="Q58" s="52"/>
      <c r="R58" s="60" t="s">
        <v>427</v>
      </c>
    </row>
    <row r="59" spans="1:18" s="60" customFormat="1" ht="96">
      <c r="A59" s="135">
        <v>58</v>
      </c>
      <c r="B59" s="53"/>
      <c r="C59" s="81"/>
      <c r="D59" s="54" t="s">
        <v>133</v>
      </c>
      <c r="E59" s="80">
        <v>40301.625</v>
      </c>
      <c r="F59" s="119"/>
      <c r="G59" s="52"/>
      <c r="H59" s="52"/>
      <c r="I59" s="52"/>
      <c r="J59" s="52"/>
      <c r="K59" s="95" t="s">
        <v>1384</v>
      </c>
      <c r="L59" s="52"/>
      <c r="M59" s="52"/>
      <c r="N59" s="82"/>
      <c r="O59" s="52"/>
      <c r="P59" s="95" t="s">
        <v>1384</v>
      </c>
      <c r="Q59" s="52"/>
    </row>
    <row r="60" spans="1:18" s="60" customFormat="1">
      <c r="A60" s="135">
        <v>59</v>
      </c>
      <c r="B60" s="53">
        <v>40301</v>
      </c>
      <c r="C60" s="54"/>
      <c r="D60" s="54" t="s">
        <v>133</v>
      </c>
      <c r="E60" s="68">
        <v>40301.645833333336</v>
      </c>
      <c r="F60" s="52" t="s">
        <v>1576</v>
      </c>
      <c r="G60" s="52"/>
      <c r="H60" s="62"/>
      <c r="I60" s="52" t="s">
        <v>801</v>
      </c>
      <c r="J60" s="62"/>
      <c r="K60" s="52"/>
      <c r="L60" s="62"/>
      <c r="M60" s="65" t="s">
        <v>1150</v>
      </c>
      <c r="N60" s="62"/>
      <c r="O60" s="52"/>
      <c r="P60" s="65" t="s">
        <v>1150</v>
      </c>
      <c r="Q60" s="52"/>
      <c r="R60" s="60" t="s">
        <v>427</v>
      </c>
    </row>
    <row r="61" spans="1:18" s="60" customFormat="1" ht="24">
      <c r="A61" s="135">
        <v>60</v>
      </c>
      <c r="B61" s="53">
        <v>40301</v>
      </c>
      <c r="C61" s="54"/>
      <c r="D61" s="54" t="s">
        <v>133</v>
      </c>
      <c r="E61" s="68">
        <v>40301.65625</v>
      </c>
      <c r="F61" s="52" t="s">
        <v>1576</v>
      </c>
      <c r="G61" s="52"/>
      <c r="H61" s="62"/>
      <c r="I61" s="52" t="s">
        <v>801</v>
      </c>
      <c r="J61" s="62"/>
      <c r="K61" s="52"/>
      <c r="L61" s="62"/>
      <c r="M61" s="65" t="s">
        <v>1539</v>
      </c>
      <c r="N61" s="62"/>
      <c r="O61" s="52"/>
      <c r="P61" s="65" t="s">
        <v>1151</v>
      </c>
      <c r="Q61" s="52"/>
      <c r="R61" s="60" t="s">
        <v>427</v>
      </c>
    </row>
    <row r="62" spans="1:18" s="60" customFormat="1" ht="204">
      <c r="A62" s="135">
        <v>61</v>
      </c>
      <c r="B62" s="53">
        <v>40301</v>
      </c>
      <c r="C62" s="54">
        <v>40301.666666666664</v>
      </c>
      <c r="D62" s="54" t="s">
        <v>133</v>
      </c>
      <c r="E62" s="61">
        <v>40301.666666666664</v>
      </c>
      <c r="F62" s="52" t="s">
        <v>1098</v>
      </c>
      <c r="G62" s="52" t="s">
        <v>425</v>
      </c>
      <c r="H62" s="62" t="s">
        <v>429</v>
      </c>
      <c r="I62" s="52" t="s">
        <v>1360</v>
      </c>
      <c r="J62" s="62" t="s">
        <v>426</v>
      </c>
      <c r="K62" s="52" t="s">
        <v>380</v>
      </c>
      <c r="L62" s="62" t="s">
        <v>423</v>
      </c>
      <c r="M62" s="95" t="s">
        <v>380</v>
      </c>
      <c r="N62" s="62"/>
      <c r="O62" s="52"/>
      <c r="P62" s="52" t="s">
        <v>562</v>
      </c>
      <c r="Q62" s="52"/>
      <c r="R62" s="60" t="s">
        <v>427</v>
      </c>
    </row>
    <row r="63" spans="1:18" s="60" customFormat="1" ht="36">
      <c r="A63" s="135">
        <v>62</v>
      </c>
      <c r="B63" s="53">
        <v>40301</v>
      </c>
      <c r="C63" s="54"/>
      <c r="D63" s="54" t="s">
        <v>133</v>
      </c>
      <c r="E63" s="68">
        <v>40301.6875</v>
      </c>
      <c r="F63" s="52"/>
      <c r="G63" s="52"/>
      <c r="H63" s="62"/>
      <c r="I63" s="52" t="s">
        <v>1366</v>
      </c>
      <c r="J63" s="62"/>
      <c r="K63" s="52"/>
      <c r="L63" s="62"/>
      <c r="M63" s="65" t="s">
        <v>1152</v>
      </c>
      <c r="N63" s="62"/>
      <c r="O63" s="52"/>
      <c r="P63" s="65" t="s">
        <v>1152</v>
      </c>
      <c r="Q63" s="52"/>
      <c r="R63" s="60" t="s">
        <v>427</v>
      </c>
    </row>
    <row r="64" spans="1:18" s="60" customFormat="1" ht="72">
      <c r="A64" s="135">
        <v>63</v>
      </c>
      <c r="B64" s="53">
        <v>40301.697916666664</v>
      </c>
      <c r="C64" s="54">
        <v>40301.697916666664</v>
      </c>
      <c r="D64" s="54" t="s">
        <v>133</v>
      </c>
      <c r="E64" s="61">
        <v>40301.697916666664</v>
      </c>
      <c r="F64" s="52" t="s">
        <v>1544</v>
      </c>
      <c r="G64" s="52" t="s">
        <v>799</v>
      </c>
      <c r="H64" s="62" t="s">
        <v>800</v>
      </c>
      <c r="I64" s="52" t="s">
        <v>801</v>
      </c>
      <c r="J64" s="62" t="s">
        <v>802</v>
      </c>
      <c r="K64" s="52" t="s">
        <v>797</v>
      </c>
      <c r="L64" s="62"/>
      <c r="M64" s="52" t="s">
        <v>798</v>
      </c>
      <c r="N64" s="62"/>
      <c r="O64" s="52"/>
      <c r="P64" s="52" t="s">
        <v>1543</v>
      </c>
      <c r="Q64" s="52"/>
      <c r="R64" s="60" t="s">
        <v>891</v>
      </c>
    </row>
    <row r="65" spans="1:18" s="60" customFormat="1" ht="24">
      <c r="A65" s="135">
        <v>64</v>
      </c>
      <c r="B65" s="53">
        <v>40301</v>
      </c>
      <c r="C65" s="54"/>
      <c r="D65" s="54" t="s">
        <v>133</v>
      </c>
      <c r="E65" s="68">
        <v>40301.708333333336</v>
      </c>
      <c r="F65" s="52" t="s">
        <v>1576</v>
      </c>
      <c r="G65" s="52"/>
      <c r="H65" s="62"/>
      <c r="I65" s="52" t="s">
        <v>801</v>
      </c>
      <c r="J65" s="62"/>
      <c r="K65" s="52"/>
      <c r="L65" s="62"/>
      <c r="M65" s="65" t="s">
        <v>1153</v>
      </c>
      <c r="N65" s="62"/>
      <c r="O65" s="52"/>
      <c r="P65" s="65" t="s">
        <v>1153</v>
      </c>
      <c r="Q65" s="52"/>
      <c r="R65" s="60" t="s">
        <v>427</v>
      </c>
    </row>
    <row r="66" spans="1:18" s="60" customFormat="1" ht="60">
      <c r="A66" s="135">
        <v>65</v>
      </c>
      <c r="B66" s="53"/>
      <c r="C66" s="81"/>
      <c r="D66" s="54" t="s">
        <v>133</v>
      </c>
      <c r="E66" s="80">
        <v>40301.708333333336</v>
      </c>
      <c r="F66" s="52" t="s">
        <v>430</v>
      </c>
      <c r="G66" s="52" t="s">
        <v>394</v>
      </c>
      <c r="H66" s="52"/>
      <c r="I66" s="52" t="s">
        <v>158</v>
      </c>
      <c r="J66" s="52"/>
      <c r="K66" s="95" t="s">
        <v>1385</v>
      </c>
      <c r="L66" s="52"/>
      <c r="M66" s="52"/>
      <c r="N66" s="52"/>
      <c r="O66" s="52" t="s">
        <v>116</v>
      </c>
      <c r="P66" s="95" t="s">
        <v>1385</v>
      </c>
      <c r="Q66" s="52"/>
      <c r="R66" s="60" t="s">
        <v>1314</v>
      </c>
    </row>
    <row r="67" spans="1:18" s="60" customFormat="1" ht="48">
      <c r="A67" s="135">
        <v>66</v>
      </c>
      <c r="B67" s="53">
        <v>40301</v>
      </c>
      <c r="C67" s="54"/>
      <c r="D67" s="54" t="s">
        <v>133</v>
      </c>
      <c r="E67" s="68">
        <v>40301.727777777778</v>
      </c>
      <c r="F67" s="52" t="s">
        <v>430</v>
      </c>
      <c r="G67" s="52"/>
      <c r="H67" s="62"/>
      <c r="I67" s="52" t="s">
        <v>801</v>
      </c>
      <c r="J67" s="62"/>
      <c r="K67" s="52" t="s">
        <v>1540</v>
      </c>
      <c r="L67" s="62"/>
      <c r="M67" s="65" t="s">
        <v>1154</v>
      </c>
      <c r="N67" s="62"/>
      <c r="O67" s="52"/>
      <c r="P67" s="65" t="s">
        <v>1154</v>
      </c>
      <c r="Q67" s="52"/>
      <c r="R67" s="60" t="s">
        <v>427</v>
      </c>
    </row>
    <row r="68" spans="1:18" s="60" customFormat="1" ht="84">
      <c r="A68" s="135">
        <v>67</v>
      </c>
      <c r="B68" s="53">
        <v>40301.770833333336</v>
      </c>
      <c r="C68" s="54">
        <v>40301.770833333336</v>
      </c>
      <c r="D68" s="54" t="s">
        <v>133</v>
      </c>
      <c r="E68" s="61">
        <v>40301.770833333336</v>
      </c>
      <c r="F68" s="52" t="s">
        <v>1544</v>
      </c>
      <c r="G68" s="52" t="s">
        <v>793</v>
      </c>
      <c r="H68" s="62" t="s">
        <v>801</v>
      </c>
      <c r="I68" s="52" t="s">
        <v>801</v>
      </c>
      <c r="J68" s="62" t="s">
        <v>804</v>
      </c>
      <c r="K68" s="52" t="s">
        <v>797</v>
      </c>
      <c r="L68" s="62"/>
      <c r="M68" s="95" t="s">
        <v>803</v>
      </c>
      <c r="N68" s="62"/>
      <c r="O68" s="52"/>
      <c r="P68" s="52" t="s">
        <v>1545</v>
      </c>
      <c r="Q68" s="52"/>
      <c r="R68" s="60" t="s">
        <v>891</v>
      </c>
    </row>
    <row r="69" spans="1:18" s="60" customFormat="1" ht="24">
      <c r="A69" s="135">
        <v>68</v>
      </c>
      <c r="B69" s="53">
        <v>40301</v>
      </c>
      <c r="C69" s="63">
        <v>0.625</v>
      </c>
      <c r="D69" s="54" t="s">
        <v>133</v>
      </c>
      <c r="E69" s="55">
        <v>40301.875</v>
      </c>
      <c r="F69" s="52" t="s">
        <v>1098</v>
      </c>
      <c r="G69" s="64" t="s">
        <v>579</v>
      </c>
      <c r="H69" s="64" t="s">
        <v>592</v>
      </c>
      <c r="I69" s="52" t="s">
        <v>801</v>
      </c>
      <c r="J69" s="52" t="s">
        <v>594</v>
      </c>
      <c r="K69" s="52" t="s">
        <v>1540</v>
      </c>
      <c r="L69" s="52"/>
      <c r="M69" s="52" t="s">
        <v>578</v>
      </c>
      <c r="N69" s="52" t="s">
        <v>580</v>
      </c>
      <c r="O69" s="52"/>
      <c r="P69" s="52" t="s">
        <v>1496</v>
      </c>
      <c r="Q69" s="52"/>
      <c r="R69" s="60" t="s">
        <v>597</v>
      </c>
    </row>
    <row r="70" spans="1:18" s="60" customFormat="1" ht="24">
      <c r="A70" s="135">
        <v>69</v>
      </c>
      <c r="B70" s="53"/>
      <c r="C70" s="54"/>
      <c r="D70" s="54" t="s">
        <v>133</v>
      </c>
      <c r="E70" s="68">
        <v>40301.913194444445</v>
      </c>
      <c r="F70" s="52" t="s">
        <v>1489</v>
      </c>
      <c r="G70" s="52" t="s">
        <v>425</v>
      </c>
      <c r="H70" s="62"/>
      <c r="I70" s="52" t="s">
        <v>801</v>
      </c>
      <c r="J70" s="62"/>
      <c r="K70" s="52" t="s">
        <v>1547</v>
      </c>
      <c r="L70" s="62"/>
      <c r="M70" s="65" t="s">
        <v>1157</v>
      </c>
      <c r="N70" s="62"/>
      <c r="O70" s="52"/>
      <c r="P70" s="65" t="s">
        <v>1157</v>
      </c>
      <c r="Q70" s="52"/>
      <c r="R70" s="60" t="s">
        <v>427</v>
      </c>
    </row>
    <row r="71" spans="1:18" s="60" customFormat="1" ht="192">
      <c r="A71" s="135">
        <v>70</v>
      </c>
      <c r="B71" s="53">
        <v>40301</v>
      </c>
      <c r="C71" s="54">
        <v>40301.916666666664</v>
      </c>
      <c r="D71" s="54" t="s">
        <v>133</v>
      </c>
      <c r="E71" s="61">
        <v>40301.916666666664</v>
      </c>
      <c r="F71" s="52" t="s">
        <v>1098</v>
      </c>
      <c r="G71" s="52" t="s">
        <v>425</v>
      </c>
      <c r="H71" s="62" t="s">
        <v>429</v>
      </c>
      <c r="I71" s="52" t="s">
        <v>1360</v>
      </c>
      <c r="J71" s="62" t="s">
        <v>426</v>
      </c>
      <c r="K71" s="52" t="s">
        <v>381</v>
      </c>
      <c r="L71" s="62" t="s">
        <v>423</v>
      </c>
      <c r="M71" s="95" t="s">
        <v>381</v>
      </c>
      <c r="N71" s="62"/>
      <c r="O71" s="52"/>
      <c r="P71" s="52" t="s">
        <v>563</v>
      </c>
      <c r="Q71" s="52"/>
      <c r="R71" s="60" t="s">
        <v>427</v>
      </c>
    </row>
    <row r="72" spans="1:18" s="60" customFormat="1" ht="180">
      <c r="A72" s="135">
        <v>71</v>
      </c>
      <c r="B72" s="53">
        <v>40302</v>
      </c>
      <c r="C72" s="54">
        <v>40302.166666666664</v>
      </c>
      <c r="D72" s="54" t="s">
        <v>133</v>
      </c>
      <c r="E72" s="61">
        <v>40302.166666666664</v>
      </c>
      <c r="F72" s="52" t="s">
        <v>1098</v>
      </c>
      <c r="G72" s="52" t="s">
        <v>425</v>
      </c>
      <c r="H72" s="62" t="s">
        <v>429</v>
      </c>
      <c r="I72" s="52" t="s">
        <v>1360</v>
      </c>
      <c r="J72" s="62" t="s">
        <v>426</v>
      </c>
      <c r="K72" s="52" t="s">
        <v>382</v>
      </c>
      <c r="L72" s="62" t="s">
        <v>423</v>
      </c>
      <c r="M72" s="95" t="s">
        <v>382</v>
      </c>
      <c r="N72" s="62"/>
      <c r="O72" s="52"/>
      <c r="P72" s="52" t="s">
        <v>564</v>
      </c>
      <c r="Q72" s="52"/>
      <c r="R72" s="60" t="s">
        <v>427</v>
      </c>
    </row>
    <row r="73" spans="1:18" s="101" customFormat="1" ht="48">
      <c r="A73" s="135">
        <v>72</v>
      </c>
      <c r="B73" s="53"/>
      <c r="C73" s="81"/>
      <c r="D73" s="54" t="s">
        <v>136</v>
      </c>
      <c r="E73" s="138">
        <v>40302.166666666664</v>
      </c>
      <c r="F73" s="122" t="s">
        <v>1566</v>
      </c>
      <c r="G73" s="124" t="s">
        <v>1580</v>
      </c>
      <c r="H73" s="52"/>
      <c r="I73" s="52"/>
      <c r="J73" s="52"/>
      <c r="K73" s="52"/>
      <c r="L73" s="52"/>
      <c r="M73" s="52"/>
      <c r="N73" s="52"/>
      <c r="O73" s="52"/>
      <c r="P73" s="52"/>
      <c r="Q73" s="52"/>
      <c r="R73" s="60" t="s">
        <v>1581</v>
      </c>
    </row>
    <row r="74" spans="1:18" s="60" customFormat="1" ht="84">
      <c r="A74" s="135">
        <v>73</v>
      </c>
      <c r="B74" s="53"/>
      <c r="C74" s="81"/>
      <c r="D74" s="54" t="s">
        <v>136</v>
      </c>
      <c r="E74" s="138">
        <v>40302.208333333336</v>
      </c>
      <c r="F74" s="122" t="s">
        <v>1564</v>
      </c>
      <c r="G74" s="124" t="s">
        <v>1580</v>
      </c>
      <c r="H74" s="52"/>
      <c r="I74" s="52"/>
      <c r="J74" s="52"/>
      <c r="K74" s="52"/>
      <c r="L74" s="52"/>
      <c r="M74" s="52"/>
      <c r="N74" s="52"/>
      <c r="O74" s="52"/>
      <c r="P74" s="52"/>
      <c r="Q74" s="52"/>
      <c r="R74" s="60" t="s">
        <v>1581</v>
      </c>
    </row>
    <row r="75" spans="1:18" s="60" customFormat="1" ht="24">
      <c r="A75" s="135">
        <v>74</v>
      </c>
      <c r="B75" s="53"/>
      <c r="C75" s="54"/>
      <c r="D75" s="54" t="s">
        <v>133</v>
      </c>
      <c r="E75" s="61">
        <v>40302.291666666664</v>
      </c>
      <c r="F75" s="52"/>
      <c r="G75" s="52" t="s">
        <v>1188</v>
      </c>
      <c r="H75" s="52" t="s">
        <v>1165</v>
      </c>
      <c r="I75" s="52" t="s">
        <v>801</v>
      </c>
      <c r="J75" s="52" t="s">
        <v>668</v>
      </c>
      <c r="K75" s="52"/>
      <c r="L75" s="52"/>
      <c r="M75" s="95"/>
      <c r="N75" s="52"/>
      <c r="O75" s="52"/>
      <c r="P75" s="52" t="s">
        <v>1457</v>
      </c>
      <c r="Q75" s="52"/>
      <c r="R75" s="60" t="s">
        <v>427</v>
      </c>
    </row>
    <row r="76" spans="1:18" s="60" customFormat="1" ht="60">
      <c r="A76" s="135">
        <v>75</v>
      </c>
      <c r="B76" s="53">
        <v>40302.083333333336</v>
      </c>
      <c r="C76" s="54">
        <v>40302.083333333336</v>
      </c>
      <c r="D76" s="54" t="s">
        <v>133</v>
      </c>
      <c r="E76" s="61">
        <v>40302.302083333336</v>
      </c>
      <c r="F76" s="52" t="s">
        <v>1544</v>
      </c>
      <c r="G76" s="52" t="s">
        <v>799</v>
      </c>
      <c r="H76" s="62" t="s">
        <v>800</v>
      </c>
      <c r="I76" s="52" t="s">
        <v>801</v>
      </c>
      <c r="J76" s="62" t="s">
        <v>802</v>
      </c>
      <c r="K76" s="52" t="s">
        <v>797</v>
      </c>
      <c r="L76" s="62"/>
      <c r="M76" s="52" t="s">
        <v>805</v>
      </c>
      <c r="N76" s="62"/>
      <c r="O76" s="52"/>
      <c r="P76" s="52" t="s">
        <v>1456</v>
      </c>
      <c r="Q76" s="52"/>
      <c r="R76" s="60" t="s">
        <v>891</v>
      </c>
    </row>
    <row r="77" spans="1:18" s="60" customFormat="1" ht="24">
      <c r="A77" s="135">
        <v>76</v>
      </c>
      <c r="B77" s="53"/>
      <c r="C77" s="54"/>
      <c r="D77" s="54" t="s">
        <v>133</v>
      </c>
      <c r="E77" s="61">
        <v>40302.315972222219</v>
      </c>
      <c r="F77" s="52" t="s">
        <v>1197</v>
      </c>
      <c r="G77" s="52"/>
      <c r="H77" s="62"/>
      <c r="I77" s="52" t="s">
        <v>1368</v>
      </c>
      <c r="J77" s="62"/>
      <c r="K77" s="52"/>
      <c r="L77" s="62"/>
      <c r="M77" s="52" t="s">
        <v>1199</v>
      </c>
      <c r="N77" s="62"/>
      <c r="O77" s="52"/>
      <c r="P77" s="52"/>
      <c r="Q77" s="52"/>
    </row>
    <row r="78" spans="1:18" s="108" customFormat="1" ht="24">
      <c r="A78" s="135">
        <v>77</v>
      </c>
      <c r="B78" s="53"/>
      <c r="C78" s="54"/>
      <c r="D78" s="54" t="s">
        <v>133</v>
      </c>
      <c r="E78" s="61">
        <v>40302.319444444445</v>
      </c>
      <c r="F78" s="52" t="s">
        <v>1197</v>
      </c>
      <c r="G78" s="52"/>
      <c r="H78" s="62"/>
      <c r="I78" s="52" t="s">
        <v>1369</v>
      </c>
      <c r="J78" s="62"/>
      <c r="K78" s="52"/>
      <c r="L78" s="62"/>
      <c r="M78" s="52" t="s">
        <v>1198</v>
      </c>
      <c r="N78" s="62"/>
      <c r="O78" s="52"/>
      <c r="P78" s="52"/>
      <c r="Q78" s="52"/>
      <c r="R78" s="60"/>
    </row>
    <row r="79" spans="1:18" s="60" customFormat="1" ht="36">
      <c r="A79" s="135">
        <v>78</v>
      </c>
      <c r="B79" s="53"/>
      <c r="C79" s="54"/>
      <c r="D79" s="54" t="s">
        <v>133</v>
      </c>
      <c r="E79" s="61">
        <v>40302.333333333336</v>
      </c>
      <c r="F79" s="52" t="s">
        <v>1197</v>
      </c>
      <c r="G79" s="52"/>
      <c r="H79" s="62"/>
      <c r="I79" s="52" t="s">
        <v>1369</v>
      </c>
      <c r="J79" s="62"/>
      <c r="K79" s="52"/>
      <c r="L79" s="62"/>
      <c r="M79" s="52" t="s">
        <v>1200</v>
      </c>
      <c r="N79" s="62"/>
      <c r="O79" s="52"/>
      <c r="P79" s="52"/>
      <c r="Q79" s="52"/>
    </row>
    <row r="80" spans="1:18" s="60" customFormat="1" ht="36">
      <c r="A80" s="135">
        <v>79</v>
      </c>
      <c r="B80" s="53"/>
      <c r="C80" s="81"/>
      <c r="D80" s="54" t="s">
        <v>136</v>
      </c>
      <c r="E80" s="138">
        <v>40302.333333333336</v>
      </c>
      <c r="F80" s="122" t="s">
        <v>1565</v>
      </c>
      <c r="G80" s="124" t="s">
        <v>1580</v>
      </c>
      <c r="H80" s="52"/>
      <c r="I80" s="52"/>
      <c r="J80" s="52"/>
      <c r="K80" s="52"/>
      <c r="L80" s="52"/>
      <c r="M80" s="52"/>
      <c r="N80" s="52"/>
      <c r="O80" s="52"/>
      <c r="P80" s="52"/>
      <c r="Q80" s="52"/>
      <c r="R80" s="60" t="s">
        <v>1581</v>
      </c>
    </row>
    <row r="81" spans="1:18" s="60" customFormat="1" ht="120">
      <c r="A81" s="135">
        <v>80</v>
      </c>
      <c r="B81" s="53">
        <v>40302.354166666664</v>
      </c>
      <c r="C81" s="54">
        <v>40302.354166666664</v>
      </c>
      <c r="D81" s="54" t="s">
        <v>133</v>
      </c>
      <c r="E81" s="61">
        <v>40302.354166666664</v>
      </c>
      <c r="F81" s="52" t="s">
        <v>1530</v>
      </c>
      <c r="G81" s="52" t="s">
        <v>1188</v>
      </c>
      <c r="H81" s="62" t="s">
        <v>585</v>
      </c>
      <c r="I81" s="52" t="s">
        <v>801</v>
      </c>
      <c r="J81" s="62" t="s">
        <v>802</v>
      </c>
      <c r="K81" s="52" t="s">
        <v>797</v>
      </c>
      <c r="L81" s="62"/>
      <c r="M81" s="95" t="s">
        <v>806</v>
      </c>
      <c r="N81" s="62"/>
      <c r="O81" s="52"/>
      <c r="P81" s="52" t="s">
        <v>1458</v>
      </c>
      <c r="Q81" s="52"/>
      <c r="R81" s="60" t="s">
        <v>891</v>
      </c>
    </row>
    <row r="82" spans="1:18" s="60" customFormat="1" ht="36">
      <c r="A82" s="135">
        <v>81</v>
      </c>
      <c r="B82" s="53"/>
      <c r="C82" s="54"/>
      <c r="D82" s="54" t="s">
        <v>133</v>
      </c>
      <c r="E82" s="80">
        <v>40302.416666666664</v>
      </c>
      <c r="F82" s="52" t="s">
        <v>1098</v>
      </c>
      <c r="G82" s="52" t="s">
        <v>394</v>
      </c>
      <c r="H82" s="62" t="s">
        <v>678</v>
      </c>
      <c r="I82" s="52" t="s">
        <v>1370</v>
      </c>
      <c r="J82" s="62" t="s">
        <v>680</v>
      </c>
      <c r="K82" s="52"/>
      <c r="L82" s="62"/>
      <c r="M82" s="52" t="s">
        <v>1459</v>
      </c>
      <c r="N82" s="62"/>
      <c r="O82" s="52"/>
      <c r="P82" s="52"/>
      <c r="Q82" s="52" t="s">
        <v>627</v>
      </c>
      <c r="R82" s="60" t="s">
        <v>657</v>
      </c>
    </row>
    <row r="83" spans="1:18" s="60" customFormat="1" ht="24">
      <c r="A83" s="135">
        <v>82</v>
      </c>
      <c r="B83" s="53"/>
      <c r="C83" s="54"/>
      <c r="D83" s="54" t="s">
        <v>133</v>
      </c>
      <c r="E83" s="61">
        <v>40302.427083333336</v>
      </c>
      <c r="F83" s="52" t="s">
        <v>1197</v>
      </c>
      <c r="G83" s="52"/>
      <c r="H83" s="62"/>
      <c r="I83" s="52" t="s">
        <v>1363</v>
      </c>
      <c r="J83" s="62"/>
      <c r="K83" s="52"/>
      <c r="L83" s="62"/>
      <c r="M83" s="52" t="s">
        <v>1585</v>
      </c>
      <c r="N83" s="62"/>
      <c r="O83" s="52"/>
      <c r="P83" s="52"/>
      <c r="Q83" s="52"/>
    </row>
    <row r="84" spans="1:18" s="101" customFormat="1" ht="180">
      <c r="A84" s="135">
        <v>83</v>
      </c>
      <c r="B84" s="53">
        <v>40303.395833333336</v>
      </c>
      <c r="C84" s="54">
        <v>0.39583333333333331</v>
      </c>
      <c r="D84" s="54" t="s">
        <v>133</v>
      </c>
      <c r="E84" s="61">
        <v>40302.4375</v>
      </c>
      <c r="F84" s="52" t="s">
        <v>1526</v>
      </c>
      <c r="G84" s="52" t="s">
        <v>1269</v>
      </c>
      <c r="H84" s="52" t="s">
        <v>1270</v>
      </c>
      <c r="I84" s="52" t="s">
        <v>1370</v>
      </c>
      <c r="J84" s="52" t="s">
        <v>1159</v>
      </c>
      <c r="K84" s="52" t="s">
        <v>1235</v>
      </c>
      <c r="L84" s="52"/>
      <c r="M84" s="95" t="s">
        <v>1268</v>
      </c>
      <c r="N84" s="52" t="s">
        <v>1236</v>
      </c>
      <c r="O84" s="52" t="s">
        <v>1237</v>
      </c>
      <c r="P84" s="52" t="s">
        <v>1238</v>
      </c>
      <c r="Q84" s="52"/>
      <c r="R84" s="60" t="s">
        <v>891</v>
      </c>
    </row>
    <row r="85" spans="1:18" s="60" customFormat="1" ht="36">
      <c r="A85" s="135">
        <v>84</v>
      </c>
      <c r="B85" s="53"/>
      <c r="C85" s="54"/>
      <c r="D85" s="54" t="s">
        <v>133</v>
      </c>
      <c r="E85" s="61">
        <v>40302.440972222219</v>
      </c>
      <c r="F85" s="52" t="s">
        <v>1197</v>
      </c>
      <c r="G85" s="52"/>
      <c r="H85" s="62" t="s">
        <v>1371</v>
      </c>
      <c r="I85" s="52" t="s">
        <v>1368</v>
      </c>
      <c r="J85" s="62"/>
      <c r="K85" s="52"/>
      <c r="L85" s="62"/>
      <c r="M85" s="52" t="s">
        <v>1587</v>
      </c>
      <c r="N85" s="62"/>
      <c r="O85" s="52"/>
      <c r="P85" s="52"/>
      <c r="Q85" s="52"/>
    </row>
    <row r="86" spans="1:18" s="60" customFormat="1" ht="180">
      <c r="A86" s="135">
        <v>85</v>
      </c>
      <c r="B86" s="53">
        <v>40302.395833333336</v>
      </c>
      <c r="C86" s="54">
        <v>0.40625</v>
      </c>
      <c r="D86" s="54" t="s">
        <v>133</v>
      </c>
      <c r="E86" s="61">
        <v>40302.447916666664</v>
      </c>
      <c r="F86" s="52" t="s">
        <v>1526</v>
      </c>
      <c r="G86" s="52" t="s">
        <v>1240</v>
      </c>
      <c r="H86" s="52" t="s">
        <v>801</v>
      </c>
      <c r="I86" s="52" t="s">
        <v>801</v>
      </c>
      <c r="J86" s="52" t="s">
        <v>1241</v>
      </c>
      <c r="K86" s="52" t="s">
        <v>1235</v>
      </c>
      <c r="L86" s="52"/>
      <c r="M86" s="95" t="s">
        <v>1239</v>
      </c>
      <c r="N86" s="52" t="s">
        <v>1242</v>
      </c>
      <c r="O86" s="52" t="s">
        <v>1237</v>
      </c>
      <c r="P86" s="52" t="s">
        <v>1243</v>
      </c>
      <c r="Q86" s="52"/>
      <c r="R86" s="60" t="s">
        <v>891</v>
      </c>
    </row>
    <row r="87" spans="1:18" s="60" customFormat="1" ht="168">
      <c r="A87" s="135">
        <v>86</v>
      </c>
      <c r="B87" s="53">
        <v>40302</v>
      </c>
      <c r="C87" s="54">
        <v>40302.416666666664</v>
      </c>
      <c r="D87" s="54" t="s">
        <v>133</v>
      </c>
      <c r="E87" s="61">
        <v>40302.416666666664</v>
      </c>
      <c r="F87" s="52" t="s">
        <v>1098</v>
      </c>
      <c r="G87" s="52" t="s">
        <v>425</v>
      </c>
      <c r="H87" s="62" t="s">
        <v>429</v>
      </c>
      <c r="I87" s="52" t="s">
        <v>1360</v>
      </c>
      <c r="J87" s="62" t="s">
        <v>426</v>
      </c>
      <c r="K87" s="52" t="s">
        <v>383</v>
      </c>
      <c r="L87" s="62" t="s">
        <v>423</v>
      </c>
      <c r="M87" s="52" t="s">
        <v>383</v>
      </c>
      <c r="N87" s="62"/>
      <c r="O87" s="52"/>
      <c r="P87" s="52" t="s">
        <v>565</v>
      </c>
      <c r="Q87" s="52"/>
      <c r="R87" s="60" t="s">
        <v>427</v>
      </c>
    </row>
    <row r="88" spans="1:18" s="60" customFormat="1">
      <c r="A88" s="135">
        <v>87</v>
      </c>
      <c r="B88" s="109"/>
      <c r="C88" s="110"/>
      <c r="D88" s="54" t="s">
        <v>133</v>
      </c>
      <c r="E88" s="111">
        <v>40302.459027777775</v>
      </c>
      <c r="F88" s="108"/>
      <c r="G88" s="108" t="s">
        <v>425</v>
      </c>
      <c r="H88" s="108"/>
      <c r="I88" s="108" t="s">
        <v>1362</v>
      </c>
      <c r="J88" s="108"/>
      <c r="K88" s="52" t="s">
        <v>1284</v>
      </c>
      <c r="L88" s="108"/>
      <c r="M88" s="112"/>
      <c r="N88" s="108"/>
      <c r="O88" s="108"/>
      <c r="P88" s="108" t="s">
        <v>1284</v>
      </c>
      <c r="Q88" s="108"/>
      <c r="R88" s="108" t="s">
        <v>1294</v>
      </c>
    </row>
    <row r="89" spans="1:18" s="60" customFormat="1">
      <c r="A89" s="135">
        <v>88</v>
      </c>
      <c r="B89" s="109"/>
      <c r="C89" s="110"/>
      <c r="D89" s="54" t="s">
        <v>133</v>
      </c>
      <c r="E89" s="111">
        <v>40302.479166666664</v>
      </c>
      <c r="F89" s="108" t="s">
        <v>430</v>
      </c>
      <c r="G89" s="108" t="s">
        <v>425</v>
      </c>
      <c r="H89" s="108"/>
      <c r="I89" s="108" t="s">
        <v>1366</v>
      </c>
      <c r="J89" s="108"/>
      <c r="K89" s="52"/>
      <c r="L89" s="108"/>
      <c r="M89" s="108" t="s">
        <v>1289</v>
      </c>
      <c r="N89" s="108"/>
      <c r="O89" s="108"/>
      <c r="P89" s="108" t="s">
        <v>1289</v>
      </c>
      <c r="Q89" s="108"/>
      <c r="R89" s="108" t="s">
        <v>1294</v>
      </c>
    </row>
    <row r="90" spans="1:18" s="60" customFormat="1" ht="36">
      <c r="A90" s="135">
        <v>89</v>
      </c>
      <c r="B90" s="53"/>
      <c r="C90" s="54"/>
      <c r="D90" s="54" t="s">
        <v>133</v>
      </c>
      <c r="E90" s="61">
        <v>40302.486111111109</v>
      </c>
      <c r="F90" s="52" t="s">
        <v>1197</v>
      </c>
      <c r="G90" s="52"/>
      <c r="H90" s="62"/>
      <c r="I90" s="52" t="s">
        <v>1368</v>
      </c>
      <c r="J90" s="62"/>
      <c r="K90" s="52"/>
      <c r="L90" s="62"/>
      <c r="M90" s="52" t="s">
        <v>1588</v>
      </c>
      <c r="N90" s="62"/>
      <c r="O90" s="52"/>
      <c r="P90" s="52"/>
      <c r="Q90" s="52"/>
    </row>
    <row r="91" spans="1:18" s="60" customFormat="1" ht="180">
      <c r="A91" s="135">
        <v>90</v>
      </c>
      <c r="B91" s="53">
        <v>40302.395833333336</v>
      </c>
      <c r="C91" s="54">
        <v>0.44791666666666669</v>
      </c>
      <c r="D91" s="54" t="s">
        <v>133</v>
      </c>
      <c r="E91" s="61">
        <v>40302.489583333336</v>
      </c>
      <c r="F91" s="52" t="s">
        <v>1577</v>
      </c>
      <c r="G91" s="52" t="s">
        <v>1188</v>
      </c>
      <c r="H91" s="52" t="s">
        <v>1245</v>
      </c>
      <c r="I91" s="52" t="s">
        <v>801</v>
      </c>
      <c r="J91" s="52" t="s">
        <v>802</v>
      </c>
      <c r="K91" s="52" t="s">
        <v>1235</v>
      </c>
      <c r="L91" s="52"/>
      <c r="M91" s="95" t="s">
        <v>1244</v>
      </c>
      <c r="N91" s="52" t="s">
        <v>1242</v>
      </c>
      <c r="O91" s="52" t="s">
        <v>1237</v>
      </c>
      <c r="P91" s="52" t="s">
        <v>1232</v>
      </c>
      <c r="Q91" s="52"/>
      <c r="R91" s="60" t="s">
        <v>891</v>
      </c>
    </row>
    <row r="92" spans="1:18" s="60" customFormat="1" ht="24">
      <c r="A92" s="135">
        <v>91</v>
      </c>
      <c r="B92" s="53">
        <v>40302</v>
      </c>
      <c r="C92" s="63">
        <v>0.45833333333333331</v>
      </c>
      <c r="D92" s="54" t="s">
        <v>133</v>
      </c>
      <c r="E92" s="68">
        <v>40302.500694444447</v>
      </c>
      <c r="F92" s="52" t="s">
        <v>1098</v>
      </c>
      <c r="G92" s="64" t="s">
        <v>394</v>
      </c>
      <c r="H92" s="64" t="s">
        <v>1375</v>
      </c>
      <c r="I92" s="52" t="s">
        <v>1372</v>
      </c>
      <c r="J92" s="52" t="s">
        <v>616</v>
      </c>
      <c r="K92" s="52" t="s">
        <v>1546</v>
      </c>
      <c r="L92" s="52"/>
      <c r="M92" s="95" t="s">
        <v>1548</v>
      </c>
      <c r="N92" s="52" t="s">
        <v>622</v>
      </c>
      <c r="O92" s="52"/>
      <c r="P92" s="52" t="s">
        <v>621</v>
      </c>
      <c r="Q92" s="52"/>
      <c r="R92" s="60" t="s">
        <v>597</v>
      </c>
    </row>
    <row r="93" spans="1:18" s="60" customFormat="1" ht="36">
      <c r="A93" s="135">
        <v>92</v>
      </c>
      <c r="B93" s="53"/>
      <c r="C93" s="54"/>
      <c r="D93" s="54" t="s">
        <v>133</v>
      </c>
      <c r="E93" s="80">
        <v>40302.501388888886</v>
      </c>
      <c r="F93" s="52" t="s">
        <v>430</v>
      </c>
      <c r="G93" s="52" t="s">
        <v>425</v>
      </c>
      <c r="H93" s="52" t="s">
        <v>1293</v>
      </c>
      <c r="I93" s="52" t="s">
        <v>1366</v>
      </c>
      <c r="J93" s="52"/>
      <c r="K93" s="52"/>
      <c r="L93" s="52"/>
      <c r="M93" s="60" t="s">
        <v>1285</v>
      </c>
      <c r="N93" s="52"/>
      <c r="O93" s="52"/>
      <c r="P93" s="60" t="s">
        <v>1285</v>
      </c>
      <c r="Q93" s="52"/>
      <c r="R93" s="60" t="s">
        <v>1294</v>
      </c>
    </row>
    <row r="94" spans="1:18" s="60" customFormat="1" ht="24">
      <c r="A94" s="135">
        <v>93</v>
      </c>
      <c r="B94" s="53"/>
      <c r="C94" s="54"/>
      <c r="D94" s="54" t="s">
        <v>133</v>
      </c>
      <c r="E94" s="61">
        <v>40302.520833333336</v>
      </c>
      <c r="F94" s="52" t="s">
        <v>1197</v>
      </c>
      <c r="G94" s="52"/>
      <c r="H94" s="62" t="s">
        <v>1376</v>
      </c>
      <c r="I94" s="52" t="s">
        <v>1373</v>
      </c>
      <c r="J94" s="62"/>
      <c r="K94" s="52"/>
      <c r="L94" s="62"/>
      <c r="M94" s="52" t="s">
        <v>1586</v>
      </c>
      <c r="N94" s="62"/>
      <c r="O94" s="52"/>
      <c r="P94" s="52"/>
      <c r="Q94" s="52"/>
    </row>
    <row r="95" spans="1:18" s="60" customFormat="1" ht="36">
      <c r="A95" s="135">
        <v>94</v>
      </c>
      <c r="B95" s="53">
        <v>40302</v>
      </c>
      <c r="C95" s="63">
        <v>0.5</v>
      </c>
      <c r="D95" s="54" t="s">
        <v>133</v>
      </c>
      <c r="E95" s="55">
        <v>40302.041666666664</v>
      </c>
      <c r="F95" s="52" t="s">
        <v>430</v>
      </c>
      <c r="G95" s="64" t="s">
        <v>425</v>
      </c>
      <c r="H95" s="64"/>
      <c r="I95" s="52" t="s">
        <v>432</v>
      </c>
      <c r="J95" s="52" t="s">
        <v>433</v>
      </c>
      <c r="K95" s="52"/>
      <c r="L95" s="52"/>
      <c r="M95" s="95" t="s">
        <v>434</v>
      </c>
      <c r="N95" s="52" t="s">
        <v>435</v>
      </c>
      <c r="O95" s="52"/>
      <c r="P95" s="52" t="s">
        <v>436</v>
      </c>
      <c r="Q95" s="52"/>
      <c r="R95" s="60" t="s">
        <v>437</v>
      </c>
    </row>
    <row r="96" spans="1:18" s="60" customFormat="1" ht="36">
      <c r="A96" s="135">
        <v>95</v>
      </c>
      <c r="B96" s="53">
        <v>40302</v>
      </c>
      <c r="C96" s="63">
        <v>0.54166666666666663</v>
      </c>
      <c r="D96" s="54" t="s">
        <v>133</v>
      </c>
      <c r="E96" s="55">
        <v>40302.583333333336</v>
      </c>
      <c r="F96" s="52" t="s">
        <v>430</v>
      </c>
      <c r="G96" s="52" t="s">
        <v>425</v>
      </c>
      <c r="H96" s="64"/>
      <c r="I96" s="52" t="s">
        <v>1374</v>
      </c>
      <c r="J96" s="52" t="s">
        <v>1342</v>
      </c>
      <c r="K96" s="52" t="s">
        <v>1335</v>
      </c>
      <c r="L96" s="52"/>
      <c r="M96" s="95" t="s">
        <v>1340</v>
      </c>
      <c r="N96" s="52"/>
      <c r="O96" s="52"/>
      <c r="P96" s="60" t="s">
        <v>1335</v>
      </c>
      <c r="Q96" s="52"/>
      <c r="R96" s="60" t="s">
        <v>1341</v>
      </c>
    </row>
    <row r="97" spans="1:18" s="60" customFormat="1" ht="180">
      <c r="A97" s="135">
        <v>96</v>
      </c>
      <c r="B97" s="53">
        <v>40302.395833333336</v>
      </c>
      <c r="C97" s="54">
        <v>0.54166666666666663</v>
      </c>
      <c r="D97" s="54" t="s">
        <v>133</v>
      </c>
      <c r="E97" s="80">
        <v>40302.584027777775</v>
      </c>
      <c r="F97" s="52" t="s">
        <v>1526</v>
      </c>
      <c r="G97" s="52" t="s">
        <v>1269</v>
      </c>
      <c r="H97" s="52" t="s">
        <v>1245</v>
      </c>
      <c r="I97" s="52" t="s">
        <v>801</v>
      </c>
      <c r="J97" s="52" t="s">
        <v>802</v>
      </c>
      <c r="K97" s="52" t="s">
        <v>1235</v>
      </c>
      <c r="L97" s="52"/>
      <c r="M97" s="95" t="s">
        <v>1233</v>
      </c>
      <c r="N97" s="52" t="s">
        <v>1242</v>
      </c>
      <c r="O97" s="52" t="s">
        <v>1237</v>
      </c>
      <c r="P97" s="52" t="s">
        <v>1234</v>
      </c>
      <c r="Q97" s="52"/>
      <c r="R97" s="60" t="s">
        <v>891</v>
      </c>
    </row>
    <row r="98" spans="1:18" s="60" customFormat="1" ht="36">
      <c r="A98" s="135">
        <v>97</v>
      </c>
      <c r="B98" s="53"/>
      <c r="C98" s="54"/>
      <c r="D98" s="54" t="s">
        <v>133</v>
      </c>
      <c r="E98" s="80">
        <v>40302.584722222222</v>
      </c>
      <c r="F98" s="52" t="s">
        <v>1098</v>
      </c>
      <c r="G98" s="52" t="s">
        <v>425</v>
      </c>
      <c r="H98" s="52" t="s">
        <v>1293</v>
      </c>
      <c r="I98" s="52" t="s">
        <v>1366</v>
      </c>
      <c r="J98" s="52"/>
      <c r="K98" s="52"/>
      <c r="L98" s="52"/>
      <c r="M98" s="60" t="s">
        <v>1287</v>
      </c>
      <c r="N98" s="52" t="s">
        <v>91</v>
      </c>
      <c r="O98" s="52"/>
      <c r="P98" s="60" t="s">
        <v>1287</v>
      </c>
      <c r="Q98" s="52"/>
      <c r="R98" s="60" t="s">
        <v>1294</v>
      </c>
    </row>
    <row r="99" spans="1:18" s="60" customFormat="1" ht="48">
      <c r="A99" s="135">
        <v>98</v>
      </c>
      <c r="B99" s="102">
        <v>40302</v>
      </c>
      <c r="C99" s="113">
        <v>0.5625</v>
      </c>
      <c r="D99" s="54" t="s">
        <v>133</v>
      </c>
      <c r="E99" s="104">
        <v>40302.604166666664</v>
      </c>
      <c r="F99" s="101" t="s">
        <v>1098</v>
      </c>
      <c r="G99" s="101" t="s">
        <v>425</v>
      </c>
      <c r="H99" s="114"/>
      <c r="I99" s="101" t="s">
        <v>1374</v>
      </c>
      <c r="J99" s="101" t="s">
        <v>1342</v>
      </c>
      <c r="K99" s="52"/>
      <c r="L99" s="101"/>
      <c r="M99" s="101" t="s">
        <v>1336</v>
      </c>
      <c r="N99" s="101"/>
      <c r="O99" s="101"/>
      <c r="P99" s="101" t="s">
        <v>1336</v>
      </c>
      <c r="Q99" s="101"/>
      <c r="R99" s="101" t="s">
        <v>1341</v>
      </c>
    </row>
    <row r="100" spans="1:18" s="60" customFormat="1" ht="120">
      <c r="A100" s="135">
        <v>99</v>
      </c>
      <c r="B100" s="53">
        <v>40302.395833333336</v>
      </c>
      <c r="C100" s="54">
        <v>0.58333333333333337</v>
      </c>
      <c r="D100" s="54" t="s">
        <v>133</v>
      </c>
      <c r="E100" s="61">
        <v>40302.625</v>
      </c>
      <c r="F100" s="52" t="s">
        <v>1577</v>
      </c>
      <c r="G100" s="52" t="s">
        <v>1188</v>
      </c>
      <c r="H100" s="52" t="s">
        <v>1245</v>
      </c>
      <c r="I100" s="52" t="s">
        <v>801</v>
      </c>
      <c r="J100" s="52" t="s">
        <v>802</v>
      </c>
      <c r="K100" s="52" t="s">
        <v>1235</v>
      </c>
      <c r="L100" s="52"/>
      <c r="M100" s="95" t="s">
        <v>1244</v>
      </c>
      <c r="N100" s="52" t="s">
        <v>1242</v>
      </c>
      <c r="O100" s="52" t="s">
        <v>1222</v>
      </c>
      <c r="P100" s="52" t="s">
        <v>1223</v>
      </c>
      <c r="Q100" s="52"/>
      <c r="R100" s="60" t="s">
        <v>891</v>
      </c>
    </row>
    <row r="101" spans="1:18" s="60" customFormat="1" ht="24">
      <c r="A101" s="135">
        <v>100</v>
      </c>
      <c r="B101" s="53">
        <v>40302</v>
      </c>
      <c r="C101" s="63">
        <v>0.58333333333333337</v>
      </c>
      <c r="D101" s="54" t="s">
        <v>133</v>
      </c>
      <c r="E101" s="55">
        <v>40302.625694444447</v>
      </c>
      <c r="F101" s="52" t="s">
        <v>430</v>
      </c>
      <c r="G101" s="52" t="s">
        <v>425</v>
      </c>
      <c r="H101" s="64"/>
      <c r="I101" s="52" t="s">
        <v>1374</v>
      </c>
      <c r="J101" s="52" t="s">
        <v>1342</v>
      </c>
      <c r="K101" s="52" t="s">
        <v>1337</v>
      </c>
      <c r="L101" s="52"/>
      <c r="M101" s="95" t="s">
        <v>1340</v>
      </c>
      <c r="N101" s="52"/>
      <c r="O101" s="52"/>
      <c r="P101" s="60" t="s">
        <v>1337</v>
      </c>
      <c r="Q101" s="52"/>
      <c r="R101" s="60" t="s">
        <v>1341</v>
      </c>
    </row>
    <row r="102" spans="1:18" s="60" customFormat="1" ht="60">
      <c r="A102" s="135">
        <v>101</v>
      </c>
      <c r="B102" s="53"/>
      <c r="C102" s="54"/>
      <c r="D102" s="54" t="s">
        <v>133</v>
      </c>
      <c r="E102" s="61">
        <v>40302.666666666664</v>
      </c>
      <c r="F102" s="60" t="s">
        <v>430</v>
      </c>
      <c r="G102" s="52" t="s">
        <v>1211</v>
      </c>
      <c r="H102" s="52"/>
      <c r="I102" s="52" t="s">
        <v>1377</v>
      </c>
      <c r="J102" s="52" t="s">
        <v>1349</v>
      </c>
      <c r="K102" s="52" t="s">
        <v>1549</v>
      </c>
      <c r="L102" s="52"/>
      <c r="M102" s="97" t="s">
        <v>1212</v>
      </c>
      <c r="N102" s="60" t="s">
        <v>1213</v>
      </c>
      <c r="O102" s="52"/>
      <c r="P102" s="60" t="s">
        <v>1201</v>
      </c>
      <c r="Q102" s="52"/>
      <c r="R102" s="60" t="s">
        <v>1314</v>
      </c>
    </row>
    <row r="103" spans="1:18" s="60" customFormat="1" ht="24">
      <c r="A103" s="135">
        <v>102</v>
      </c>
      <c r="B103" s="53">
        <v>40302</v>
      </c>
      <c r="C103" s="63">
        <v>0.625</v>
      </c>
      <c r="D103" s="54" t="s">
        <v>133</v>
      </c>
      <c r="E103" s="55">
        <v>40302.667361111111</v>
      </c>
      <c r="F103" s="52" t="s">
        <v>1576</v>
      </c>
      <c r="G103" s="52" t="s">
        <v>425</v>
      </c>
      <c r="H103" s="64"/>
      <c r="I103" s="52" t="s">
        <v>1374</v>
      </c>
      <c r="J103" s="52" t="s">
        <v>1342</v>
      </c>
      <c r="K103" s="52"/>
      <c r="L103" s="52"/>
      <c r="M103" s="60" t="s">
        <v>1338</v>
      </c>
      <c r="N103" s="52"/>
      <c r="O103" s="52"/>
      <c r="P103" s="60" t="s">
        <v>1338</v>
      </c>
      <c r="Q103" s="52"/>
      <c r="R103" s="60" t="s">
        <v>1341</v>
      </c>
    </row>
    <row r="104" spans="1:18" s="60" customFormat="1" ht="48">
      <c r="A104" s="135">
        <v>103</v>
      </c>
      <c r="B104" s="53"/>
      <c r="C104" s="54"/>
      <c r="D104" s="54" t="s">
        <v>133</v>
      </c>
      <c r="E104" s="55">
        <v>40302.677083333336</v>
      </c>
      <c r="F104" s="52" t="s">
        <v>1098</v>
      </c>
      <c r="G104" s="52" t="s">
        <v>394</v>
      </c>
      <c r="H104" s="52" t="s">
        <v>1299</v>
      </c>
      <c r="I104" s="52" t="s">
        <v>1378</v>
      </c>
      <c r="J104" s="52" t="s">
        <v>668</v>
      </c>
      <c r="K104" s="52"/>
      <c r="L104" s="52"/>
      <c r="M104" s="65" t="s">
        <v>1216</v>
      </c>
      <c r="N104" s="52"/>
      <c r="O104" s="52"/>
      <c r="P104" s="65" t="s">
        <v>1301</v>
      </c>
      <c r="Q104" s="52" t="s">
        <v>1218</v>
      </c>
      <c r="R104" s="60" t="s">
        <v>1298</v>
      </c>
    </row>
    <row r="105" spans="1:18" s="60" customFormat="1" ht="24">
      <c r="A105" s="135">
        <v>104</v>
      </c>
      <c r="B105" s="53">
        <v>40302</v>
      </c>
      <c r="C105" s="63">
        <v>0.64583333333333337</v>
      </c>
      <c r="D105" s="54" t="s">
        <v>133</v>
      </c>
      <c r="E105" s="55">
        <v>40302.6875</v>
      </c>
      <c r="F105" s="52" t="s">
        <v>430</v>
      </c>
      <c r="G105" s="52" t="s">
        <v>425</v>
      </c>
      <c r="H105" s="64"/>
      <c r="I105" s="52" t="s">
        <v>1374</v>
      </c>
      <c r="J105" s="52" t="s">
        <v>1342</v>
      </c>
      <c r="K105" s="83"/>
      <c r="L105" s="52"/>
      <c r="M105" s="83" t="s">
        <v>1339</v>
      </c>
      <c r="N105" s="52"/>
      <c r="O105" s="52"/>
      <c r="P105" s="83" t="s">
        <v>1339</v>
      </c>
      <c r="Q105" s="52"/>
      <c r="R105" s="60" t="s">
        <v>1341</v>
      </c>
    </row>
    <row r="106" spans="1:18" s="60" customFormat="1" ht="96">
      <c r="A106" s="135">
        <v>105</v>
      </c>
      <c r="B106" s="53"/>
      <c r="C106" s="54"/>
      <c r="D106" s="54" t="s">
        <v>133</v>
      </c>
      <c r="E106" s="74">
        <v>40302.708333333336</v>
      </c>
      <c r="F106" s="52" t="s">
        <v>1576</v>
      </c>
      <c r="G106" s="52" t="s">
        <v>1188</v>
      </c>
      <c r="H106" s="52" t="s">
        <v>1171</v>
      </c>
      <c r="I106" s="52" t="s">
        <v>801</v>
      </c>
      <c r="J106" s="52" t="s">
        <v>593</v>
      </c>
      <c r="K106" s="52"/>
      <c r="L106" s="52"/>
      <c r="M106" s="52" t="s">
        <v>1170</v>
      </c>
      <c r="N106" s="52"/>
      <c r="O106" s="52"/>
      <c r="P106" s="52" t="s">
        <v>535</v>
      </c>
      <c r="Q106" s="52"/>
      <c r="R106" s="60" t="s">
        <v>427</v>
      </c>
    </row>
    <row r="107" spans="1:18" s="60" customFormat="1">
      <c r="A107" s="135">
        <v>106</v>
      </c>
      <c r="B107" s="53"/>
      <c r="C107" s="54"/>
      <c r="D107" s="54" t="s">
        <v>136</v>
      </c>
      <c r="E107" s="74">
        <v>40302.709027777775</v>
      </c>
      <c r="F107" s="52" t="s">
        <v>1098</v>
      </c>
      <c r="G107" s="52" t="s">
        <v>1188</v>
      </c>
      <c r="H107" s="52" t="s">
        <v>585</v>
      </c>
      <c r="I107" s="52" t="s">
        <v>801</v>
      </c>
      <c r="J107" s="52" t="s">
        <v>668</v>
      </c>
      <c r="K107" s="52"/>
      <c r="L107" s="52"/>
      <c r="M107" s="52" t="s">
        <v>1187</v>
      </c>
      <c r="N107" s="52"/>
      <c r="O107" s="52"/>
      <c r="P107" s="52" t="s">
        <v>1187</v>
      </c>
      <c r="Q107" s="52"/>
      <c r="R107" s="60" t="s">
        <v>427</v>
      </c>
    </row>
    <row r="108" spans="1:18" s="60" customFormat="1" ht="24">
      <c r="A108" s="135">
        <v>107</v>
      </c>
      <c r="B108" s="53"/>
      <c r="C108" s="54"/>
      <c r="D108" s="54" t="s">
        <v>136</v>
      </c>
      <c r="E108" s="74">
        <v>40302.711805555555</v>
      </c>
      <c r="F108" s="62" t="s">
        <v>1161</v>
      </c>
      <c r="G108" s="52" t="s">
        <v>1188</v>
      </c>
      <c r="H108" s="62" t="s">
        <v>593</v>
      </c>
      <c r="I108" s="52" t="s">
        <v>801</v>
      </c>
      <c r="J108" s="62" t="s">
        <v>668</v>
      </c>
      <c r="K108" s="52"/>
      <c r="L108" s="52"/>
      <c r="M108" s="62" t="s">
        <v>1462</v>
      </c>
      <c r="N108" s="52"/>
      <c r="O108" s="52"/>
      <c r="P108" s="62" t="s">
        <v>1167</v>
      </c>
      <c r="Q108" s="52"/>
      <c r="R108" s="60" t="s">
        <v>427</v>
      </c>
    </row>
    <row r="109" spans="1:18" s="60" customFormat="1" ht="24">
      <c r="A109" s="135">
        <v>108</v>
      </c>
      <c r="B109" s="53">
        <v>40302</v>
      </c>
      <c r="C109" s="54">
        <v>40302.666666666664</v>
      </c>
      <c r="D109" s="54" t="s">
        <v>133</v>
      </c>
      <c r="E109" s="61">
        <v>40302.713888888888</v>
      </c>
      <c r="F109" s="52" t="s">
        <v>1098</v>
      </c>
      <c r="G109" s="52" t="s">
        <v>425</v>
      </c>
      <c r="H109" s="62" t="s">
        <v>429</v>
      </c>
      <c r="I109" s="52" t="s">
        <v>1360</v>
      </c>
      <c r="J109" s="62" t="s">
        <v>426</v>
      </c>
      <c r="K109" s="52" t="s">
        <v>384</v>
      </c>
      <c r="L109" s="62" t="s">
        <v>423</v>
      </c>
      <c r="M109" s="95" t="s">
        <v>384</v>
      </c>
      <c r="N109" s="62"/>
      <c r="O109" s="52"/>
      <c r="Q109" s="52"/>
      <c r="R109" s="60" t="s">
        <v>427</v>
      </c>
    </row>
    <row r="110" spans="1:18" s="60" customFormat="1">
      <c r="A110" s="135">
        <v>109</v>
      </c>
      <c r="B110" s="53"/>
      <c r="C110" s="54"/>
      <c r="D110" s="54" t="s">
        <v>133</v>
      </c>
      <c r="E110" s="68">
        <v>40302.714583333334</v>
      </c>
      <c r="F110" s="52"/>
      <c r="G110" s="52" t="s">
        <v>425</v>
      </c>
      <c r="H110" s="62" t="s">
        <v>1159</v>
      </c>
      <c r="I110" s="52" t="s">
        <v>1360</v>
      </c>
      <c r="J110" s="62" t="s">
        <v>426</v>
      </c>
      <c r="K110" s="52"/>
      <c r="L110" s="62"/>
      <c r="M110" s="95"/>
      <c r="N110" s="62"/>
      <c r="O110" s="52"/>
      <c r="Q110" s="52"/>
      <c r="R110" s="60" t="s">
        <v>427</v>
      </c>
    </row>
    <row r="111" spans="1:18" s="60" customFormat="1" ht="144">
      <c r="A111" s="135">
        <v>110</v>
      </c>
      <c r="B111" s="53"/>
      <c r="C111" s="54"/>
      <c r="D111" s="54" t="s">
        <v>133</v>
      </c>
      <c r="E111" s="55">
        <v>40302.758333333331</v>
      </c>
      <c r="F111" s="52" t="s">
        <v>1098</v>
      </c>
      <c r="G111" s="52" t="s">
        <v>394</v>
      </c>
      <c r="H111" s="52" t="s">
        <v>1276</v>
      </c>
      <c r="I111" s="52" t="s">
        <v>1378</v>
      </c>
      <c r="J111" s="52" t="s">
        <v>680</v>
      </c>
      <c r="K111" s="52" t="s">
        <v>1521</v>
      </c>
      <c r="L111" s="52"/>
      <c r="M111" s="98" t="s">
        <v>1277</v>
      </c>
      <c r="N111" s="52"/>
      <c r="O111" s="98" t="s">
        <v>1277</v>
      </c>
      <c r="P111" s="52" t="s">
        <v>1215</v>
      </c>
      <c r="Q111" s="52"/>
      <c r="R111" s="60" t="s">
        <v>1298</v>
      </c>
    </row>
    <row r="112" spans="1:18" s="60" customFormat="1" ht="48">
      <c r="A112" s="135">
        <v>111</v>
      </c>
      <c r="B112" s="53"/>
      <c r="C112" s="54"/>
      <c r="D112" s="54" t="s">
        <v>133</v>
      </c>
      <c r="E112" s="55">
        <v>40302.760416666664</v>
      </c>
      <c r="F112" s="78" t="s">
        <v>1098</v>
      </c>
      <c r="G112" s="78" t="s">
        <v>425</v>
      </c>
      <c r="H112" s="78" t="s">
        <v>1259</v>
      </c>
      <c r="I112" s="52" t="s">
        <v>1367</v>
      </c>
      <c r="J112" s="78" t="s">
        <v>1262</v>
      </c>
      <c r="K112" s="78"/>
      <c r="L112" s="52"/>
      <c r="M112" s="95" t="s">
        <v>33</v>
      </c>
      <c r="N112" s="52"/>
      <c r="O112" s="52"/>
      <c r="P112" s="78" t="s">
        <v>1282</v>
      </c>
      <c r="Q112" s="52"/>
      <c r="R112" s="78" t="s">
        <v>1267</v>
      </c>
    </row>
    <row r="113" spans="1:18" s="60" customFormat="1" ht="156">
      <c r="A113" s="135">
        <v>112</v>
      </c>
      <c r="B113" s="53"/>
      <c r="C113" s="54"/>
      <c r="D113" s="54" t="s">
        <v>133</v>
      </c>
      <c r="E113" s="55">
        <v>40302.78125</v>
      </c>
      <c r="F113" s="52" t="s">
        <v>1098</v>
      </c>
      <c r="G113" s="52" t="s">
        <v>394</v>
      </c>
      <c r="H113" s="52" t="s">
        <v>1295</v>
      </c>
      <c r="I113" s="52" t="s">
        <v>1378</v>
      </c>
      <c r="J113" s="52" t="s">
        <v>802</v>
      </c>
      <c r="K113" s="52" t="s">
        <v>1523</v>
      </c>
      <c r="L113" s="52"/>
      <c r="M113" s="95" t="s">
        <v>1278</v>
      </c>
      <c r="N113" s="52"/>
      <c r="O113" s="95" t="s">
        <v>1278</v>
      </c>
      <c r="P113" s="52" t="s">
        <v>1210</v>
      </c>
      <c r="Q113" s="52"/>
      <c r="R113" s="60" t="s">
        <v>1298</v>
      </c>
    </row>
    <row r="114" spans="1:18" s="60" customFormat="1" ht="144">
      <c r="A114" s="135">
        <v>113</v>
      </c>
      <c r="B114" s="53">
        <v>40302.395833333336</v>
      </c>
      <c r="C114" s="54">
        <v>0.70833333333333337</v>
      </c>
      <c r="D114" s="54" t="s">
        <v>133</v>
      </c>
      <c r="E114" s="80">
        <v>40302.791666666664</v>
      </c>
      <c r="F114" s="52" t="s">
        <v>1527</v>
      </c>
      <c r="G114" s="52" t="s">
        <v>1188</v>
      </c>
      <c r="H114" s="52" t="s">
        <v>1245</v>
      </c>
      <c r="I114" s="52" t="s">
        <v>801</v>
      </c>
      <c r="J114" s="52" t="s">
        <v>802</v>
      </c>
      <c r="K114" s="52" t="s">
        <v>1235</v>
      </c>
      <c r="L114" s="52"/>
      <c r="M114" s="95" t="s">
        <v>1244</v>
      </c>
      <c r="N114" s="52"/>
      <c r="O114" s="52" t="s">
        <v>1224</v>
      </c>
      <c r="P114" s="52" t="s">
        <v>1225</v>
      </c>
      <c r="Q114" s="52" t="s">
        <v>1226</v>
      </c>
      <c r="R114" s="60" t="s">
        <v>891</v>
      </c>
    </row>
    <row r="115" spans="1:18" s="60" customFormat="1" ht="24">
      <c r="A115" s="135">
        <v>114</v>
      </c>
      <c r="B115" s="53"/>
      <c r="C115" s="54"/>
      <c r="D115" s="54" t="s">
        <v>133</v>
      </c>
      <c r="E115" s="55">
        <v>40302.822916666664</v>
      </c>
      <c r="F115" s="52" t="s">
        <v>430</v>
      </c>
      <c r="G115" s="52" t="s">
        <v>683</v>
      </c>
      <c r="H115" s="62" t="s">
        <v>678</v>
      </c>
      <c r="I115" s="52" t="s">
        <v>1378</v>
      </c>
      <c r="J115" s="62" t="s">
        <v>668</v>
      </c>
      <c r="K115" s="52"/>
      <c r="L115" s="62"/>
      <c r="M115" s="52" t="s">
        <v>1497</v>
      </c>
      <c r="N115" s="62"/>
      <c r="O115" s="52"/>
      <c r="P115" s="52" t="s">
        <v>1219</v>
      </c>
      <c r="Q115" s="52"/>
      <c r="R115" s="60" t="s">
        <v>1298</v>
      </c>
    </row>
    <row r="116" spans="1:18" s="60" customFormat="1" ht="36">
      <c r="A116" s="135">
        <v>115</v>
      </c>
      <c r="B116" s="53"/>
      <c r="C116" s="54"/>
      <c r="D116" s="54" t="s">
        <v>133</v>
      </c>
      <c r="E116" s="55">
        <v>40302.823611111111</v>
      </c>
      <c r="F116" s="78" t="s">
        <v>430</v>
      </c>
      <c r="G116" s="78" t="s">
        <v>425</v>
      </c>
      <c r="H116" s="78" t="s">
        <v>1260</v>
      </c>
      <c r="I116" s="52" t="s">
        <v>1362</v>
      </c>
      <c r="J116" s="78" t="s">
        <v>1264</v>
      </c>
      <c r="K116" s="78"/>
      <c r="L116" s="52"/>
      <c r="M116" s="78" t="s">
        <v>1498</v>
      </c>
      <c r="N116" s="52"/>
      <c r="O116" s="52"/>
      <c r="P116" s="78" t="s">
        <v>1248</v>
      </c>
      <c r="Q116" s="52"/>
      <c r="R116" s="78" t="s">
        <v>1267</v>
      </c>
    </row>
    <row r="117" spans="1:18" s="60" customFormat="1" ht="72">
      <c r="A117" s="135">
        <v>116</v>
      </c>
      <c r="B117" s="53"/>
      <c r="C117" s="54"/>
      <c r="D117" s="54" t="s">
        <v>133</v>
      </c>
      <c r="E117" s="55">
        <v>40302.826388888891</v>
      </c>
      <c r="F117" s="52" t="s">
        <v>1098</v>
      </c>
      <c r="G117" s="52" t="s">
        <v>394</v>
      </c>
      <c r="H117" s="52" t="s">
        <v>1295</v>
      </c>
      <c r="I117" s="52" t="s">
        <v>1362</v>
      </c>
      <c r="J117" s="52" t="s">
        <v>802</v>
      </c>
      <c r="K117" s="52" t="s">
        <v>1523</v>
      </c>
      <c r="L117" s="52"/>
      <c r="M117" s="95" t="s">
        <v>1525</v>
      </c>
      <c r="N117" s="52"/>
      <c r="O117" s="52"/>
      <c r="P117" s="95" t="s">
        <v>1209</v>
      </c>
      <c r="Q117" s="52"/>
      <c r="R117" s="60" t="s">
        <v>1298</v>
      </c>
    </row>
    <row r="118" spans="1:18" s="60" customFormat="1" ht="180">
      <c r="A118" s="135">
        <v>117</v>
      </c>
      <c r="B118" s="53">
        <v>40302</v>
      </c>
      <c r="C118" s="54">
        <v>40302.916666666664</v>
      </c>
      <c r="D118" s="54" t="s">
        <v>133</v>
      </c>
      <c r="E118" s="61">
        <v>40302.916666666664</v>
      </c>
      <c r="F118" s="52" t="s">
        <v>1098</v>
      </c>
      <c r="G118" s="52" t="s">
        <v>425</v>
      </c>
      <c r="H118" s="62" t="s">
        <v>429</v>
      </c>
      <c r="I118" s="52" t="s">
        <v>1360</v>
      </c>
      <c r="J118" s="62" t="s">
        <v>426</v>
      </c>
      <c r="K118" s="52" t="s">
        <v>385</v>
      </c>
      <c r="L118" s="62" t="s">
        <v>423</v>
      </c>
      <c r="M118" s="95" t="s">
        <v>385</v>
      </c>
      <c r="N118" s="62"/>
      <c r="O118" s="52"/>
      <c r="P118" s="52" t="s">
        <v>1206</v>
      </c>
      <c r="Q118" s="52"/>
      <c r="R118" s="60" t="s">
        <v>427</v>
      </c>
    </row>
    <row r="119" spans="1:18" s="60" customFormat="1" ht="180">
      <c r="A119" s="135">
        <v>118</v>
      </c>
      <c r="B119" s="53">
        <v>40303</v>
      </c>
      <c r="C119" s="54">
        <v>40303.166666666664</v>
      </c>
      <c r="D119" s="54" t="s">
        <v>133</v>
      </c>
      <c r="E119" s="61">
        <v>40303.166666666664</v>
      </c>
      <c r="F119" s="52" t="s">
        <v>1098</v>
      </c>
      <c r="G119" s="52" t="s">
        <v>425</v>
      </c>
      <c r="H119" s="62" t="s">
        <v>429</v>
      </c>
      <c r="I119" s="52" t="s">
        <v>1360</v>
      </c>
      <c r="J119" s="62" t="s">
        <v>426</v>
      </c>
      <c r="K119" s="52" t="s">
        <v>386</v>
      </c>
      <c r="L119" s="62" t="s">
        <v>423</v>
      </c>
      <c r="M119" s="95" t="s">
        <v>386</v>
      </c>
      <c r="N119" s="62"/>
      <c r="O119" s="52"/>
      <c r="P119" s="52" t="s">
        <v>1207</v>
      </c>
      <c r="Q119" s="52"/>
      <c r="R119" s="60" t="s">
        <v>427</v>
      </c>
    </row>
    <row r="120" spans="1:18" s="60" customFormat="1" ht="36">
      <c r="A120" s="135">
        <v>119</v>
      </c>
      <c r="B120" s="53"/>
      <c r="C120" s="81"/>
      <c r="D120" s="54" t="s">
        <v>136</v>
      </c>
      <c r="E120" s="138">
        <v>40303.208333333336</v>
      </c>
      <c r="F120" s="122" t="s">
        <v>1567</v>
      </c>
      <c r="G120" s="124" t="s">
        <v>1580</v>
      </c>
      <c r="H120" s="52"/>
      <c r="I120" s="52"/>
      <c r="J120" s="52"/>
      <c r="K120" s="52"/>
      <c r="L120" s="52"/>
      <c r="M120" s="52"/>
      <c r="N120" s="52"/>
      <c r="O120" s="52"/>
      <c r="P120" s="52"/>
      <c r="Q120" s="52"/>
      <c r="R120" s="60" t="s">
        <v>1581</v>
      </c>
    </row>
    <row r="121" spans="1:18" s="60" customFormat="1" ht="60">
      <c r="A121" s="135">
        <v>120</v>
      </c>
      <c r="B121" s="53"/>
      <c r="C121" s="81"/>
      <c r="D121" s="54" t="s">
        <v>136</v>
      </c>
      <c r="E121" s="138">
        <v>40303.208333333336</v>
      </c>
      <c r="F121" s="122" t="s">
        <v>1568</v>
      </c>
      <c r="G121" s="124" t="s">
        <v>1580</v>
      </c>
      <c r="H121" s="52"/>
      <c r="I121" s="52"/>
      <c r="J121" s="52"/>
      <c r="K121" s="52"/>
      <c r="L121" s="52"/>
      <c r="M121" s="52"/>
      <c r="N121" s="52"/>
      <c r="O121" s="52"/>
      <c r="P121" s="52"/>
      <c r="Q121" s="52"/>
      <c r="R121" s="60" t="s">
        <v>1581</v>
      </c>
    </row>
    <row r="122" spans="1:18" s="60" customFormat="1" ht="24">
      <c r="A122" s="135">
        <v>121</v>
      </c>
      <c r="B122" s="53"/>
      <c r="C122" s="54"/>
      <c r="D122" s="54" t="s">
        <v>133</v>
      </c>
      <c r="E122" s="61">
        <v>40303.291666666664</v>
      </c>
      <c r="F122" s="62" t="s">
        <v>1161</v>
      </c>
      <c r="G122" s="52" t="s">
        <v>1188</v>
      </c>
      <c r="H122" s="62" t="s">
        <v>593</v>
      </c>
      <c r="I122" s="52" t="s">
        <v>801</v>
      </c>
      <c r="J122" s="62" t="s">
        <v>668</v>
      </c>
      <c r="K122" s="52"/>
      <c r="L122" s="52"/>
      <c r="M122" s="62" t="s">
        <v>1499</v>
      </c>
      <c r="N122" s="52"/>
      <c r="O122" s="52"/>
      <c r="P122" s="62" t="s">
        <v>1140</v>
      </c>
      <c r="Q122" s="52"/>
      <c r="R122" s="60" t="s">
        <v>427</v>
      </c>
    </row>
    <row r="123" spans="1:18" s="60" customFormat="1" ht="72">
      <c r="A123" s="135">
        <v>122</v>
      </c>
      <c r="B123" s="53">
        <v>40303.3125</v>
      </c>
      <c r="C123" s="54">
        <v>40303.3125</v>
      </c>
      <c r="D123" s="54" t="s">
        <v>133</v>
      </c>
      <c r="E123" s="61">
        <v>40303.3125</v>
      </c>
      <c r="F123" s="52" t="s">
        <v>1500</v>
      </c>
      <c r="G123" s="52" t="s">
        <v>1188</v>
      </c>
      <c r="H123" s="62" t="s">
        <v>585</v>
      </c>
      <c r="I123" s="52" t="s">
        <v>801</v>
      </c>
      <c r="J123" s="62" t="s">
        <v>802</v>
      </c>
      <c r="K123" s="52" t="s">
        <v>797</v>
      </c>
      <c r="L123" s="62"/>
      <c r="M123" s="95" t="s">
        <v>807</v>
      </c>
      <c r="N123" s="62"/>
      <c r="O123" s="52"/>
      <c r="P123" s="52" t="s">
        <v>808</v>
      </c>
      <c r="Q123" s="52"/>
      <c r="R123" s="60" t="s">
        <v>891</v>
      </c>
    </row>
    <row r="124" spans="1:18" s="60" customFormat="1" ht="96">
      <c r="A124" s="135">
        <v>123</v>
      </c>
      <c r="B124" s="53"/>
      <c r="C124" s="81"/>
      <c r="D124" s="54" t="s">
        <v>133</v>
      </c>
      <c r="E124" s="138">
        <v>40303.333333333336</v>
      </c>
      <c r="F124" s="122" t="s">
        <v>1569</v>
      </c>
      <c r="G124" s="124" t="s">
        <v>1570</v>
      </c>
      <c r="H124" s="52"/>
      <c r="I124" s="52"/>
      <c r="J124" s="52"/>
      <c r="K124" s="52"/>
      <c r="L124" s="52"/>
      <c r="M124" s="52"/>
      <c r="N124" s="52"/>
      <c r="O124" s="52"/>
      <c r="P124" s="52"/>
      <c r="Q124" s="52"/>
      <c r="R124" s="60" t="s">
        <v>1581</v>
      </c>
    </row>
    <row r="125" spans="1:18" s="60" customFormat="1" ht="72">
      <c r="A125" s="135">
        <v>124</v>
      </c>
      <c r="B125" s="53"/>
      <c r="C125" s="81"/>
      <c r="D125" s="54" t="s">
        <v>133</v>
      </c>
      <c r="E125" s="138">
        <v>40303.333333333336</v>
      </c>
      <c r="F125" s="122" t="s">
        <v>1571</v>
      </c>
      <c r="G125" s="124" t="s">
        <v>1580</v>
      </c>
      <c r="H125" s="52"/>
      <c r="I125" s="52"/>
      <c r="J125" s="52"/>
      <c r="K125" s="52"/>
      <c r="L125" s="52"/>
      <c r="M125" s="52"/>
      <c r="N125" s="52"/>
      <c r="O125" s="52"/>
      <c r="P125" s="52"/>
      <c r="Q125" s="52"/>
      <c r="R125" s="60" t="s">
        <v>1581</v>
      </c>
    </row>
    <row r="126" spans="1:18" s="60" customFormat="1" ht="60">
      <c r="A126" s="135">
        <v>125</v>
      </c>
      <c r="B126" s="53"/>
      <c r="C126" s="81"/>
      <c r="D126" s="54" t="s">
        <v>133</v>
      </c>
      <c r="E126" s="138">
        <v>40303.333333333336</v>
      </c>
      <c r="F126" s="122" t="s">
        <v>1572</v>
      </c>
      <c r="G126" s="124" t="s">
        <v>1580</v>
      </c>
      <c r="H126" s="52"/>
      <c r="I126" s="52"/>
      <c r="J126" s="52"/>
      <c r="K126" s="52"/>
      <c r="L126" s="52"/>
      <c r="M126" s="52"/>
      <c r="N126" s="52"/>
      <c r="O126" s="52"/>
      <c r="P126" s="52"/>
      <c r="Q126" s="52"/>
      <c r="R126" s="60" t="s">
        <v>1581</v>
      </c>
    </row>
    <row r="127" spans="1:18" s="60" customFormat="1" ht="24">
      <c r="A127" s="135">
        <v>126</v>
      </c>
      <c r="B127" s="53"/>
      <c r="C127" s="54"/>
      <c r="D127" s="54" t="s">
        <v>133</v>
      </c>
      <c r="E127" s="80">
        <v>40303.375</v>
      </c>
      <c r="F127" s="52" t="s">
        <v>430</v>
      </c>
      <c r="G127" s="52" t="s">
        <v>683</v>
      </c>
      <c r="H127" s="62" t="s">
        <v>678</v>
      </c>
      <c r="I127" s="52" t="s">
        <v>1370</v>
      </c>
      <c r="J127" s="62" t="s">
        <v>680</v>
      </c>
      <c r="K127" s="52"/>
      <c r="L127" s="62"/>
      <c r="M127" s="95" t="s">
        <v>1501</v>
      </c>
      <c r="N127" s="62"/>
      <c r="O127" s="52"/>
      <c r="P127" s="52" t="s">
        <v>685</v>
      </c>
      <c r="Q127" s="52" t="s">
        <v>686</v>
      </c>
      <c r="R127" s="60" t="s">
        <v>657</v>
      </c>
    </row>
    <row r="128" spans="1:18" s="60" customFormat="1" ht="36">
      <c r="A128" s="135">
        <v>127</v>
      </c>
      <c r="B128" s="53"/>
      <c r="C128" s="54"/>
      <c r="D128" s="54" t="s">
        <v>133</v>
      </c>
      <c r="E128" s="80">
        <v>40303.375694444447</v>
      </c>
      <c r="F128" s="60" t="s">
        <v>430</v>
      </c>
      <c r="G128" s="52" t="s">
        <v>425</v>
      </c>
      <c r="H128" s="62"/>
      <c r="I128" s="52" t="s">
        <v>1361</v>
      </c>
      <c r="J128" s="62"/>
      <c r="K128" s="52" t="s">
        <v>1541</v>
      </c>
      <c r="L128" s="62"/>
      <c r="M128" s="95" t="s">
        <v>1502</v>
      </c>
      <c r="N128" s="62" t="s">
        <v>778</v>
      </c>
      <c r="O128" s="52"/>
      <c r="P128" s="60" t="s">
        <v>773</v>
      </c>
      <c r="Q128" s="52"/>
      <c r="R128" s="60" t="s">
        <v>810</v>
      </c>
    </row>
    <row r="129" spans="1:18" s="60" customFormat="1" ht="36">
      <c r="A129" s="135">
        <v>128</v>
      </c>
      <c r="B129" s="53"/>
      <c r="C129" s="54"/>
      <c r="D129" s="54" t="s">
        <v>133</v>
      </c>
      <c r="E129" s="61">
        <v>40303.376388888886</v>
      </c>
      <c r="F129" s="52" t="s">
        <v>1161</v>
      </c>
      <c r="G129" s="52" t="s">
        <v>1188</v>
      </c>
      <c r="H129" s="52" t="s">
        <v>1138</v>
      </c>
      <c r="I129" s="52" t="s">
        <v>801</v>
      </c>
      <c r="J129" s="52" t="s">
        <v>593</v>
      </c>
      <c r="K129" s="52"/>
      <c r="L129" s="52"/>
      <c r="M129" s="95" t="s">
        <v>1503</v>
      </c>
      <c r="N129" s="52"/>
      <c r="O129" s="52"/>
      <c r="P129" s="52" t="s">
        <v>1139</v>
      </c>
      <c r="Q129" s="52"/>
      <c r="R129" s="60" t="s">
        <v>427</v>
      </c>
    </row>
    <row r="130" spans="1:18" s="60" customFormat="1" ht="24">
      <c r="A130" s="135">
        <v>129</v>
      </c>
      <c r="B130" s="53">
        <v>40302</v>
      </c>
      <c r="C130" s="63">
        <v>0.375</v>
      </c>
      <c r="D130" s="54" t="s">
        <v>133</v>
      </c>
      <c r="E130" s="68">
        <v>40303.376388888886</v>
      </c>
      <c r="F130" s="52" t="s">
        <v>1098</v>
      </c>
      <c r="G130" s="64" t="s">
        <v>394</v>
      </c>
      <c r="H130" s="64" t="s">
        <v>614</v>
      </c>
      <c r="I130" s="52" t="s">
        <v>1363</v>
      </c>
      <c r="J130" s="52" t="s">
        <v>616</v>
      </c>
      <c r="K130" s="52" t="s">
        <v>1546</v>
      </c>
      <c r="L130" s="52"/>
      <c r="M130" s="52" t="s">
        <v>613</v>
      </c>
      <c r="N130" s="52" t="s">
        <v>617</v>
      </c>
      <c r="O130" s="52"/>
      <c r="P130" s="52" t="s">
        <v>618</v>
      </c>
      <c r="Q130" s="52"/>
      <c r="R130" s="60" t="s">
        <v>619</v>
      </c>
    </row>
    <row r="131" spans="1:18" s="60" customFormat="1" ht="24">
      <c r="A131" s="135">
        <v>130</v>
      </c>
      <c r="B131" s="53"/>
      <c r="C131" s="54"/>
      <c r="D131" s="54" t="s">
        <v>133</v>
      </c>
      <c r="E131" s="61">
        <v>40303.377083333333</v>
      </c>
      <c r="F131" s="52" t="s">
        <v>1161</v>
      </c>
      <c r="G131" s="52" t="s">
        <v>1188</v>
      </c>
      <c r="H131" s="52" t="s">
        <v>593</v>
      </c>
      <c r="I131" s="52" t="s">
        <v>801</v>
      </c>
      <c r="J131" s="52" t="s">
        <v>668</v>
      </c>
      <c r="K131" s="52"/>
      <c r="L131" s="52"/>
      <c r="M131" s="52" t="s">
        <v>1504</v>
      </c>
      <c r="N131" s="52"/>
      <c r="O131" s="52"/>
      <c r="P131" s="52" t="s">
        <v>789</v>
      </c>
      <c r="Q131" s="52"/>
      <c r="R131" s="60" t="s">
        <v>427</v>
      </c>
    </row>
    <row r="132" spans="1:18" s="60" customFormat="1" ht="24">
      <c r="A132" s="135">
        <v>131</v>
      </c>
      <c r="B132" s="53"/>
      <c r="C132" s="54"/>
      <c r="D132" s="54" t="s">
        <v>133</v>
      </c>
      <c r="E132" s="80">
        <v>40303.37777777778</v>
      </c>
      <c r="F132" s="52" t="s">
        <v>430</v>
      </c>
      <c r="G132" s="52" t="s">
        <v>683</v>
      </c>
      <c r="H132" s="62" t="s">
        <v>678</v>
      </c>
      <c r="I132" s="52" t="s">
        <v>1370</v>
      </c>
      <c r="J132" s="62" t="s">
        <v>680</v>
      </c>
      <c r="K132" s="52" t="s">
        <v>688</v>
      </c>
      <c r="L132" s="62"/>
      <c r="M132" s="52" t="s">
        <v>687</v>
      </c>
      <c r="N132" s="62"/>
      <c r="O132" s="52"/>
      <c r="P132" s="52" t="s">
        <v>688</v>
      </c>
      <c r="Q132" s="52" t="s">
        <v>689</v>
      </c>
      <c r="R132" s="60" t="s">
        <v>657</v>
      </c>
    </row>
    <row r="133" spans="1:18" s="60" customFormat="1" ht="24">
      <c r="A133" s="135">
        <v>132</v>
      </c>
      <c r="B133" s="53"/>
      <c r="C133" s="54"/>
      <c r="D133" s="54" t="s">
        <v>133</v>
      </c>
      <c r="E133" s="80">
        <v>40303.378472222219</v>
      </c>
      <c r="F133" s="60" t="s">
        <v>430</v>
      </c>
      <c r="G133" s="52" t="s">
        <v>425</v>
      </c>
      <c r="H133" s="62"/>
      <c r="I133" s="52" t="s">
        <v>1361</v>
      </c>
      <c r="J133" s="62"/>
      <c r="K133" s="52" t="s">
        <v>1541</v>
      </c>
      <c r="L133" s="62"/>
      <c r="M133" s="60" t="s">
        <v>811</v>
      </c>
      <c r="N133" s="52" t="s">
        <v>783</v>
      </c>
      <c r="O133" s="52"/>
      <c r="P133" s="60" t="s">
        <v>816</v>
      </c>
      <c r="Q133" s="52"/>
      <c r="R133" s="60" t="s">
        <v>810</v>
      </c>
    </row>
    <row r="134" spans="1:18" s="60" customFormat="1" ht="24">
      <c r="A134" s="135">
        <v>133</v>
      </c>
      <c r="B134" s="53"/>
      <c r="C134" s="54"/>
      <c r="D134" s="54" t="s">
        <v>133</v>
      </c>
      <c r="E134" s="61">
        <v>40303.396527777775</v>
      </c>
      <c r="F134" s="52" t="s">
        <v>1161</v>
      </c>
      <c r="G134" s="52" t="s">
        <v>1188</v>
      </c>
      <c r="H134" s="52" t="s">
        <v>279</v>
      </c>
      <c r="I134" s="52" t="s">
        <v>801</v>
      </c>
      <c r="J134" s="52" t="s">
        <v>1159</v>
      </c>
      <c r="K134" s="52"/>
      <c r="L134" s="52">
        <v>13</v>
      </c>
      <c r="M134" s="52" t="s">
        <v>1505</v>
      </c>
      <c r="N134" s="52"/>
      <c r="O134" s="52"/>
      <c r="P134" s="52" t="s">
        <v>1169</v>
      </c>
      <c r="Q134" s="52"/>
      <c r="R134" s="60" t="s">
        <v>427</v>
      </c>
    </row>
    <row r="135" spans="1:18" s="60" customFormat="1" ht="24">
      <c r="A135" s="135">
        <v>134</v>
      </c>
      <c r="B135" s="53">
        <v>40303</v>
      </c>
      <c r="C135" s="63">
        <v>0.39583333333333331</v>
      </c>
      <c r="D135" s="54" t="s">
        <v>133</v>
      </c>
      <c r="E135" s="68">
        <v>40303.397222222222</v>
      </c>
      <c r="F135" s="52" t="s">
        <v>430</v>
      </c>
      <c r="G135" s="64" t="s">
        <v>394</v>
      </c>
      <c r="H135" s="64" t="s">
        <v>625</v>
      </c>
      <c r="I135" s="52" t="s">
        <v>1363</v>
      </c>
      <c r="J135" s="52" t="s">
        <v>623</v>
      </c>
      <c r="K135" s="52"/>
      <c r="L135" s="52"/>
      <c r="M135" s="95" t="s">
        <v>1506</v>
      </c>
      <c r="N135" s="52" t="s">
        <v>626</v>
      </c>
      <c r="O135" s="52"/>
      <c r="P135" s="52" t="s">
        <v>574</v>
      </c>
      <c r="Q135" s="52"/>
      <c r="R135" s="60" t="s">
        <v>619</v>
      </c>
    </row>
    <row r="136" spans="1:18" s="60" customFormat="1" ht="36">
      <c r="A136" s="135">
        <v>135</v>
      </c>
      <c r="B136" s="53"/>
      <c r="C136" s="54"/>
      <c r="D136" s="54" t="s">
        <v>133</v>
      </c>
      <c r="E136" s="55">
        <v>40303.40625</v>
      </c>
      <c r="F136" s="52" t="s">
        <v>430</v>
      </c>
      <c r="G136" s="52" t="s">
        <v>394</v>
      </c>
      <c r="H136" s="52" t="s">
        <v>1379</v>
      </c>
      <c r="I136" s="52" t="s">
        <v>1378</v>
      </c>
      <c r="J136" s="52" t="s">
        <v>680</v>
      </c>
      <c r="K136" s="52"/>
      <c r="L136" s="52"/>
      <c r="M136" s="95" t="s">
        <v>1507</v>
      </c>
      <c r="N136" s="52"/>
      <c r="O136" s="52"/>
      <c r="P136" s="65" t="s">
        <v>1271</v>
      </c>
      <c r="Q136" s="52"/>
      <c r="R136" s="60" t="s">
        <v>1298</v>
      </c>
    </row>
    <row r="137" spans="1:18" s="60" customFormat="1">
      <c r="A137" s="135">
        <v>136</v>
      </c>
      <c r="B137" s="53"/>
      <c r="C137" s="54"/>
      <c r="D137" s="54" t="s">
        <v>133</v>
      </c>
      <c r="E137" s="80">
        <v>40303.416666666664</v>
      </c>
      <c r="F137" s="52" t="s">
        <v>430</v>
      </c>
      <c r="G137" s="52" t="s">
        <v>394</v>
      </c>
      <c r="H137" s="52"/>
      <c r="I137" s="52" t="s">
        <v>801</v>
      </c>
      <c r="J137" s="62" t="s">
        <v>668</v>
      </c>
      <c r="K137" s="52" t="s">
        <v>669</v>
      </c>
      <c r="L137" s="62"/>
      <c r="M137" s="95" t="s">
        <v>1507</v>
      </c>
      <c r="N137" s="62"/>
      <c r="O137" s="52"/>
      <c r="P137" s="52" t="s">
        <v>669</v>
      </c>
      <c r="Q137" s="52" t="s">
        <v>670</v>
      </c>
      <c r="R137" s="60" t="s">
        <v>657</v>
      </c>
    </row>
    <row r="138" spans="1:18" s="60" customFormat="1">
      <c r="A138" s="135">
        <v>137</v>
      </c>
      <c r="B138" s="53"/>
      <c r="C138" s="54"/>
      <c r="D138" s="54" t="s">
        <v>133</v>
      </c>
      <c r="E138" s="80">
        <v>40303.416666666664</v>
      </c>
      <c r="F138" s="52" t="s">
        <v>430</v>
      </c>
      <c r="G138" s="52" t="s">
        <v>652</v>
      </c>
      <c r="H138" s="62" t="s">
        <v>652</v>
      </c>
      <c r="I138" s="52" t="s">
        <v>1365</v>
      </c>
      <c r="J138" s="62" t="s">
        <v>668</v>
      </c>
      <c r="K138" s="52"/>
      <c r="L138" s="62"/>
      <c r="M138" s="95" t="s">
        <v>1468</v>
      </c>
      <c r="N138" s="62"/>
      <c r="O138" s="52"/>
      <c r="P138" s="52" t="s">
        <v>656</v>
      </c>
      <c r="Q138" s="52"/>
      <c r="R138" s="60" t="s">
        <v>657</v>
      </c>
    </row>
    <row r="139" spans="1:18" s="60" customFormat="1" ht="24">
      <c r="A139" s="135">
        <v>138</v>
      </c>
      <c r="B139" s="53"/>
      <c r="C139" s="81"/>
      <c r="D139" s="54" t="s">
        <v>136</v>
      </c>
      <c r="E139" s="138">
        <v>40303.416666666664</v>
      </c>
      <c r="F139" s="122" t="s">
        <v>1573</v>
      </c>
      <c r="G139" s="124" t="s">
        <v>1580</v>
      </c>
      <c r="H139" s="52"/>
      <c r="I139" s="52"/>
      <c r="J139" s="52"/>
      <c r="K139" s="52"/>
      <c r="L139" s="52"/>
      <c r="M139" s="52"/>
      <c r="N139" s="52"/>
      <c r="O139" s="52"/>
      <c r="P139" s="52"/>
      <c r="Q139" s="52"/>
      <c r="R139" s="60" t="s">
        <v>1581</v>
      </c>
    </row>
    <row r="140" spans="1:18" s="60" customFormat="1" ht="180">
      <c r="A140" s="135">
        <v>139</v>
      </c>
      <c r="B140" s="53">
        <v>40303</v>
      </c>
      <c r="C140" s="54">
        <v>40303.416666666664</v>
      </c>
      <c r="D140" s="54" t="s">
        <v>133</v>
      </c>
      <c r="E140" s="61">
        <v>40303.417361111111</v>
      </c>
      <c r="F140" s="52" t="s">
        <v>1098</v>
      </c>
      <c r="G140" s="52" t="s">
        <v>425</v>
      </c>
      <c r="H140" s="62" t="s">
        <v>429</v>
      </c>
      <c r="I140" s="52" t="s">
        <v>1360</v>
      </c>
      <c r="J140" s="62" t="s">
        <v>426</v>
      </c>
      <c r="K140" s="52" t="s">
        <v>387</v>
      </c>
      <c r="L140" s="62" t="s">
        <v>423</v>
      </c>
      <c r="M140" s="95" t="s">
        <v>387</v>
      </c>
      <c r="N140" s="62"/>
      <c r="O140" s="52"/>
      <c r="P140" s="52" t="s">
        <v>543</v>
      </c>
      <c r="Q140" s="52"/>
      <c r="R140" s="60" t="s">
        <v>427</v>
      </c>
    </row>
    <row r="141" spans="1:18" s="60" customFormat="1" ht="24">
      <c r="A141" s="135">
        <v>140</v>
      </c>
      <c r="B141" s="53"/>
      <c r="C141" s="54"/>
      <c r="D141" s="54" t="s">
        <v>133</v>
      </c>
      <c r="E141" s="80">
        <v>40303.4375</v>
      </c>
      <c r="F141" s="52" t="s">
        <v>430</v>
      </c>
      <c r="G141" s="52" t="s">
        <v>425</v>
      </c>
      <c r="H141" s="52"/>
      <c r="I141" s="52" t="s">
        <v>1366</v>
      </c>
      <c r="J141" s="52"/>
      <c r="K141" s="52"/>
      <c r="L141" s="52"/>
      <c r="M141" s="95" t="s">
        <v>1508</v>
      </c>
      <c r="N141" s="52"/>
      <c r="O141" s="52"/>
      <c r="P141" s="60" t="s">
        <v>1290</v>
      </c>
      <c r="Q141" s="52"/>
      <c r="R141" s="60" t="s">
        <v>1294</v>
      </c>
    </row>
    <row r="142" spans="1:18" s="60" customFormat="1" ht="36">
      <c r="A142" s="135">
        <v>141</v>
      </c>
      <c r="B142" s="53">
        <v>40303</v>
      </c>
      <c r="C142" s="63">
        <v>0.5</v>
      </c>
      <c r="D142" s="54" t="s">
        <v>133</v>
      </c>
      <c r="E142" s="55">
        <v>40303.5</v>
      </c>
      <c r="F142" s="52" t="s">
        <v>430</v>
      </c>
      <c r="G142" s="64" t="s">
        <v>425</v>
      </c>
      <c r="H142" s="64" t="s">
        <v>431</v>
      </c>
      <c r="I142" s="52" t="s">
        <v>432</v>
      </c>
      <c r="J142" s="52" t="s">
        <v>433</v>
      </c>
      <c r="K142" s="52"/>
      <c r="L142" s="52"/>
      <c r="M142" s="95" t="s">
        <v>434</v>
      </c>
      <c r="N142" s="52" t="s">
        <v>435</v>
      </c>
      <c r="O142" s="52"/>
      <c r="P142" s="52" t="s">
        <v>436</v>
      </c>
      <c r="Q142" s="52"/>
      <c r="R142" s="60" t="s">
        <v>437</v>
      </c>
    </row>
    <row r="143" spans="1:18" s="60" customFormat="1" ht="72">
      <c r="A143" s="135">
        <v>142</v>
      </c>
      <c r="B143" s="53">
        <v>40303</v>
      </c>
      <c r="C143" s="63">
        <v>0.5</v>
      </c>
      <c r="D143" s="54" t="s">
        <v>133</v>
      </c>
      <c r="E143" s="55">
        <v>40303.500694444447</v>
      </c>
      <c r="F143" s="52" t="s">
        <v>430</v>
      </c>
      <c r="G143" s="64" t="s">
        <v>425</v>
      </c>
      <c r="H143" s="64" t="s">
        <v>431</v>
      </c>
      <c r="I143" s="52" t="s">
        <v>432</v>
      </c>
      <c r="J143" s="52" t="s">
        <v>433</v>
      </c>
      <c r="K143" s="52"/>
      <c r="L143" s="52"/>
      <c r="M143" s="95" t="s">
        <v>438</v>
      </c>
      <c r="N143" s="52" t="s">
        <v>367</v>
      </c>
      <c r="O143" s="52"/>
      <c r="P143" s="52" t="s">
        <v>368</v>
      </c>
      <c r="Q143" s="52"/>
      <c r="R143" s="60" t="s">
        <v>437</v>
      </c>
    </row>
    <row r="144" spans="1:18" s="60" customFormat="1" ht="24">
      <c r="A144" s="135">
        <v>143</v>
      </c>
      <c r="B144" s="53"/>
      <c r="C144" s="54"/>
      <c r="D144" s="54" t="s">
        <v>133</v>
      </c>
      <c r="E144" s="80">
        <v>40303.541666666664</v>
      </c>
      <c r="F144" s="60" t="s">
        <v>430</v>
      </c>
      <c r="G144" s="52" t="s">
        <v>425</v>
      </c>
      <c r="H144" s="62"/>
      <c r="I144" s="52" t="s">
        <v>1361</v>
      </c>
      <c r="J144" s="62"/>
      <c r="K144" s="52" t="s">
        <v>1541</v>
      </c>
      <c r="L144" s="62"/>
      <c r="M144" s="95"/>
      <c r="N144" s="62" t="s">
        <v>785</v>
      </c>
      <c r="O144" s="52"/>
      <c r="P144" s="60" t="s">
        <v>814</v>
      </c>
      <c r="Q144" s="52"/>
      <c r="R144" s="60" t="s">
        <v>810</v>
      </c>
    </row>
    <row r="145" spans="1:18" s="60" customFormat="1" ht="24">
      <c r="A145" s="135">
        <v>144</v>
      </c>
      <c r="B145" s="53"/>
      <c r="C145" s="54"/>
      <c r="D145" s="54" t="s">
        <v>133</v>
      </c>
      <c r="E145" s="55">
        <v>40303.59375</v>
      </c>
      <c r="F145" s="52" t="s">
        <v>430</v>
      </c>
      <c r="G145" s="52" t="s">
        <v>683</v>
      </c>
      <c r="H145" s="62" t="s">
        <v>678</v>
      </c>
      <c r="I145" s="52" t="s">
        <v>801</v>
      </c>
      <c r="J145" s="62" t="s">
        <v>668</v>
      </c>
      <c r="K145" s="52"/>
      <c r="L145" s="62"/>
      <c r="M145" s="52" t="s">
        <v>1281</v>
      </c>
      <c r="N145" s="62"/>
      <c r="O145" s="52"/>
      <c r="P145" s="52" t="s">
        <v>1281</v>
      </c>
      <c r="Q145" s="52"/>
      <c r="R145" s="60" t="s">
        <v>1298</v>
      </c>
    </row>
    <row r="146" spans="1:18" s="60" customFormat="1" ht="86.25" customHeight="1">
      <c r="A146" s="135">
        <v>145</v>
      </c>
      <c r="B146" s="53"/>
      <c r="C146" s="54"/>
      <c r="D146" s="54" t="s">
        <v>133</v>
      </c>
      <c r="E146" s="55">
        <v>40303.594444444447</v>
      </c>
      <c r="F146" s="78" t="s">
        <v>1098</v>
      </c>
      <c r="G146" s="78" t="s">
        <v>425</v>
      </c>
      <c r="H146" s="78" t="s">
        <v>1260</v>
      </c>
      <c r="I146" s="52" t="s">
        <v>1367</v>
      </c>
      <c r="J146" s="78" t="s">
        <v>623</v>
      </c>
      <c r="K146" s="52" t="s">
        <v>34</v>
      </c>
      <c r="L146" s="52"/>
      <c r="M146" s="78" t="s">
        <v>35</v>
      </c>
      <c r="N146" s="52" t="s">
        <v>36</v>
      </c>
      <c r="O146" s="52"/>
      <c r="P146" s="78" t="s">
        <v>35</v>
      </c>
      <c r="Q146" s="52"/>
      <c r="R146" s="78" t="s">
        <v>1267</v>
      </c>
    </row>
    <row r="147" spans="1:18" s="60" customFormat="1" ht="24">
      <c r="A147" s="135">
        <v>146</v>
      </c>
      <c r="B147" s="53"/>
      <c r="C147" s="54"/>
      <c r="D147" s="54" t="s">
        <v>133</v>
      </c>
      <c r="E147" s="61">
        <v>40303.604166666664</v>
      </c>
      <c r="F147" s="52" t="s">
        <v>1161</v>
      </c>
      <c r="G147" s="52" t="s">
        <v>1188</v>
      </c>
      <c r="H147" s="52" t="s">
        <v>279</v>
      </c>
      <c r="I147" s="52" t="s">
        <v>801</v>
      </c>
      <c r="J147" s="52" t="s">
        <v>1159</v>
      </c>
      <c r="K147" s="52"/>
      <c r="L147" s="52">
        <v>13</v>
      </c>
      <c r="M147" s="52" t="s">
        <v>1512</v>
      </c>
      <c r="N147" s="52"/>
      <c r="O147" s="52"/>
      <c r="P147" s="52" t="s">
        <v>1168</v>
      </c>
      <c r="Q147" s="52"/>
      <c r="R147" s="60" t="s">
        <v>427</v>
      </c>
    </row>
    <row r="148" spans="1:18" s="60" customFormat="1" ht="48">
      <c r="A148" s="135">
        <v>147</v>
      </c>
      <c r="B148" s="53"/>
      <c r="C148" s="54"/>
      <c r="D148" s="54" t="s">
        <v>133</v>
      </c>
      <c r="E148" s="80">
        <v>40303.625</v>
      </c>
      <c r="F148" s="60" t="s">
        <v>430</v>
      </c>
      <c r="G148" s="52" t="s">
        <v>425</v>
      </c>
      <c r="H148" s="62"/>
      <c r="I148" s="52" t="s">
        <v>1361</v>
      </c>
      <c r="J148" s="62"/>
      <c r="K148" s="52" t="s">
        <v>1541</v>
      </c>
      <c r="L148" s="62"/>
      <c r="M148" s="95"/>
      <c r="N148" s="62" t="s">
        <v>779</v>
      </c>
      <c r="O148" s="52"/>
      <c r="P148" s="60" t="s">
        <v>772</v>
      </c>
      <c r="Q148" s="52"/>
      <c r="R148" s="60" t="s">
        <v>810</v>
      </c>
    </row>
    <row r="149" spans="1:18" s="60" customFormat="1" ht="24">
      <c r="A149" s="135">
        <v>148</v>
      </c>
      <c r="B149" s="53"/>
      <c r="C149" s="54"/>
      <c r="D149" s="54" t="s">
        <v>133</v>
      </c>
      <c r="E149" s="80">
        <v>40303.625</v>
      </c>
      <c r="F149" s="52" t="s">
        <v>1489</v>
      </c>
      <c r="G149" s="52" t="s">
        <v>1188</v>
      </c>
      <c r="H149" s="52" t="s">
        <v>344</v>
      </c>
      <c r="I149" s="52" t="s">
        <v>801</v>
      </c>
      <c r="J149" s="52" t="s">
        <v>668</v>
      </c>
      <c r="K149" s="52"/>
      <c r="L149" s="52">
        <v>5</v>
      </c>
      <c r="M149" s="52" t="s">
        <v>1136</v>
      </c>
      <c r="N149" s="52"/>
      <c r="O149" s="52"/>
      <c r="P149" s="52" t="s">
        <v>1136</v>
      </c>
      <c r="Q149" s="52"/>
      <c r="R149" s="60" t="s">
        <v>427</v>
      </c>
    </row>
    <row r="150" spans="1:18" s="60" customFormat="1" ht="24">
      <c r="A150" s="135">
        <v>149</v>
      </c>
      <c r="B150" s="102"/>
      <c r="C150" s="103"/>
      <c r="D150" s="54" t="s">
        <v>133</v>
      </c>
      <c r="E150" s="106">
        <v>40303.625</v>
      </c>
      <c r="F150" s="101" t="s">
        <v>1576</v>
      </c>
      <c r="G150" s="101" t="s">
        <v>425</v>
      </c>
      <c r="H150" s="101"/>
      <c r="I150" s="101" t="s">
        <v>1366</v>
      </c>
      <c r="J150" s="101"/>
      <c r="K150" s="52" t="s">
        <v>1288</v>
      </c>
      <c r="L150" s="101"/>
      <c r="M150" s="107"/>
      <c r="N150" s="101"/>
      <c r="O150" s="101"/>
      <c r="P150" s="101" t="s">
        <v>1288</v>
      </c>
      <c r="Q150" s="101"/>
      <c r="R150" s="101" t="s">
        <v>1294</v>
      </c>
    </row>
    <row r="151" spans="1:18" s="60" customFormat="1" ht="384">
      <c r="A151" s="135">
        <v>150</v>
      </c>
      <c r="B151" s="53"/>
      <c r="C151" s="54"/>
      <c r="D151" s="54" t="s">
        <v>133</v>
      </c>
      <c r="E151" s="61">
        <v>40303.625694444447</v>
      </c>
      <c r="F151" s="52" t="s">
        <v>1528</v>
      </c>
      <c r="G151" s="52" t="s">
        <v>1188</v>
      </c>
      <c r="H151" s="52" t="s">
        <v>1162</v>
      </c>
      <c r="I151" s="52" t="s">
        <v>801</v>
      </c>
      <c r="J151" s="52" t="s">
        <v>668</v>
      </c>
      <c r="K151" s="52" t="s">
        <v>1529</v>
      </c>
      <c r="L151" s="52">
        <v>7</v>
      </c>
      <c r="M151" s="95" t="s">
        <v>1513</v>
      </c>
      <c r="N151" s="52"/>
      <c r="O151" s="52"/>
      <c r="P151" s="52" t="s">
        <v>743</v>
      </c>
      <c r="Q151" s="52"/>
      <c r="R151" s="60" t="s">
        <v>427</v>
      </c>
    </row>
    <row r="152" spans="1:18" s="60" customFormat="1" ht="156">
      <c r="A152" s="135">
        <v>151</v>
      </c>
      <c r="B152" s="53"/>
      <c r="C152" s="54"/>
      <c r="D152" s="54" t="s">
        <v>133</v>
      </c>
      <c r="E152" s="61">
        <v>40303.626388888886</v>
      </c>
      <c r="F152" s="52" t="s">
        <v>1528</v>
      </c>
      <c r="G152" s="52" t="s">
        <v>1188</v>
      </c>
      <c r="H152" s="52" t="s">
        <v>1162</v>
      </c>
      <c r="I152" s="52" t="s">
        <v>801</v>
      </c>
      <c r="J152" s="52" t="s">
        <v>668</v>
      </c>
      <c r="K152" s="52" t="s">
        <v>1529</v>
      </c>
      <c r="L152" s="52">
        <v>7</v>
      </c>
      <c r="M152" s="95" t="s">
        <v>1514</v>
      </c>
      <c r="N152" s="52"/>
      <c r="O152" s="52"/>
      <c r="P152" s="52" t="s">
        <v>732</v>
      </c>
      <c r="Q152" s="52"/>
      <c r="R152" s="60" t="s">
        <v>427</v>
      </c>
    </row>
    <row r="153" spans="1:18" s="60" customFormat="1" ht="336">
      <c r="A153" s="135">
        <v>152</v>
      </c>
      <c r="B153" s="53"/>
      <c r="C153" s="54"/>
      <c r="D153" s="54" t="s">
        <v>133</v>
      </c>
      <c r="E153" s="61">
        <v>40303.627083333333</v>
      </c>
      <c r="F153" s="52" t="s">
        <v>1528</v>
      </c>
      <c r="G153" s="52" t="s">
        <v>1188</v>
      </c>
      <c r="H153" s="52" t="s">
        <v>1162</v>
      </c>
      <c r="I153" s="52" t="s">
        <v>801</v>
      </c>
      <c r="J153" s="52" t="s">
        <v>668</v>
      </c>
      <c r="K153" s="52" t="s">
        <v>1529</v>
      </c>
      <c r="L153" s="52">
        <v>7</v>
      </c>
      <c r="M153" s="95" t="s">
        <v>1515</v>
      </c>
      <c r="N153" s="52"/>
      <c r="O153" s="52"/>
      <c r="P153" s="52" t="s">
        <v>1358</v>
      </c>
      <c r="Q153" s="52"/>
      <c r="R153" s="60" t="s">
        <v>427</v>
      </c>
    </row>
    <row r="154" spans="1:18" s="60" customFormat="1" ht="348">
      <c r="A154" s="135">
        <v>153</v>
      </c>
      <c r="B154" s="53"/>
      <c r="C154" s="54"/>
      <c r="D154" s="54" t="s">
        <v>132</v>
      </c>
      <c r="E154" s="61">
        <v>40303.62777777778</v>
      </c>
      <c r="F154" s="52" t="s">
        <v>1528</v>
      </c>
      <c r="G154" s="52" t="s">
        <v>1188</v>
      </c>
      <c r="H154" s="52" t="s">
        <v>1162</v>
      </c>
      <c r="I154" s="52" t="s">
        <v>801</v>
      </c>
      <c r="J154" s="52" t="s">
        <v>668</v>
      </c>
      <c r="K154" s="52" t="s">
        <v>1529</v>
      </c>
      <c r="L154" s="52">
        <v>7</v>
      </c>
      <c r="M154" s="95" t="s">
        <v>1516</v>
      </c>
      <c r="N154" s="52"/>
      <c r="O154" s="52"/>
      <c r="P154" s="52" t="s">
        <v>1351</v>
      </c>
      <c r="Q154" s="52"/>
      <c r="R154" s="60" t="s">
        <v>427</v>
      </c>
    </row>
    <row r="155" spans="1:18" s="60" customFormat="1" ht="276">
      <c r="A155" s="135">
        <v>154</v>
      </c>
      <c r="B155" s="53"/>
      <c r="C155" s="54"/>
      <c r="D155" s="54" t="s">
        <v>133</v>
      </c>
      <c r="E155" s="61">
        <v>40303.628472222219</v>
      </c>
      <c r="F155" s="52" t="s">
        <v>1528</v>
      </c>
      <c r="G155" s="52" t="s">
        <v>1188</v>
      </c>
      <c r="H155" s="52" t="s">
        <v>1162</v>
      </c>
      <c r="I155" s="52" t="s">
        <v>801</v>
      </c>
      <c r="J155" s="52" t="s">
        <v>668</v>
      </c>
      <c r="K155" s="52" t="s">
        <v>1529</v>
      </c>
      <c r="L155" s="52">
        <v>7</v>
      </c>
      <c r="M155" s="95" t="s">
        <v>1517</v>
      </c>
      <c r="N155" s="52"/>
      <c r="O155" s="52"/>
      <c r="P155" s="52" t="s">
        <v>1352</v>
      </c>
      <c r="Q155" s="52"/>
      <c r="R155" s="60" t="s">
        <v>427</v>
      </c>
    </row>
    <row r="156" spans="1:18" s="60" customFormat="1" ht="216">
      <c r="A156" s="135">
        <v>155</v>
      </c>
      <c r="B156" s="53"/>
      <c r="C156" s="54"/>
      <c r="D156" s="54" t="s">
        <v>133</v>
      </c>
      <c r="E156" s="61">
        <v>40303.629166666666</v>
      </c>
      <c r="F156" s="52" t="s">
        <v>1528</v>
      </c>
      <c r="G156" s="52" t="s">
        <v>1188</v>
      </c>
      <c r="H156" s="52" t="s">
        <v>1162</v>
      </c>
      <c r="I156" s="52" t="s">
        <v>801</v>
      </c>
      <c r="J156" s="52" t="s">
        <v>668</v>
      </c>
      <c r="K156" s="52" t="s">
        <v>1529</v>
      </c>
      <c r="L156" s="52">
        <v>7</v>
      </c>
      <c r="M156" s="95" t="s">
        <v>1518</v>
      </c>
      <c r="N156" s="52"/>
      <c r="O156" s="52"/>
      <c r="P156" s="52" t="s">
        <v>1333</v>
      </c>
      <c r="Q156" s="52"/>
      <c r="R156" s="60" t="s">
        <v>427</v>
      </c>
    </row>
    <row r="157" spans="1:18" s="60" customFormat="1" ht="84">
      <c r="A157" s="135">
        <v>156</v>
      </c>
      <c r="B157" s="53"/>
      <c r="C157" s="54"/>
      <c r="D157" s="54" t="s">
        <v>133</v>
      </c>
      <c r="E157" s="61">
        <v>40303.629861111112</v>
      </c>
      <c r="F157" s="52" t="s">
        <v>1528</v>
      </c>
      <c r="G157" s="52" t="s">
        <v>1188</v>
      </c>
      <c r="H157" s="52" t="s">
        <v>1162</v>
      </c>
      <c r="I157" s="52" t="s">
        <v>801</v>
      </c>
      <c r="J157" s="52" t="s">
        <v>668</v>
      </c>
      <c r="K157" s="52" t="s">
        <v>1529</v>
      </c>
      <c r="L157" s="52">
        <v>7</v>
      </c>
      <c r="M157" s="95" t="s">
        <v>1519</v>
      </c>
      <c r="N157" s="52"/>
      <c r="O157" s="52"/>
      <c r="P157" s="52" t="s">
        <v>1334</v>
      </c>
      <c r="Q157" s="52"/>
      <c r="R157" s="60" t="s">
        <v>427</v>
      </c>
    </row>
    <row r="158" spans="1:18" s="60" customFormat="1" ht="24">
      <c r="A158" s="135">
        <v>157</v>
      </c>
      <c r="B158" s="53"/>
      <c r="C158" s="54"/>
      <c r="D158" s="54" t="s">
        <v>136</v>
      </c>
      <c r="E158" s="55">
        <v>40303.635416666664</v>
      </c>
      <c r="F158" s="78" t="s">
        <v>1098</v>
      </c>
      <c r="G158" s="78" t="s">
        <v>425</v>
      </c>
      <c r="H158" s="78" t="s">
        <v>1260</v>
      </c>
      <c r="I158" s="52" t="s">
        <v>1367</v>
      </c>
      <c r="J158" s="78" t="s">
        <v>1262</v>
      </c>
      <c r="K158" s="78" t="s">
        <v>37</v>
      </c>
      <c r="L158" s="52"/>
      <c r="M158" s="78" t="s">
        <v>1252</v>
      </c>
      <c r="N158" s="52"/>
      <c r="O158" s="52"/>
      <c r="P158" s="78" t="s">
        <v>1252</v>
      </c>
      <c r="Q158" s="52"/>
      <c r="R158" s="78" t="s">
        <v>1267</v>
      </c>
    </row>
    <row r="159" spans="1:18" s="60" customFormat="1" ht="36">
      <c r="A159" s="135">
        <v>158</v>
      </c>
      <c r="B159" s="53"/>
      <c r="C159" s="54"/>
      <c r="D159" s="54" t="s">
        <v>133</v>
      </c>
      <c r="E159" s="80">
        <v>40303.647222222222</v>
      </c>
      <c r="F159" s="52" t="s">
        <v>430</v>
      </c>
      <c r="G159" s="52" t="s">
        <v>425</v>
      </c>
      <c r="H159" s="52"/>
      <c r="I159" s="52" t="s">
        <v>1366</v>
      </c>
      <c r="J159" s="52"/>
      <c r="K159" s="52" t="s">
        <v>60</v>
      </c>
      <c r="L159" s="52"/>
      <c r="M159" s="60" t="s">
        <v>1291</v>
      </c>
      <c r="N159" s="52"/>
      <c r="O159" s="52"/>
      <c r="P159" s="60" t="s">
        <v>1291</v>
      </c>
      <c r="Q159" s="52"/>
      <c r="R159" s="60" t="s">
        <v>1294</v>
      </c>
    </row>
    <row r="160" spans="1:18" s="60" customFormat="1" ht="192">
      <c r="A160" s="135">
        <v>159</v>
      </c>
      <c r="B160" s="53">
        <v>40303</v>
      </c>
      <c r="C160" s="54">
        <v>40303.666666666664</v>
      </c>
      <c r="D160" s="54" t="s">
        <v>133</v>
      </c>
      <c r="E160" s="61">
        <v>40303.666666666664</v>
      </c>
      <c r="F160" s="52" t="s">
        <v>1098</v>
      </c>
      <c r="G160" s="52" t="s">
        <v>425</v>
      </c>
      <c r="H160" s="62" t="s">
        <v>429</v>
      </c>
      <c r="I160" s="52" t="s">
        <v>1360</v>
      </c>
      <c r="J160" s="62" t="s">
        <v>426</v>
      </c>
      <c r="K160" s="52" t="s">
        <v>388</v>
      </c>
      <c r="L160" s="62" t="s">
        <v>423</v>
      </c>
      <c r="M160" s="95" t="s">
        <v>388</v>
      </c>
      <c r="N160" s="62"/>
      <c r="O160" s="52"/>
      <c r="P160" s="52" t="s">
        <v>544</v>
      </c>
      <c r="Q160" s="52"/>
      <c r="R160" s="60" t="s">
        <v>427</v>
      </c>
    </row>
    <row r="161" spans="1:18" s="60" customFormat="1" ht="168">
      <c r="A161" s="135">
        <v>160</v>
      </c>
      <c r="B161" s="53"/>
      <c r="C161" s="54"/>
      <c r="D161" s="54" t="s">
        <v>133</v>
      </c>
      <c r="E161" s="55">
        <v>40303.677083333336</v>
      </c>
      <c r="F161" s="60" t="s">
        <v>430</v>
      </c>
      <c r="G161" s="52" t="s">
        <v>1319</v>
      </c>
      <c r="H161" s="60" t="s">
        <v>1323</v>
      </c>
      <c r="I161" s="52" t="s">
        <v>1377</v>
      </c>
      <c r="J161" s="52" t="s">
        <v>1227</v>
      </c>
      <c r="K161" s="52" t="s">
        <v>1324</v>
      </c>
      <c r="L161" s="52"/>
      <c r="M161" s="60" t="s">
        <v>1322</v>
      </c>
      <c r="N161" s="60" t="s">
        <v>1325</v>
      </c>
      <c r="O161" s="60" t="s">
        <v>1326</v>
      </c>
      <c r="P161" s="60" t="s">
        <v>1520</v>
      </c>
      <c r="Q161" s="60" t="s">
        <v>1327</v>
      </c>
      <c r="R161" s="60" t="s">
        <v>1314</v>
      </c>
    </row>
    <row r="162" spans="1:18" s="60" customFormat="1" ht="60">
      <c r="A162" s="135">
        <v>161</v>
      </c>
      <c r="B162" s="53"/>
      <c r="C162" s="54"/>
      <c r="D162" s="54" t="s">
        <v>133</v>
      </c>
      <c r="E162" s="55">
        <v>40304.291666666664</v>
      </c>
      <c r="F162" s="78" t="s">
        <v>430</v>
      </c>
      <c r="G162" s="78" t="s">
        <v>425</v>
      </c>
      <c r="H162" s="78" t="s">
        <v>1261</v>
      </c>
      <c r="I162" s="52" t="s">
        <v>1367</v>
      </c>
      <c r="J162" s="78" t="s">
        <v>1266</v>
      </c>
      <c r="K162" s="78" t="s">
        <v>38</v>
      </c>
      <c r="L162" s="52"/>
      <c r="M162" s="78" t="s">
        <v>40</v>
      </c>
      <c r="N162" s="52"/>
      <c r="O162" s="52"/>
      <c r="P162" s="140" t="s">
        <v>39</v>
      </c>
      <c r="Q162" s="52"/>
      <c r="R162" s="78" t="s">
        <v>1267</v>
      </c>
    </row>
    <row r="163" spans="1:18" s="60" customFormat="1" ht="180">
      <c r="A163" s="135">
        <v>162</v>
      </c>
      <c r="B163" s="53"/>
      <c r="C163" s="54"/>
      <c r="D163" s="54" t="s">
        <v>133</v>
      </c>
      <c r="E163" s="55">
        <v>40303.697916666664</v>
      </c>
      <c r="F163" s="52" t="s">
        <v>1098</v>
      </c>
      <c r="G163" s="52" t="s">
        <v>394</v>
      </c>
      <c r="H163" s="52" t="s">
        <v>1295</v>
      </c>
      <c r="I163" s="52" t="s">
        <v>801</v>
      </c>
      <c r="J163" s="52" t="s">
        <v>802</v>
      </c>
      <c r="K163" s="52" t="s">
        <v>1521</v>
      </c>
      <c r="L163" s="52"/>
      <c r="M163" s="95" t="s">
        <v>1522</v>
      </c>
      <c r="N163" s="52"/>
      <c r="O163" s="83" t="s">
        <v>1221</v>
      </c>
      <c r="P163" s="52" t="s">
        <v>1214</v>
      </c>
      <c r="Q163" s="52"/>
      <c r="R163" s="60" t="s">
        <v>1298</v>
      </c>
    </row>
    <row r="164" spans="1:18" s="60" customFormat="1" ht="36">
      <c r="A164" s="135">
        <v>163</v>
      </c>
      <c r="B164" s="53"/>
      <c r="C164" s="54"/>
      <c r="D164" s="54" t="s">
        <v>133</v>
      </c>
      <c r="E164" s="80">
        <v>40303.711111111123</v>
      </c>
      <c r="F164" s="60" t="s">
        <v>430</v>
      </c>
      <c r="G164" s="52" t="s">
        <v>425</v>
      </c>
      <c r="H164" s="62"/>
      <c r="I164" s="52" t="s">
        <v>1361</v>
      </c>
      <c r="J164" s="62"/>
      <c r="K164" s="52" t="s">
        <v>1541</v>
      </c>
      <c r="L164" s="62"/>
      <c r="M164" s="60" t="s">
        <v>812</v>
      </c>
      <c r="N164" s="60" t="s">
        <v>776</v>
      </c>
      <c r="O164" s="52"/>
      <c r="P164" s="60" t="s">
        <v>775</v>
      </c>
      <c r="Q164" s="60" t="s">
        <v>788</v>
      </c>
      <c r="R164" s="60" t="s">
        <v>810</v>
      </c>
    </row>
    <row r="165" spans="1:18" s="60" customFormat="1" ht="36">
      <c r="A165" s="135">
        <v>164</v>
      </c>
      <c r="B165" s="53"/>
      <c r="C165" s="54"/>
      <c r="D165" s="54" t="s">
        <v>133</v>
      </c>
      <c r="E165" s="80">
        <v>40303.75</v>
      </c>
      <c r="F165" s="60" t="s">
        <v>430</v>
      </c>
      <c r="G165" s="52" t="s">
        <v>425</v>
      </c>
      <c r="H165" s="62"/>
      <c r="I165" s="52" t="s">
        <v>1361</v>
      </c>
      <c r="J165" s="62"/>
      <c r="K165" s="52" t="s">
        <v>1541</v>
      </c>
      <c r="L165" s="62"/>
      <c r="M165" s="60" t="s">
        <v>770</v>
      </c>
      <c r="N165" s="62" t="s">
        <v>781</v>
      </c>
      <c r="O165" s="52"/>
      <c r="P165" s="60" t="s">
        <v>770</v>
      </c>
      <c r="Q165" s="52"/>
      <c r="R165" s="60" t="s">
        <v>810</v>
      </c>
    </row>
    <row r="166" spans="1:18" s="60" customFormat="1" ht="24">
      <c r="A166" s="135">
        <v>165</v>
      </c>
      <c r="B166" s="53"/>
      <c r="C166" s="54"/>
      <c r="D166" s="54" t="s">
        <v>133</v>
      </c>
      <c r="E166" s="80">
        <v>40303.750694444447</v>
      </c>
      <c r="F166" s="52" t="s">
        <v>430</v>
      </c>
      <c r="G166" s="52" t="s">
        <v>425</v>
      </c>
      <c r="H166" s="52" t="s">
        <v>671</v>
      </c>
      <c r="I166" s="52" t="s">
        <v>1362</v>
      </c>
      <c r="J166" s="62" t="s">
        <v>668</v>
      </c>
      <c r="K166" s="52"/>
      <c r="L166" s="62"/>
      <c r="M166" s="52" t="s">
        <v>1524</v>
      </c>
      <c r="N166" s="62"/>
      <c r="O166" s="52"/>
      <c r="P166" s="52" t="s">
        <v>673</v>
      </c>
      <c r="Q166" s="52" t="s">
        <v>670</v>
      </c>
      <c r="R166" s="60" t="s">
        <v>657</v>
      </c>
    </row>
    <row r="167" spans="1:18" s="60" customFormat="1" ht="36">
      <c r="A167" s="135">
        <v>166</v>
      </c>
      <c r="B167" s="53"/>
      <c r="C167" s="54"/>
      <c r="D167" s="54" t="s">
        <v>133</v>
      </c>
      <c r="E167" s="55">
        <v>40303.760416666664</v>
      </c>
      <c r="F167" s="78" t="s">
        <v>1098</v>
      </c>
      <c r="G167" s="78" t="s">
        <v>425</v>
      </c>
      <c r="H167" s="78" t="s">
        <v>593</v>
      </c>
      <c r="I167" s="52" t="s">
        <v>1367</v>
      </c>
      <c r="J167" s="78" t="s">
        <v>1262</v>
      </c>
      <c r="K167" s="78"/>
      <c r="L167" s="52"/>
      <c r="M167" s="78" t="s">
        <v>1250</v>
      </c>
      <c r="N167" s="52"/>
      <c r="O167" s="52"/>
      <c r="P167" s="78" t="s">
        <v>1250</v>
      </c>
      <c r="Q167" s="52"/>
      <c r="R167" s="78" t="s">
        <v>1267</v>
      </c>
    </row>
    <row r="168" spans="1:18" s="60" customFormat="1" ht="36">
      <c r="A168" s="135">
        <v>167</v>
      </c>
      <c r="B168" s="53"/>
      <c r="C168" s="54"/>
      <c r="D168" s="54" t="s">
        <v>133</v>
      </c>
      <c r="E168" s="55">
        <v>40303.767361111109</v>
      </c>
      <c r="F168" s="78" t="s">
        <v>1098</v>
      </c>
      <c r="G168" s="78" t="s">
        <v>425</v>
      </c>
      <c r="H168" s="78" t="s">
        <v>593</v>
      </c>
      <c r="I168" s="52" t="s">
        <v>1367</v>
      </c>
      <c r="J168" s="78" t="s">
        <v>623</v>
      </c>
      <c r="K168" s="78"/>
      <c r="L168" s="52"/>
      <c r="M168" s="78" t="s">
        <v>1249</v>
      </c>
      <c r="N168" s="52"/>
      <c r="O168" s="52"/>
      <c r="P168" s="78" t="s">
        <v>1249</v>
      </c>
      <c r="Q168" s="52"/>
      <c r="R168" s="78" t="s">
        <v>1267</v>
      </c>
    </row>
    <row r="169" spans="1:18" s="60" customFormat="1" ht="48">
      <c r="A169" s="135">
        <v>168</v>
      </c>
      <c r="B169" s="53"/>
      <c r="C169" s="54"/>
      <c r="D169" s="54" t="s">
        <v>133</v>
      </c>
      <c r="E169" s="55">
        <v>40303.802083333336</v>
      </c>
      <c r="F169" s="78" t="s">
        <v>430</v>
      </c>
      <c r="G169" s="78" t="s">
        <v>425</v>
      </c>
      <c r="H169" s="78" t="s">
        <v>1260</v>
      </c>
      <c r="I169" s="52" t="s">
        <v>1380</v>
      </c>
      <c r="J169" s="78" t="s">
        <v>623</v>
      </c>
      <c r="K169" s="78"/>
      <c r="L169" s="52"/>
      <c r="M169" s="78" t="s">
        <v>1256</v>
      </c>
      <c r="N169" s="52"/>
      <c r="O169" s="52"/>
      <c r="P169" s="78" t="s">
        <v>1256</v>
      </c>
      <c r="Q169" s="52"/>
      <c r="R169" s="78" t="s">
        <v>1267</v>
      </c>
    </row>
    <row r="170" spans="1:18" s="60" customFormat="1">
      <c r="A170" s="135">
        <v>169</v>
      </c>
      <c r="B170" s="53"/>
      <c r="C170" s="54"/>
      <c r="D170" s="54" t="s">
        <v>133</v>
      </c>
      <c r="E170" s="80">
        <v>40303.802777777775</v>
      </c>
      <c r="F170" s="52" t="s">
        <v>430</v>
      </c>
      <c r="G170" s="52" t="s">
        <v>425</v>
      </c>
      <c r="H170" s="52"/>
      <c r="I170" s="52" t="s">
        <v>1366</v>
      </c>
      <c r="J170" s="52"/>
      <c r="K170" s="52"/>
      <c r="L170" s="52"/>
      <c r="M170" s="60" t="s">
        <v>1286</v>
      </c>
      <c r="N170" s="52"/>
      <c r="O170" s="52"/>
      <c r="P170" s="60" t="s">
        <v>1286</v>
      </c>
      <c r="Q170" s="52"/>
      <c r="R170" s="60" t="s">
        <v>1294</v>
      </c>
    </row>
    <row r="171" spans="1:18" s="60" customFormat="1" ht="168">
      <c r="A171" s="135">
        <v>170</v>
      </c>
      <c r="B171" s="53">
        <v>40303</v>
      </c>
      <c r="C171" s="54">
        <v>40303.916666666664</v>
      </c>
      <c r="D171" s="54" t="s">
        <v>133</v>
      </c>
      <c r="E171" s="61">
        <v>40303.916666666664</v>
      </c>
      <c r="F171" s="52" t="s">
        <v>1098</v>
      </c>
      <c r="G171" s="52" t="s">
        <v>425</v>
      </c>
      <c r="H171" s="62" t="s">
        <v>429</v>
      </c>
      <c r="I171" s="52" t="s">
        <v>1360</v>
      </c>
      <c r="J171" s="62" t="s">
        <v>426</v>
      </c>
      <c r="K171" s="52" t="s">
        <v>389</v>
      </c>
      <c r="L171" s="62" t="s">
        <v>423</v>
      </c>
      <c r="M171" s="52" t="s">
        <v>389</v>
      </c>
      <c r="N171" s="62"/>
      <c r="O171" s="52"/>
      <c r="P171" s="52" t="s">
        <v>545</v>
      </c>
      <c r="Q171" s="52"/>
      <c r="R171" s="60" t="s">
        <v>427</v>
      </c>
    </row>
    <row r="172" spans="1:18" s="60" customFormat="1" ht="168">
      <c r="A172" s="135">
        <v>171</v>
      </c>
      <c r="B172" s="53">
        <v>40304</v>
      </c>
      <c r="C172" s="54">
        <v>40304.166666666664</v>
      </c>
      <c r="D172" s="54" t="s">
        <v>133</v>
      </c>
      <c r="E172" s="61">
        <v>40304.166666666664</v>
      </c>
      <c r="F172" s="52" t="s">
        <v>1098</v>
      </c>
      <c r="G172" s="52" t="s">
        <v>425</v>
      </c>
      <c r="H172" s="62" t="s">
        <v>429</v>
      </c>
      <c r="I172" s="52" t="s">
        <v>1360</v>
      </c>
      <c r="J172" s="62" t="s">
        <v>426</v>
      </c>
      <c r="K172" s="52" t="s">
        <v>390</v>
      </c>
      <c r="L172" s="62" t="s">
        <v>423</v>
      </c>
      <c r="M172" s="52" t="s">
        <v>390</v>
      </c>
      <c r="N172" s="62"/>
      <c r="O172" s="52"/>
      <c r="P172" s="52" t="s">
        <v>546</v>
      </c>
      <c r="Q172" s="52"/>
      <c r="R172" s="60" t="s">
        <v>427</v>
      </c>
    </row>
    <row r="173" spans="1:18" s="60" customFormat="1">
      <c r="A173" s="135">
        <v>172</v>
      </c>
      <c r="B173" s="69">
        <v>40304</v>
      </c>
      <c r="C173" s="70"/>
      <c r="D173" s="54" t="s">
        <v>133</v>
      </c>
      <c r="E173" s="71">
        <v>40304.208333333336</v>
      </c>
      <c r="F173" s="56"/>
      <c r="G173" s="56"/>
      <c r="H173" s="72"/>
      <c r="I173" s="56"/>
      <c r="J173" s="72"/>
      <c r="K173" s="52"/>
      <c r="L173" s="72"/>
      <c r="M173" s="99"/>
      <c r="N173" s="72"/>
      <c r="O173" s="56"/>
      <c r="P173" s="77" t="s">
        <v>1158</v>
      </c>
      <c r="Q173" s="56"/>
      <c r="R173" s="56" t="s">
        <v>427</v>
      </c>
    </row>
    <row r="174" spans="1:18" s="60" customFormat="1" ht="36">
      <c r="A174" s="135">
        <v>173</v>
      </c>
      <c r="B174" s="53"/>
      <c r="C174" s="54"/>
      <c r="D174" s="54" t="s">
        <v>133</v>
      </c>
      <c r="E174" s="80">
        <v>40304.25</v>
      </c>
      <c r="F174" s="60" t="s">
        <v>430</v>
      </c>
      <c r="G174" s="52" t="s">
        <v>425</v>
      </c>
      <c r="H174" s="62"/>
      <c r="I174" s="52" t="s">
        <v>1361</v>
      </c>
      <c r="J174" s="62"/>
      <c r="K174" s="52" t="s">
        <v>1541</v>
      </c>
      <c r="L174" s="62"/>
      <c r="M174" s="95" t="s">
        <v>1464</v>
      </c>
      <c r="N174" s="62" t="s">
        <v>782</v>
      </c>
      <c r="O174" s="52"/>
      <c r="P174" s="60" t="s">
        <v>817</v>
      </c>
      <c r="Q174" s="52"/>
      <c r="R174" s="60" t="s">
        <v>810</v>
      </c>
    </row>
    <row r="175" spans="1:18" s="60" customFormat="1" ht="48">
      <c r="A175" s="135">
        <v>174</v>
      </c>
      <c r="B175" s="53"/>
      <c r="C175" s="54"/>
      <c r="D175" s="54" t="s">
        <v>133</v>
      </c>
      <c r="E175" s="61">
        <v>40304.291666666664</v>
      </c>
      <c r="F175" s="52" t="s">
        <v>1098</v>
      </c>
      <c r="G175" s="52" t="s">
        <v>1188</v>
      </c>
      <c r="H175" s="52" t="s">
        <v>593</v>
      </c>
      <c r="I175" s="52" t="s">
        <v>801</v>
      </c>
      <c r="J175" s="52" t="s">
        <v>593</v>
      </c>
      <c r="K175" s="52"/>
      <c r="L175" s="52"/>
      <c r="M175" s="95" t="s">
        <v>1463</v>
      </c>
      <c r="N175" s="52"/>
      <c r="O175" s="52"/>
      <c r="P175" s="52" t="s">
        <v>1449</v>
      </c>
      <c r="Q175" s="52"/>
      <c r="R175" s="60" t="s">
        <v>427</v>
      </c>
    </row>
    <row r="176" spans="1:18" s="60" customFormat="1" ht="24">
      <c r="A176" s="135">
        <v>175</v>
      </c>
      <c r="B176" s="53"/>
      <c r="C176" s="54"/>
      <c r="D176" s="54" t="s">
        <v>133</v>
      </c>
      <c r="E176" s="55">
        <v>40303.760416666664</v>
      </c>
      <c r="F176" s="78" t="s">
        <v>430</v>
      </c>
      <c r="G176" s="78" t="s">
        <v>425</v>
      </c>
      <c r="H176" s="78" t="s">
        <v>1259</v>
      </c>
      <c r="I176" s="52" t="s">
        <v>1367</v>
      </c>
      <c r="J176" s="78" t="s">
        <v>1265</v>
      </c>
      <c r="K176" s="78" t="s">
        <v>41</v>
      </c>
      <c r="L176" s="52"/>
      <c r="M176" s="78" t="s">
        <v>1251</v>
      </c>
      <c r="N176" s="52"/>
      <c r="O176" s="52"/>
      <c r="P176" s="78" t="s">
        <v>1251</v>
      </c>
      <c r="Q176" s="52"/>
      <c r="R176" s="78" t="s">
        <v>1267</v>
      </c>
    </row>
    <row r="177" spans="1:18" s="60" customFormat="1">
      <c r="A177" s="135">
        <v>176</v>
      </c>
      <c r="B177" s="53"/>
      <c r="C177" s="54"/>
      <c r="D177" s="54" t="s">
        <v>133</v>
      </c>
      <c r="E177" s="80">
        <v>40304.305555555555</v>
      </c>
      <c r="F177" s="52" t="s">
        <v>1098</v>
      </c>
      <c r="G177" s="52" t="s">
        <v>632</v>
      </c>
      <c r="H177" s="62" t="s">
        <v>678</v>
      </c>
      <c r="I177" s="52" t="s">
        <v>1370</v>
      </c>
      <c r="J177" s="62" t="s">
        <v>668</v>
      </c>
      <c r="K177" s="52" t="s">
        <v>631</v>
      </c>
      <c r="L177" s="62"/>
      <c r="M177" s="52" t="s">
        <v>631</v>
      </c>
      <c r="N177" s="62"/>
      <c r="O177" s="52"/>
      <c r="P177" s="52" t="s">
        <v>633</v>
      </c>
      <c r="Q177" s="52"/>
      <c r="R177" s="60" t="s">
        <v>657</v>
      </c>
    </row>
    <row r="178" spans="1:18" s="60" customFormat="1" ht="24">
      <c r="A178" s="135">
        <v>177</v>
      </c>
      <c r="B178" s="53"/>
      <c r="C178" s="54"/>
      <c r="D178" s="54" t="s">
        <v>133</v>
      </c>
      <c r="E178" s="80">
        <v>40304.319444444445</v>
      </c>
      <c r="F178" s="52" t="s">
        <v>1098</v>
      </c>
      <c r="G178" s="52" t="s">
        <v>643</v>
      </c>
      <c r="H178" s="62" t="s">
        <v>678</v>
      </c>
      <c r="I178" s="52" t="s">
        <v>1370</v>
      </c>
      <c r="J178" s="62" t="s">
        <v>644</v>
      </c>
      <c r="K178" s="52"/>
      <c r="L178" s="62"/>
      <c r="M178" s="52" t="s">
        <v>642</v>
      </c>
      <c r="N178" s="62"/>
      <c r="O178" s="52"/>
      <c r="P178" s="52" t="s">
        <v>645</v>
      </c>
      <c r="Q178" s="52"/>
      <c r="R178" s="60" t="s">
        <v>657</v>
      </c>
    </row>
    <row r="179" spans="1:18" s="60" customFormat="1" ht="72">
      <c r="A179" s="135">
        <v>178</v>
      </c>
      <c r="B179" s="53"/>
      <c r="C179" s="54"/>
      <c r="D179" s="54" t="s">
        <v>133</v>
      </c>
      <c r="E179" s="74">
        <v>40304.333333333336</v>
      </c>
      <c r="F179" s="52" t="s">
        <v>1098</v>
      </c>
      <c r="G179" s="52" t="s">
        <v>1188</v>
      </c>
      <c r="H179" s="52" t="s">
        <v>593</v>
      </c>
      <c r="I179" s="52" t="s">
        <v>801</v>
      </c>
      <c r="J179" s="52" t="s">
        <v>1134</v>
      </c>
      <c r="K179" s="52"/>
      <c r="L179" s="52"/>
      <c r="M179" s="52" t="s">
        <v>1133</v>
      </c>
      <c r="N179" s="52"/>
      <c r="O179" s="52"/>
      <c r="P179" s="52" t="s">
        <v>341</v>
      </c>
      <c r="Q179" s="52"/>
      <c r="R179" s="60" t="s">
        <v>427</v>
      </c>
    </row>
    <row r="180" spans="1:18" s="60" customFormat="1" ht="60">
      <c r="A180" s="135">
        <v>179</v>
      </c>
      <c r="D180" s="54" t="s">
        <v>133</v>
      </c>
      <c r="E180" s="80">
        <v>40304.333333333336</v>
      </c>
      <c r="F180" s="60" t="s">
        <v>430</v>
      </c>
      <c r="G180" s="60" t="s">
        <v>425</v>
      </c>
      <c r="H180" s="60" t="s">
        <v>1229</v>
      </c>
      <c r="I180" s="60" t="s">
        <v>1370</v>
      </c>
      <c r="J180" s="60" t="s">
        <v>1343</v>
      </c>
      <c r="K180" s="52"/>
      <c r="M180" s="97" t="s">
        <v>1475</v>
      </c>
      <c r="N180" s="60" t="s">
        <v>1345</v>
      </c>
      <c r="O180" s="60" t="s">
        <v>1344</v>
      </c>
      <c r="P180" s="60" t="s">
        <v>1228</v>
      </c>
      <c r="R180" s="60" t="s">
        <v>1346</v>
      </c>
    </row>
    <row r="181" spans="1:18" s="60" customFormat="1">
      <c r="A181" s="135">
        <v>180</v>
      </c>
      <c r="B181" s="53"/>
      <c r="C181" s="54"/>
      <c r="D181" s="54" t="s">
        <v>133</v>
      </c>
      <c r="E181" s="80">
        <v>40304.333333333336</v>
      </c>
      <c r="F181" s="52" t="s">
        <v>1098</v>
      </c>
      <c r="G181" s="52" t="s">
        <v>425</v>
      </c>
      <c r="H181" s="62" t="s">
        <v>654</v>
      </c>
      <c r="I181" s="52" t="s">
        <v>1365</v>
      </c>
      <c r="J181" s="62" t="s">
        <v>668</v>
      </c>
      <c r="K181" s="52"/>
      <c r="L181" s="62"/>
      <c r="M181" s="52" t="s">
        <v>655</v>
      </c>
      <c r="N181" s="62"/>
      <c r="O181" s="52"/>
      <c r="P181" s="52"/>
      <c r="Q181" s="52"/>
      <c r="R181" s="60" t="s">
        <v>657</v>
      </c>
    </row>
    <row r="182" spans="1:18" s="60" customFormat="1" ht="36">
      <c r="A182" s="135">
        <v>181</v>
      </c>
      <c r="B182" s="53"/>
      <c r="C182" s="54"/>
      <c r="D182" s="54" t="s">
        <v>133</v>
      </c>
      <c r="E182" s="80">
        <v>40304.334027777775</v>
      </c>
      <c r="F182" s="52" t="s">
        <v>1098</v>
      </c>
      <c r="G182" s="64"/>
      <c r="H182" s="64"/>
      <c r="I182" s="52" t="s">
        <v>1381</v>
      </c>
      <c r="J182" s="62" t="s">
        <v>668</v>
      </c>
      <c r="K182" s="52"/>
      <c r="L182" s="52"/>
      <c r="M182" s="95" t="s">
        <v>1474</v>
      </c>
      <c r="N182" s="52"/>
      <c r="O182" s="52"/>
      <c r="P182" s="60" t="s">
        <v>589</v>
      </c>
      <c r="Q182" s="52"/>
      <c r="R182" s="60" t="s">
        <v>1099</v>
      </c>
    </row>
    <row r="183" spans="1:18" s="60" customFormat="1" ht="36">
      <c r="A183" s="135">
        <v>182</v>
      </c>
      <c r="B183" s="53"/>
      <c r="C183" s="54"/>
      <c r="D183" s="54" t="s">
        <v>133</v>
      </c>
      <c r="E183" s="55">
        <v>40303.840277777781</v>
      </c>
      <c r="F183" s="78" t="s">
        <v>430</v>
      </c>
      <c r="G183" s="78" t="s">
        <v>425</v>
      </c>
      <c r="H183" s="78" t="s">
        <v>43</v>
      </c>
      <c r="I183" s="52" t="s">
        <v>1367</v>
      </c>
      <c r="J183" s="78" t="s">
        <v>1262</v>
      </c>
      <c r="K183" s="78" t="s">
        <v>42</v>
      </c>
      <c r="L183" s="52"/>
      <c r="M183" s="95" t="s">
        <v>1476</v>
      </c>
      <c r="N183" s="52"/>
      <c r="O183" s="52"/>
      <c r="P183" s="78" t="s">
        <v>1257</v>
      </c>
      <c r="Q183" s="52"/>
      <c r="R183" s="78" t="s">
        <v>1267</v>
      </c>
    </row>
    <row r="184" spans="1:18" s="60" customFormat="1" ht="84">
      <c r="A184" s="135">
        <v>183</v>
      </c>
      <c r="B184" s="53"/>
      <c r="C184" s="54"/>
      <c r="D184" s="54" t="s">
        <v>133</v>
      </c>
      <c r="E184" s="55">
        <v>40304.344444444447</v>
      </c>
      <c r="F184" s="52" t="s">
        <v>430</v>
      </c>
      <c r="G184" s="52" t="s">
        <v>1188</v>
      </c>
      <c r="H184" s="56" t="s">
        <v>593</v>
      </c>
      <c r="I184" s="52" t="s">
        <v>801</v>
      </c>
      <c r="J184" s="52" t="s">
        <v>1316</v>
      </c>
      <c r="K184" s="52"/>
      <c r="L184" s="52"/>
      <c r="M184" s="97" t="s">
        <v>1477</v>
      </c>
      <c r="N184" s="60" t="s">
        <v>1350</v>
      </c>
      <c r="O184" s="97" t="s">
        <v>1315</v>
      </c>
      <c r="P184" s="60" t="s">
        <v>1450</v>
      </c>
      <c r="R184" s="60" t="s">
        <v>1314</v>
      </c>
    </row>
    <row r="185" spans="1:18" s="101" customFormat="1" ht="24">
      <c r="A185" s="135">
        <v>184</v>
      </c>
      <c r="B185" s="53"/>
      <c r="C185" s="54"/>
      <c r="D185" s="54" t="s">
        <v>133</v>
      </c>
      <c r="E185" s="80">
        <v>40304.347222222219</v>
      </c>
      <c r="F185" s="52" t="s">
        <v>430</v>
      </c>
      <c r="G185" s="52" t="s">
        <v>425</v>
      </c>
      <c r="H185" s="52" t="s">
        <v>671</v>
      </c>
      <c r="I185" s="52" t="s">
        <v>1365</v>
      </c>
      <c r="J185" s="62" t="s">
        <v>668</v>
      </c>
      <c r="K185" s="52"/>
      <c r="L185" s="62"/>
      <c r="M185" s="52" t="s">
        <v>1465</v>
      </c>
      <c r="N185" s="62"/>
      <c r="O185" s="52"/>
      <c r="P185" s="52" t="s">
        <v>675</v>
      </c>
      <c r="Q185" s="52" t="s">
        <v>676</v>
      </c>
      <c r="R185" s="60" t="s">
        <v>657</v>
      </c>
    </row>
    <row r="186" spans="1:18" s="60" customFormat="1" ht="71.25" customHeight="1">
      <c r="A186" s="135">
        <v>185</v>
      </c>
      <c r="B186" s="53"/>
      <c r="C186" s="54"/>
      <c r="D186" s="54" t="s">
        <v>133</v>
      </c>
      <c r="E186" s="80">
        <v>40304.354166666664</v>
      </c>
      <c r="F186" s="52" t="s">
        <v>1098</v>
      </c>
      <c r="G186" s="64"/>
      <c r="H186" s="64"/>
      <c r="I186" s="52" t="s">
        <v>1381</v>
      </c>
      <c r="J186" s="62" t="s">
        <v>668</v>
      </c>
      <c r="K186" s="52"/>
      <c r="L186" s="52"/>
      <c r="M186" s="95" t="s">
        <v>1473</v>
      </c>
      <c r="N186" s="52"/>
      <c r="O186" s="52" t="s">
        <v>9</v>
      </c>
      <c r="P186" s="60" t="s">
        <v>588</v>
      </c>
      <c r="Q186" s="52"/>
      <c r="R186" s="60" t="s">
        <v>1099</v>
      </c>
    </row>
    <row r="187" spans="1:18" s="60" customFormat="1" ht="24">
      <c r="A187" s="135">
        <v>186</v>
      </c>
      <c r="B187" s="53"/>
      <c r="C187" s="54"/>
      <c r="D187" s="54" t="s">
        <v>133</v>
      </c>
      <c r="E187" s="80">
        <v>40304.361111111109</v>
      </c>
      <c r="F187" s="52" t="s">
        <v>1098</v>
      </c>
      <c r="G187" s="52" t="s">
        <v>394</v>
      </c>
      <c r="H187" s="52" t="s">
        <v>635</v>
      </c>
      <c r="I187" s="52" t="s">
        <v>1362</v>
      </c>
      <c r="J187" s="62" t="s">
        <v>668</v>
      </c>
      <c r="K187" s="52"/>
      <c r="L187" s="62"/>
      <c r="M187" s="52" t="s">
        <v>634</v>
      </c>
      <c r="N187" s="62"/>
      <c r="O187" s="52"/>
      <c r="P187" s="52" t="s">
        <v>637</v>
      </c>
      <c r="Q187" s="52"/>
      <c r="R187" s="60" t="s">
        <v>657</v>
      </c>
    </row>
    <row r="188" spans="1:18" s="60" customFormat="1" ht="24">
      <c r="A188" s="135">
        <v>187</v>
      </c>
      <c r="B188" s="53"/>
      <c r="C188" s="54"/>
      <c r="D188" s="54" t="s">
        <v>133</v>
      </c>
      <c r="E188" s="80">
        <v>40304.375</v>
      </c>
      <c r="F188" s="52" t="s">
        <v>1098</v>
      </c>
      <c r="G188" s="64"/>
      <c r="H188" s="64"/>
      <c r="I188" s="52" t="s">
        <v>1381</v>
      </c>
      <c r="J188" s="62" t="s">
        <v>668</v>
      </c>
      <c r="K188" s="52"/>
      <c r="L188" s="52"/>
      <c r="M188" s="95" t="s">
        <v>1473</v>
      </c>
      <c r="N188" s="52"/>
      <c r="O188" s="52"/>
      <c r="P188" s="60" t="s">
        <v>590</v>
      </c>
      <c r="Q188" s="52"/>
      <c r="R188" s="60" t="s">
        <v>1099</v>
      </c>
    </row>
    <row r="189" spans="1:18" s="60" customFormat="1" ht="36">
      <c r="A189" s="135">
        <v>188</v>
      </c>
      <c r="B189" s="53"/>
      <c r="C189" s="54"/>
      <c r="D189" s="54" t="s">
        <v>133</v>
      </c>
      <c r="E189" s="80">
        <v>40304.381944444445</v>
      </c>
      <c r="F189" s="52" t="s">
        <v>430</v>
      </c>
      <c r="G189" s="64"/>
      <c r="H189" s="64"/>
      <c r="I189" s="52" t="s">
        <v>1381</v>
      </c>
      <c r="J189" s="62" t="s">
        <v>668</v>
      </c>
      <c r="K189" s="52"/>
      <c r="L189" s="52"/>
      <c r="M189" s="95" t="s">
        <v>1507</v>
      </c>
      <c r="N189" s="52"/>
      <c r="O189" s="52"/>
      <c r="P189" s="60" t="s">
        <v>659</v>
      </c>
      <c r="Q189" s="52"/>
      <c r="R189" s="60" t="s">
        <v>1099</v>
      </c>
    </row>
    <row r="190" spans="1:18" s="60" customFormat="1" ht="96">
      <c r="A190" s="135">
        <v>189</v>
      </c>
      <c r="B190" s="53"/>
      <c r="C190" s="54"/>
      <c r="D190" s="54" t="s">
        <v>133</v>
      </c>
      <c r="E190" s="55">
        <v>40304.385416666664</v>
      </c>
      <c r="F190" s="52" t="s">
        <v>1098</v>
      </c>
      <c r="G190" s="52" t="s">
        <v>1273</v>
      </c>
      <c r="H190" s="52" t="s">
        <v>1274</v>
      </c>
      <c r="I190" s="52" t="s">
        <v>1382</v>
      </c>
      <c r="J190" s="52" t="s">
        <v>680</v>
      </c>
      <c r="K190" s="52"/>
      <c r="L190" s="52"/>
      <c r="M190" s="95" t="s">
        <v>1478</v>
      </c>
      <c r="N190" s="52"/>
      <c r="O190" s="52" t="s">
        <v>1275</v>
      </c>
      <c r="P190" s="52" t="s">
        <v>1220</v>
      </c>
      <c r="Q190" s="52"/>
      <c r="R190" s="60" t="s">
        <v>1298</v>
      </c>
    </row>
    <row r="191" spans="1:18" s="60" customFormat="1">
      <c r="A191" s="135">
        <v>190</v>
      </c>
      <c r="B191" s="53"/>
      <c r="C191" s="54"/>
      <c r="D191" s="54" t="s">
        <v>133</v>
      </c>
      <c r="E191" s="80">
        <v>40304.388888888891</v>
      </c>
      <c r="F191" s="52" t="s">
        <v>430</v>
      </c>
      <c r="G191" s="52" t="s">
        <v>683</v>
      </c>
      <c r="H191" s="62" t="s">
        <v>678</v>
      </c>
      <c r="I191" s="52" t="s">
        <v>1370</v>
      </c>
      <c r="J191" s="62" t="s">
        <v>668</v>
      </c>
      <c r="K191" s="52"/>
      <c r="L191" s="62"/>
      <c r="M191" s="95" t="s">
        <v>1467</v>
      </c>
      <c r="N191" s="62"/>
      <c r="O191" s="52"/>
      <c r="P191" s="52"/>
      <c r="Q191" s="52"/>
      <c r="R191" s="60" t="s">
        <v>657</v>
      </c>
    </row>
    <row r="192" spans="1:18" s="60" customFormat="1" ht="48">
      <c r="A192" s="135">
        <v>191</v>
      </c>
      <c r="B192" s="53"/>
      <c r="C192" s="54"/>
      <c r="D192" s="54" t="s">
        <v>133</v>
      </c>
      <c r="E192" s="80">
        <v>40304.395833333336</v>
      </c>
      <c r="F192" s="52" t="s">
        <v>1098</v>
      </c>
      <c r="G192" s="64"/>
      <c r="H192" s="64"/>
      <c r="I192" s="52" t="s">
        <v>1381</v>
      </c>
      <c r="J192" s="62" t="s">
        <v>668</v>
      </c>
      <c r="K192" s="52"/>
      <c r="L192" s="52"/>
      <c r="M192" s="95" t="s">
        <v>1479</v>
      </c>
      <c r="N192" s="52"/>
      <c r="O192" s="52"/>
      <c r="P192" s="60" t="s">
        <v>1592</v>
      </c>
      <c r="Q192" s="52"/>
      <c r="R192" s="60" t="s">
        <v>1099</v>
      </c>
    </row>
    <row r="193" spans="1:18" s="60" customFormat="1" ht="24">
      <c r="A193" s="135">
        <v>192</v>
      </c>
      <c r="B193" s="53"/>
      <c r="C193" s="54"/>
      <c r="D193" s="54" t="s">
        <v>133</v>
      </c>
      <c r="E193" s="80">
        <v>40304.402777777781</v>
      </c>
      <c r="F193" s="52" t="s">
        <v>430</v>
      </c>
      <c r="G193" s="52" t="s">
        <v>430</v>
      </c>
      <c r="H193" s="52" t="s">
        <v>639</v>
      </c>
      <c r="I193" s="52"/>
      <c r="J193" s="62" t="s">
        <v>640</v>
      </c>
      <c r="K193" s="52"/>
      <c r="L193" s="62"/>
      <c r="M193" s="52" t="s">
        <v>638</v>
      </c>
      <c r="N193" s="62"/>
      <c r="O193" s="52"/>
      <c r="P193" s="52" t="s">
        <v>641</v>
      </c>
      <c r="Q193" s="52"/>
      <c r="R193" s="60" t="s">
        <v>657</v>
      </c>
    </row>
    <row r="194" spans="1:18" s="60" customFormat="1" ht="24">
      <c r="A194" s="135">
        <v>193</v>
      </c>
      <c r="B194" s="53"/>
      <c r="C194" s="54"/>
      <c r="D194" s="54" t="s">
        <v>133</v>
      </c>
      <c r="E194" s="61">
        <v>40304.40625</v>
      </c>
      <c r="F194" s="52" t="s">
        <v>1161</v>
      </c>
      <c r="G194" s="52" t="s">
        <v>1188</v>
      </c>
      <c r="H194" s="52" t="s">
        <v>344</v>
      </c>
      <c r="I194" s="52" t="s">
        <v>801</v>
      </c>
      <c r="J194" s="52" t="s">
        <v>1159</v>
      </c>
      <c r="K194" s="52"/>
      <c r="L194" s="52">
        <v>5</v>
      </c>
      <c r="M194" s="95" t="s">
        <v>1507</v>
      </c>
      <c r="N194" s="52"/>
      <c r="O194" s="52"/>
      <c r="P194" s="52" t="s">
        <v>1126</v>
      </c>
      <c r="Q194" s="52"/>
      <c r="R194" s="60" t="s">
        <v>427</v>
      </c>
    </row>
    <row r="195" spans="1:18" s="60" customFormat="1" ht="24">
      <c r="A195" s="135">
        <v>194</v>
      </c>
      <c r="B195" s="53"/>
      <c r="C195" s="54"/>
      <c r="D195" s="54" t="s">
        <v>133</v>
      </c>
      <c r="E195" s="61">
        <v>40304.409722222219</v>
      </c>
      <c r="F195" s="52" t="s">
        <v>1161</v>
      </c>
      <c r="G195" s="52" t="s">
        <v>1188</v>
      </c>
      <c r="H195" s="52" t="s">
        <v>344</v>
      </c>
      <c r="I195" s="52" t="s">
        <v>801</v>
      </c>
      <c r="J195" s="52" t="s">
        <v>1159</v>
      </c>
      <c r="K195" s="52"/>
      <c r="L195" s="52">
        <v>5</v>
      </c>
      <c r="M195" s="95" t="s">
        <v>1483</v>
      </c>
      <c r="N195" s="52"/>
      <c r="O195" s="52"/>
      <c r="P195" s="52" t="s">
        <v>1131</v>
      </c>
      <c r="Q195" s="52"/>
      <c r="R195" s="60" t="s">
        <v>427</v>
      </c>
    </row>
    <row r="196" spans="1:18" s="60" customFormat="1" ht="24">
      <c r="A196" s="135">
        <v>195</v>
      </c>
      <c r="B196" s="53"/>
      <c r="C196" s="54"/>
      <c r="D196" s="54" t="s">
        <v>133</v>
      </c>
      <c r="E196" s="80">
        <v>40304.416666666664</v>
      </c>
      <c r="F196" s="60" t="s">
        <v>1098</v>
      </c>
      <c r="G196" s="52" t="s">
        <v>425</v>
      </c>
      <c r="H196" s="62"/>
      <c r="I196" s="52" t="s">
        <v>1361</v>
      </c>
      <c r="J196" s="62"/>
      <c r="K196" s="52" t="s">
        <v>1541</v>
      </c>
      <c r="L196" s="62"/>
      <c r="M196" s="95"/>
      <c r="N196" s="62" t="s">
        <v>780</v>
      </c>
      <c r="O196" s="52"/>
      <c r="P196" s="60" t="s">
        <v>771</v>
      </c>
      <c r="Q196" s="52"/>
      <c r="R196" s="60" t="s">
        <v>810</v>
      </c>
    </row>
    <row r="197" spans="1:18" s="60" customFormat="1" ht="180">
      <c r="A197" s="135">
        <v>196</v>
      </c>
      <c r="B197" s="53">
        <v>40304</v>
      </c>
      <c r="C197" s="54">
        <v>40304.416666666664</v>
      </c>
      <c r="D197" s="54" t="s">
        <v>133</v>
      </c>
      <c r="E197" s="61">
        <v>40304.417361111111</v>
      </c>
      <c r="F197" s="52" t="s">
        <v>1098</v>
      </c>
      <c r="G197" s="52" t="s">
        <v>425</v>
      </c>
      <c r="H197" s="62" t="s">
        <v>429</v>
      </c>
      <c r="I197" s="52" t="s">
        <v>1360</v>
      </c>
      <c r="J197" s="62" t="s">
        <v>426</v>
      </c>
      <c r="K197" s="52" t="s">
        <v>391</v>
      </c>
      <c r="L197" s="62" t="s">
        <v>423</v>
      </c>
      <c r="M197" s="52" t="s">
        <v>391</v>
      </c>
      <c r="N197" s="62"/>
      <c r="O197" s="52"/>
      <c r="P197" s="52" t="s">
        <v>1174</v>
      </c>
      <c r="Q197" s="52"/>
      <c r="R197" s="60" t="s">
        <v>427</v>
      </c>
    </row>
    <row r="198" spans="1:18" s="60" customFormat="1" ht="24">
      <c r="A198" s="135">
        <v>197</v>
      </c>
      <c r="B198" s="53"/>
      <c r="C198" s="54"/>
      <c r="D198" s="54" t="s">
        <v>133</v>
      </c>
      <c r="E198" s="61">
        <v>40304.423611111109</v>
      </c>
      <c r="F198" s="52" t="s">
        <v>1161</v>
      </c>
      <c r="G198" s="52" t="s">
        <v>1188</v>
      </c>
      <c r="H198" s="52" t="s">
        <v>344</v>
      </c>
      <c r="I198" s="52" t="s">
        <v>801</v>
      </c>
      <c r="J198" s="52" t="s">
        <v>1159</v>
      </c>
      <c r="K198" s="52"/>
      <c r="L198" s="52">
        <v>5</v>
      </c>
      <c r="M198" s="95" t="s">
        <v>1483</v>
      </c>
      <c r="N198" s="52"/>
      <c r="O198" s="52"/>
      <c r="P198" s="52" t="s">
        <v>1130</v>
      </c>
      <c r="Q198" s="52"/>
      <c r="R198" s="60" t="s">
        <v>427</v>
      </c>
    </row>
    <row r="199" spans="1:18" ht="72">
      <c r="A199" s="135">
        <v>198</v>
      </c>
      <c r="D199" s="54" t="s">
        <v>133</v>
      </c>
      <c r="E199" s="55">
        <v>40304.427083333336</v>
      </c>
      <c r="F199" s="60" t="s">
        <v>1161</v>
      </c>
      <c r="G199" s="52" t="s">
        <v>1319</v>
      </c>
      <c r="H199" s="60" t="s">
        <v>593</v>
      </c>
      <c r="I199" s="52" t="s">
        <v>801</v>
      </c>
      <c r="J199" s="52" t="s">
        <v>1311</v>
      </c>
      <c r="M199" s="95" t="s">
        <v>1507</v>
      </c>
      <c r="N199" s="60" t="s">
        <v>1313</v>
      </c>
      <c r="O199" s="60" t="s">
        <v>1312</v>
      </c>
      <c r="P199" s="60" t="s">
        <v>1283</v>
      </c>
      <c r="Q199" s="60" t="s">
        <v>1283</v>
      </c>
      <c r="R199" s="60" t="s">
        <v>1314</v>
      </c>
    </row>
    <row r="200" spans="1:18">
      <c r="A200" s="135">
        <v>199</v>
      </c>
      <c r="D200" s="54" t="s">
        <v>133</v>
      </c>
      <c r="E200" s="80">
        <v>40304.430555555555</v>
      </c>
      <c r="F200" s="52" t="s">
        <v>430</v>
      </c>
      <c r="G200" s="52" t="s">
        <v>683</v>
      </c>
      <c r="H200" s="62" t="s">
        <v>678</v>
      </c>
      <c r="I200" s="52" t="s">
        <v>1370</v>
      </c>
      <c r="J200" s="62" t="s">
        <v>668</v>
      </c>
      <c r="L200" s="62"/>
      <c r="M200" s="52" t="s">
        <v>1469</v>
      </c>
      <c r="N200" s="62"/>
      <c r="O200" s="52"/>
      <c r="P200" s="52" t="s">
        <v>629</v>
      </c>
      <c r="Q200" s="52"/>
      <c r="R200" s="60" t="s">
        <v>657</v>
      </c>
    </row>
    <row r="201" spans="1:18" ht="24">
      <c r="A201" s="135">
        <v>200</v>
      </c>
      <c r="D201" s="54" t="s">
        <v>133</v>
      </c>
      <c r="E201" s="61">
        <v>40304.4375</v>
      </c>
      <c r="F201" s="52" t="s">
        <v>1161</v>
      </c>
      <c r="G201" s="52" t="s">
        <v>1188</v>
      </c>
      <c r="H201" s="52" t="s">
        <v>242</v>
      </c>
      <c r="I201" s="52" t="s">
        <v>801</v>
      </c>
      <c r="J201" s="52" t="s">
        <v>1159</v>
      </c>
      <c r="L201" s="52">
        <v>9</v>
      </c>
      <c r="M201" s="95" t="s">
        <v>1481</v>
      </c>
      <c r="O201" s="52"/>
      <c r="P201" s="52" t="s">
        <v>1231</v>
      </c>
      <c r="Q201" s="52"/>
      <c r="R201" s="60" t="s">
        <v>427</v>
      </c>
    </row>
    <row r="202" spans="1:18">
      <c r="A202" s="135">
        <v>201</v>
      </c>
      <c r="D202" s="54" t="s">
        <v>133</v>
      </c>
      <c r="E202" s="61">
        <v>40304.438194444447</v>
      </c>
      <c r="F202" s="52" t="s">
        <v>1161</v>
      </c>
      <c r="G202" s="52" t="s">
        <v>1188</v>
      </c>
      <c r="H202" s="52" t="s">
        <v>279</v>
      </c>
      <c r="I202" s="52" t="s">
        <v>801</v>
      </c>
      <c r="J202" s="52" t="s">
        <v>668</v>
      </c>
      <c r="L202" s="52">
        <v>13</v>
      </c>
      <c r="M202" s="95" t="s">
        <v>1482</v>
      </c>
      <c r="O202" s="52"/>
      <c r="P202" s="52" t="s">
        <v>1173</v>
      </c>
      <c r="Q202" s="52"/>
      <c r="R202" s="60" t="s">
        <v>427</v>
      </c>
    </row>
    <row r="203" spans="1:18" ht="24">
      <c r="A203" s="135">
        <v>202</v>
      </c>
      <c r="D203" s="54" t="s">
        <v>133</v>
      </c>
      <c r="E203" s="61">
        <v>40304.439583333333</v>
      </c>
      <c r="F203" s="52" t="s">
        <v>1161</v>
      </c>
      <c r="G203" s="52" t="s">
        <v>1188</v>
      </c>
      <c r="H203" s="52" t="s">
        <v>344</v>
      </c>
      <c r="I203" s="52" t="s">
        <v>801</v>
      </c>
      <c r="J203" s="52" t="s">
        <v>1159</v>
      </c>
      <c r="L203" s="52">
        <v>5</v>
      </c>
      <c r="M203" s="95" t="s">
        <v>1507</v>
      </c>
      <c r="O203" s="52"/>
      <c r="P203" s="52" t="s">
        <v>1127</v>
      </c>
      <c r="Q203" s="52"/>
      <c r="R203" s="60" t="s">
        <v>427</v>
      </c>
    </row>
    <row r="204" spans="1:18" ht="24">
      <c r="A204" s="135">
        <v>203</v>
      </c>
      <c r="D204" s="54" t="s">
        <v>133</v>
      </c>
      <c r="E204" s="61">
        <v>40304.440972222234</v>
      </c>
      <c r="F204" s="52" t="s">
        <v>1161</v>
      </c>
      <c r="G204" s="52" t="s">
        <v>1188</v>
      </c>
      <c r="H204" s="52" t="s">
        <v>344</v>
      </c>
      <c r="I204" s="52" t="s">
        <v>801</v>
      </c>
      <c r="J204" s="52" t="s">
        <v>1159</v>
      </c>
      <c r="L204" s="52">
        <v>5</v>
      </c>
      <c r="M204" s="95" t="s">
        <v>1483</v>
      </c>
      <c r="O204" s="52"/>
      <c r="P204" s="52" t="s">
        <v>1129</v>
      </c>
      <c r="Q204" s="52"/>
      <c r="R204" s="60" t="s">
        <v>427</v>
      </c>
    </row>
    <row r="205" spans="1:18" ht="36">
      <c r="A205" s="135">
        <v>204</v>
      </c>
      <c r="D205" s="54" t="s">
        <v>133</v>
      </c>
      <c r="E205" s="61">
        <v>40304.443055555574</v>
      </c>
      <c r="F205" s="52" t="s">
        <v>1161</v>
      </c>
      <c r="G205" s="52" t="s">
        <v>1188</v>
      </c>
      <c r="H205" s="52" t="s">
        <v>350</v>
      </c>
      <c r="I205" s="52" t="s">
        <v>801</v>
      </c>
      <c r="J205" s="52" t="s">
        <v>1159</v>
      </c>
      <c r="L205" s="52">
        <v>1</v>
      </c>
      <c r="M205" s="95" t="s">
        <v>1484</v>
      </c>
      <c r="O205" s="52"/>
      <c r="P205" s="52" t="s">
        <v>1132</v>
      </c>
      <c r="Q205" s="52"/>
      <c r="R205" s="60" t="s">
        <v>427</v>
      </c>
    </row>
    <row r="206" spans="1:18">
      <c r="A206" s="135">
        <v>205</v>
      </c>
      <c r="D206" s="54" t="s">
        <v>133</v>
      </c>
      <c r="E206" s="61">
        <v>40304.44375000002</v>
      </c>
      <c r="F206" s="52" t="s">
        <v>1161</v>
      </c>
      <c r="G206" s="52" t="s">
        <v>1188</v>
      </c>
      <c r="H206" s="52" t="s">
        <v>1166</v>
      </c>
      <c r="I206" s="52" t="s">
        <v>801</v>
      </c>
      <c r="J206" s="52" t="s">
        <v>668</v>
      </c>
      <c r="L206" s="52">
        <v>13</v>
      </c>
      <c r="M206" s="95" t="s">
        <v>1485</v>
      </c>
      <c r="O206" s="52"/>
      <c r="P206" s="52" t="s">
        <v>790</v>
      </c>
      <c r="Q206" s="52"/>
      <c r="R206" s="60" t="s">
        <v>427</v>
      </c>
    </row>
    <row r="207" spans="1:18">
      <c r="A207" s="135">
        <v>206</v>
      </c>
      <c r="D207" s="54" t="s">
        <v>133</v>
      </c>
      <c r="E207" s="80">
        <v>40304.444444444445</v>
      </c>
      <c r="F207" s="52" t="s">
        <v>430</v>
      </c>
      <c r="G207" s="52" t="s">
        <v>677</v>
      </c>
      <c r="H207" s="62" t="s">
        <v>678</v>
      </c>
      <c r="I207" s="52" t="s">
        <v>1365</v>
      </c>
      <c r="J207" s="62" t="s">
        <v>680</v>
      </c>
      <c r="L207" s="62"/>
      <c r="M207" s="95" t="s">
        <v>1470</v>
      </c>
      <c r="N207" s="62"/>
      <c r="O207" s="52"/>
      <c r="P207" s="52" t="s">
        <v>681</v>
      </c>
      <c r="Q207" s="52" t="s">
        <v>682</v>
      </c>
      <c r="R207" s="60" t="s">
        <v>657</v>
      </c>
    </row>
    <row r="208" spans="1:18" ht="48">
      <c r="A208" s="135">
        <v>207</v>
      </c>
      <c r="D208" s="54" t="s">
        <v>133</v>
      </c>
      <c r="E208" s="80">
        <v>40304.444444444467</v>
      </c>
      <c r="F208" s="52" t="s">
        <v>1098</v>
      </c>
      <c r="G208" s="64"/>
      <c r="H208" s="64"/>
      <c r="I208" s="52" t="s">
        <v>1381</v>
      </c>
      <c r="J208" s="62" t="s">
        <v>668</v>
      </c>
      <c r="M208" s="95" t="s">
        <v>1486</v>
      </c>
      <c r="O208" s="52"/>
      <c r="P208" s="60" t="s">
        <v>1593</v>
      </c>
      <c r="Q208" s="52"/>
      <c r="R208" s="60" t="s">
        <v>1099</v>
      </c>
    </row>
    <row r="209" spans="1:18" ht="36">
      <c r="A209" s="135">
        <v>208</v>
      </c>
      <c r="B209" s="102"/>
      <c r="C209" s="103"/>
      <c r="D209" s="54" t="s">
        <v>133</v>
      </c>
      <c r="E209" s="104">
        <v>40304.447916666664</v>
      </c>
      <c r="F209" s="101" t="s">
        <v>1161</v>
      </c>
      <c r="G209" s="101" t="s">
        <v>1188</v>
      </c>
      <c r="H209" s="101" t="s">
        <v>585</v>
      </c>
      <c r="I209" s="52" t="s">
        <v>801</v>
      </c>
      <c r="J209" s="101" t="s">
        <v>802</v>
      </c>
      <c r="L209" s="101"/>
      <c r="M209" s="107" t="s">
        <v>1451</v>
      </c>
      <c r="N209" s="101"/>
      <c r="O209" s="101"/>
      <c r="P209" s="101" t="s">
        <v>1279</v>
      </c>
      <c r="Q209" s="101" t="s">
        <v>1280</v>
      </c>
      <c r="R209" s="101" t="s">
        <v>1298</v>
      </c>
    </row>
    <row r="210" spans="1:18" ht="48">
      <c r="A210" s="135">
        <v>209</v>
      </c>
      <c r="D210" s="54" t="s">
        <v>133</v>
      </c>
      <c r="E210" s="55">
        <v>40304.448611111111</v>
      </c>
      <c r="F210" s="78" t="s">
        <v>1098</v>
      </c>
      <c r="G210" s="78" t="s">
        <v>425</v>
      </c>
      <c r="H210" s="78" t="s">
        <v>1260</v>
      </c>
      <c r="I210" s="52" t="s">
        <v>1363</v>
      </c>
      <c r="J210" s="78" t="s">
        <v>1262</v>
      </c>
      <c r="K210" s="78"/>
      <c r="M210" s="78" t="s">
        <v>1247</v>
      </c>
      <c r="O210" s="52"/>
      <c r="P210" s="78" t="s">
        <v>1247</v>
      </c>
      <c r="Q210" s="52"/>
      <c r="R210" s="78" t="s">
        <v>1267</v>
      </c>
    </row>
    <row r="211" spans="1:18" ht="36">
      <c r="A211" s="135">
        <v>210</v>
      </c>
      <c r="D211" s="54" t="s">
        <v>133</v>
      </c>
      <c r="E211" s="61">
        <v>40304.458333333336</v>
      </c>
      <c r="F211" s="62" t="s">
        <v>1161</v>
      </c>
      <c r="G211" s="52" t="s">
        <v>1188</v>
      </c>
      <c r="H211" s="62" t="s">
        <v>593</v>
      </c>
      <c r="I211" s="52" t="s">
        <v>801</v>
      </c>
      <c r="J211" s="62" t="s">
        <v>668</v>
      </c>
      <c r="M211" s="95" t="s">
        <v>1487</v>
      </c>
      <c r="O211" s="52"/>
      <c r="P211" s="62" t="s">
        <v>1137</v>
      </c>
      <c r="Q211" s="52"/>
      <c r="R211" s="60" t="s">
        <v>427</v>
      </c>
    </row>
    <row r="212" spans="1:18">
      <c r="A212" s="135">
        <v>211</v>
      </c>
      <c r="D212" s="54" t="s">
        <v>133</v>
      </c>
      <c r="E212" s="80">
        <v>40304.458333333336</v>
      </c>
      <c r="F212" s="52" t="s">
        <v>430</v>
      </c>
      <c r="G212" s="52" t="s">
        <v>683</v>
      </c>
      <c r="H212" s="62" t="s">
        <v>678</v>
      </c>
      <c r="I212" s="52" t="s">
        <v>801</v>
      </c>
      <c r="J212" s="62" t="s">
        <v>668</v>
      </c>
      <c r="L212" s="62"/>
      <c r="M212" s="95" t="s">
        <v>1471</v>
      </c>
      <c r="N212" s="62"/>
      <c r="O212" s="52"/>
      <c r="P212" s="52" t="s">
        <v>648</v>
      </c>
      <c r="Q212" s="52"/>
      <c r="R212" s="60" t="s">
        <v>657</v>
      </c>
    </row>
    <row r="213" spans="1:18" ht="72">
      <c r="A213" s="135">
        <v>212</v>
      </c>
      <c r="D213" s="54" t="s">
        <v>133</v>
      </c>
      <c r="E213" s="55">
        <v>40304.46875</v>
      </c>
      <c r="F213" s="60" t="s">
        <v>630</v>
      </c>
      <c r="G213" s="52" t="s">
        <v>1319</v>
      </c>
      <c r="H213" s="60"/>
      <c r="I213" s="52" t="s">
        <v>1383</v>
      </c>
      <c r="J213" s="52" t="s">
        <v>1328</v>
      </c>
      <c r="K213" s="52" t="s">
        <v>1330</v>
      </c>
      <c r="M213" s="97" t="s">
        <v>1329</v>
      </c>
      <c r="N213" s="60" t="s">
        <v>1331</v>
      </c>
      <c r="O213" s="60" t="s">
        <v>1332</v>
      </c>
      <c r="P213" s="60" t="s">
        <v>1303</v>
      </c>
      <c r="Q213" s="60" t="s">
        <v>1303</v>
      </c>
      <c r="R213" s="60" t="s">
        <v>1314</v>
      </c>
    </row>
    <row r="214" spans="1:18" ht="24">
      <c r="A214" s="135">
        <v>213</v>
      </c>
      <c r="D214" s="54" t="s">
        <v>133</v>
      </c>
      <c r="E214" s="80">
        <v>40304.472222222219</v>
      </c>
      <c r="F214" s="52" t="s">
        <v>1098</v>
      </c>
      <c r="G214" s="52" t="s">
        <v>646</v>
      </c>
      <c r="H214" s="62" t="s">
        <v>678</v>
      </c>
      <c r="I214" s="52" t="s">
        <v>1370</v>
      </c>
      <c r="J214" s="62" t="s">
        <v>426</v>
      </c>
      <c r="K214" s="125"/>
      <c r="L214" s="62"/>
      <c r="M214" s="95" t="s">
        <v>1472</v>
      </c>
      <c r="N214" s="62"/>
      <c r="O214" s="52"/>
      <c r="P214" s="52" t="s">
        <v>647</v>
      </c>
      <c r="Q214" s="52"/>
      <c r="R214" s="60" t="s">
        <v>657</v>
      </c>
    </row>
    <row r="215" spans="1:18" ht="24">
      <c r="A215" s="135">
        <v>214</v>
      </c>
      <c r="D215" s="54" t="s">
        <v>133</v>
      </c>
      <c r="E215" s="61">
        <v>40304.481944444444</v>
      </c>
      <c r="F215" s="52" t="s">
        <v>1161</v>
      </c>
      <c r="G215" s="52" t="s">
        <v>1188</v>
      </c>
      <c r="H215" s="52" t="s">
        <v>344</v>
      </c>
      <c r="I215" s="52" t="s">
        <v>801</v>
      </c>
      <c r="J215" s="52" t="s">
        <v>1159</v>
      </c>
      <c r="L215" s="52">
        <v>5</v>
      </c>
      <c r="M215" s="95" t="s">
        <v>1483</v>
      </c>
      <c r="O215" s="52"/>
      <c r="P215" s="52" t="s">
        <v>1128</v>
      </c>
      <c r="Q215" s="52"/>
      <c r="R215" s="60" t="s">
        <v>427</v>
      </c>
    </row>
    <row r="216" spans="1:18" ht="24">
      <c r="A216" s="135">
        <v>215</v>
      </c>
      <c r="D216" s="54" t="s">
        <v>133</v>
      </c>
      <c r="E216" s="80">
        <v>40304.486111111109</v>
      </c>
      <c r="F216" s="52" t="s">
        <v>1098</v>
      </c>
      <c r="G216" s="64"/>
      <c r="H216" s="64"/>
      <c r="I216" s="52" t="s">
        <v>1381</v>
      </c>
      <c r="J216" s="62" t="s">
        <v>668</v>
      </c>
      <c r="M216" s="95" t="s">
        <v>1473</v>
      </c>
      <c r="O216" s="52"/>
      <c r="P216" s="60" t="s">
        <v>1591</v>
      </c>
      <c r="Q216" s="52"/>
      <c r="R216" s="60" t="s">
        <v>1099</v>
      </c>
    </row>
    <row r="217" spans="1:18" ht="60">
      <c r="A217" s="135">
        <v>216</v>
      </c>
      <c r="D217" s="54" t="s">
        <v>133</v>
      </c>
      <c r="E217" s="80">
        <v>40304.499305555553</v>
      </c>
      <c r="F217" s="52" t="s">
        <v>1098</v>
      </c>
      <c r="G217" s="64"/>
      <c r="H217" s="64"/>
      <c r="I217" s="52" t="s">
        <v>1381</v>
      </c>
      <c r="J217" s="62" t="s">
        <v>668</v>
      </c>
      <c r="M217" s="95" t="s">
        <v>1474</v>
      </c>
      <c r="O217" s="52"/>
      <c r="P217" s="60" t="s">
        <v>658</v>
      </c>
      <c r="Q217" s="52"/>
      <c r="R217" s="60" t="s">
        <v>1099</v>
      </c>
    </row>
    <row r="218" spans="1:18" ht="36">
      <c r="A218" s="135">
        <v>217</v>
      </c>
      <c r="B218" s="53">
        <v>40304</v>
      </c>
      <c r="C218" s="63">
        <v>0.5</v>
      </c>
      <c r="D218" s="54" t="s">
        <v>133</v>
      </c>
      <c r="E218" s="55">
        <v>40304.5</v>
      </c>
      <c r="F218" s="52" t="s">
        <v>430</v>
      </c>
      <c r="G218" s="64" t="s">
        <v>425</v>
      </c>
      <c r="H218" s="64" t="s">
        <v>431</v>
      </c>
      <c r="I218" s="52" t="s">
        <v>432</v>
      </c>
      <c r="J218" s="52" t="s">
        <v>433</v>
      </c>
      <c r="M218" s="95" t="s">
        <v>434</v>
      </c>
      <c r="N218" s="52" t="s">
        <v>435</v>
      </c>
      <c r="O218" s="52"/>
      <c r="P218" s="52" t="s">
        <v>436</v>
      </c>
      <c r="Q218" s="52"/>
      <c r="R218" s="60" t="s">
        <v>437</v>
      </c>
    </row>
    <row r="219" spans="1:18" ht="36">
      <c r="A219" s="135">
        <v>218</v>
      </c>
      <c r="B219" s="53">
        <v>40304</v>
      </c>
      <c r="C219" s="63">
        <v>0.5</v>
      </c>
      <c r="D219" s="54" t="s">
        <v>136</v>
      </c>
      <c r="E219" s="55">
        <v>40304.500694444447</v>
      </c>
      <c r="F219" s="52" t="s">
        <v>430</v>
      </c>
      <c r="G219" s="64" t="s">
        <v>425</v>
      </c>
      <c r="H219" s="64" t="s">
        <v>431</v>
      </c>
      <c r="I219" s="52" t="s">
        <v>432</v>
      </c>
      <c r="J219" s="52" t="s">
        <v>433</v>
      </c>
      <c r="M219" s="95" t="s">
        <v>434</v>
      </c>
      <c r="N219" s="52" t="s">
        <v>435</v>
      </c>
      <c r="O219" s="52"/>
      <c r="P219" s="52" t="s">
        <v>436</v>
      </c>
      <c r="Q219" s="52"/>
      <c r="R219" s="60" t="s">
        <v>437</v>
      </c>
    </row>
    <row r="220" spans="1:18">
      <c r="A220" s="135">
        <v>219</v>
      </c>
      <c r="D220" s="54" t="s">
        <v>136</v>
      </c>
      <c r="E220" s="61">
        <v>40304.520833333336</v>
      </c>
      <c r="F220" s="52" t="s">
        <v>1161</v>
      </c>
      <c r="G220" s="52" t="s">
        <v>1188</v>
      </c>
      <c r="H220" s="52" t="s">
        <v>315</v>
      </c>
      <c r="I220" s="52" t="s">
        <v>801</v>
      </c>
      <c r="J220" s="52" t="s">
        <v>1159</v>
      </c>
      <c r="L220" s="52">
        <v>7</v>
      </c>
      <c r="M220" s="52" t="s">
        <v>1172</v>
      </c>
      <c r="O220" s="52"/>
      <c r="P220" s="52" t="s">
        <v>1172</v>
      </c>
      <c r="Q220" s="52"/>
      <c r="R220" s="60" t="s">
        <v>427</v>
      </c>
    </row>
    <row r="221" spans="1:18" ht="48">
      <c r="A221" s="135">
        <v>220</v>
      </c>
      <c r="D221" s="54" t="s">
        <v>136</v>
      </c>
      <c r="E221" s="61">
        <v>40304.521527777775</v>
      </c>
      <c r="F221" s="62" t="s">
        <v>1161</v>
      </c>
      <c r="G221" s="52" t="s">
        <v>1188</v>
      </c>
      <c r="H221" s="62" t="s">
        <v>279</v>
      </c>
      <c r="I221" s="52" t="s">
        <v>801</v>
      </c>
      <c r="J221" s="62" t="s">
        <v>668</v>
      </c>
      <c r="L221" s="52">
        <v>13</v>
      </c>
      <c r="M221" s="62" t="s">
        <v>1135</v>
      </c>
      <c r="O221" s="52"/>
      <c r="P221" s="62" t="s">
        <v>1135</v>
      </c>
      <c r="Q221" s="52"/>
      <c r="R221" s="60" t="s">
        <v>427</v>
      </c>
    </row>
    <row r="222" spans="1:18" ht="72">
      <c r="A222" s="135">
        <v>221</v>
      </c>
      <c r="D222" s="54" t="s">
        <v>136</v>
      </c>
      <c r="E222" s="80">
        <v>40304.541666666664</v>
      </c>
      <c r="F222" s="60" t="s">
        <v>430</v>
      </c>
      <c r="G222" s="52" t="s">
        <v>425</v>
      </c>
      <c r="H222" s="62"/>
      <c r="I222" s="52" t="s">
        <v>1361</v>
      </c>
      <c r="J222" s="62"/>
      <c r="K222" s="52" t="s">
        <v>1541</v>
      </c>
      <c r="L222" s="62"/>
      <c r="M222" s="95"/>
      <c r="N222" s="62" t="s">
        <v>777</v>
      </c>
      <c r="O222" s="52"/>
      <c r="P222" s="60" t="s">
        <v>774</v>
      </c>
      <c r="Q222" s="52"/>
      <c r="R222" s="60" t="s">
        <v>810</v>
      </c>
    </row>
    <row r="223" spans="1:18" ht="48">
      <c r="A223" s="135">
        <v>222</v>
      </c>
      <c r="D223" s="54" t="s">
        <v>136</v>
      </c>
      <c r="E223" s="55">
        <v>40304.552083333336</v>
      </c>
      <c r="F223" s="60" t="s">
        <v>430</v>
      </c>
      <c r="G223" s="52" t="s">
        <v>1319</v>
      </c>
      <c r="H223" s="60" t="s">
        <v>593</v>
      </c>
      <c r="I223" s="52" t="s">
        <v>801</v>
      </c>
      <c r="J223" s="52" t="s">
        <v>1349</v>
      </c>
      <c r="M223" s="97" t="s">
        <v>1488</v>
      </c>
      <c r="N223" s="60" t="s">
        <v>1304</v>
      </c>
      <c r="O223" s="60"/>
      <c r="P223" s="60" t="s">
        <v>1305</v>
      </c>
      <c r="Q223" s="60" t="s">
        <v>1305</v>
      </c>
      <c r="R223" s="60" t="s">
        <v>1314</v>
      </c>
    </row>
    <row r="224" spans="1:18" ht="108">
      <c r="A224" s="135">
        <v>223</v>
      </c>
      <c r="D224" s="54" t="s">
        <v>136</v>
      </c>
      <c r="E224" s="55">
        <v>40304.59375</v>
      </c>
      <c r="F224" s="60" t="s">
        <v>430</v>
      </c>
      <c r="G224" s="52" t="s">
        <v>1319</v>
      </c>
      <c r="H224" s="56" t="s">
        <v>1306</v>
      </c>
      <c r="I224" s="52" t="s">
        <v>801</v>
      </c>
      <c r="J224" s="52" t="s">
        <v>1307</v>
      </c>
      <c r="M224" s="60" t="s">
        <v>1308</v>
      </c>
      <c r="N224" s="60" t="s">
        <v>1309</v>
      </c>
      <c r="O224" s="60"/>
      <c r="P224" s="60" t="s">
        <v>1310</v>
      </c>
      <c r="Q224" s="60" t="s">
        <v>1310</v>
      </c>
      <c r="R224" s="60" t="s">
        <v>1314</v>
      </c>
    </row>
    <row r="225" spans="1:18" ht="36">
      <c r="A225" s="135">
        <v>224</v>
      </c>
      <c r="D225" s="54" t="s">
        <v>136</v>
      </c>
      <c r="E225" s="130">
        <v>40304.635416666664</v>
      </c>
      <c r="F225" s="132" t="s">
        <v>430</v>
      </c>
      <c r="G225" s="132" t="s">
        <v>425</v>
      </c>
      <c r="H225" s="78" t="s">
        <v>1260</v>
      </c>
      <c r="I225" s="52"/>
      <c r="J225" s="78" t="s">
        <v>1265</v>
      </c>
      <c r="K225" s="78"/>
      <c r="M225" s="78" t="s">
        <v>1258</v>
      </c>
      <c r="O225" s="52"/>
      <c r="P225" s="78" t="s">
        <v>1258</v>
      </c>
      <c r="Q225" s="52"/>
      <c r="R225" s="78" t="s">
        <v>1267</v>
      </c>
    </row>
    <row r="226" spans="1:18" ht="192">
      <c r="A226" s="135">
        <v>225</v>
      </c>
      <c r="B226" s="53">
        <v>40304</v>
      </c>
      <c r="C226" s="54">
        <v>40304.666666666664</v>
      </c>
      <c r="D226" s="54" t="s">
        <v>136</v>
      </c>
      <c r="E226" s="128">
        <v>40304.666666666664</v>
      </c>
      <c r="F226" s="123" t="s">
        <v>1098</v>
      </c>
      <c r="G226" s="123" t="s">
        <v>425</v>
      </c>
      <c r="H226" s="62" t="s">
        <v>429</v>
      </c>
      <c r="I226" s="52" t="s">
        <v>1360</v>
      </c>
      <c r="J226" s="62" t="s">
        <v>426</v>
      </c>
      <c r="K226" s="52" t="s">
        <v>392</v>
      </c>
      <c r="L226" s="62" t="s">
        <v>423</v>
      </c>
      <c r="M226" s="52" t="s">
        <v>392</v>
      </c>
      <c r="N226" s="62"/>
      <c r="O226" s="52"/>
      <c r="P226" s="52" t="s">
        <v>1175</v>
      </c>
      <c r="Q226" s="52"/>
      <c r="R226" s="60" t="s">
        <v>427</v>
      </c>
    </row>
    <row r="227" spans="1:18">
      <c r="A227" s="135">
        <v>226</v>
      </c>
      <c r="B227" s="69">
        <v>40305</v>
      </c>
      <c r="C227" s="73">
        <v>0.66666666666666663</v>
      </c>
      <c r="D227" s="54" t="s">
        <v>132</v>
      </c>
      <c r="E227" s="129">
        <v>40304.666666666664</v>
      </c>
      <c r="F227" s="131"/>
      <c r="G227" s="133"/>
      <c r="H227" s="75"/>
      <c r="I227" s="56"/>
      <c r="J227" s="56"/>
      <c r="L227" s="56"/>
      <c r="M227" s="99"/>
      <c r="N227" s="56"/>
      <c r="O227" s="56"/>
      <c r="P227" s="77" t="s">
        <v>809</v>
      </c>
      <c r="Q227" s="56"/>
      <c r="R227" s="56" t="s">
        <v>427</v>
      </c>
    </row>
    <row r="228" spans="1:18" ht="36">
      <c r="A228" s="135">
        <v>227</v>
      </c>
      <c r="C228" s="81"/>
      <c r="D228" s="54" t="s">
        <v>136</v>
      </c>
      <c r="E228" s="139">
        <v>40304.708333333336</v>
      </c>
      <c r="F228" s="27" t="s">
        <v>1574</v>
      </c>
      <c r="G228" t="s">
        <v>1580</v>
      </c>
      <c r="I228" s="52"/>
      <c r="M228" s="52"/>
      <c r="O228" s="52"/>
      <c r="Q228" s="52"/>
      <c r="R228" s="60" t="s">
        <v>1581</v>
      </c>
    </row>
    <row r="229" spans="1:18" ht="24">
      <c r="A229" s="135">
        <v>228</v>
      </c>
      <c r="C229" s="81"/>
      <c r="D229" s="54" t="s">
        <v>136</v>
      </c>
      <c r="E229" s="120">
        <v>40304.75</v>
      </c>
      <c r="F229" s="121"/>
      <c r="G229" s="123"/>
      <c r="I229" s="52"/>
      <c r="K229" s="95" t="s">
        <v>1392</v>
      </c>
      <c r="M229" s="52"/>
      <c r="O229" s="52"/>
      <c r="P229" s="95" t="s">
        <v>1392</v>
      </c>
      <c r="Q229" s="52"/>
      <c r="R229" s="60"/>
    </row>
    <row r="230" spans="1:18" ht="48">
      <c r="A230" s="135">
        <v>229</v>
      </c>
      <c r="D230" s="54" t="s">
        <v>136</v>
      </c>
      <c r="E230" s="120">
        <v>40304.75</v>
      </c>
      <c r="F230" s="123"/>
      <c r="G230" s="123"/>
      <c r="H230" s="62"/>
      <c r="I230" s="52"/>
      <c r="J230" s="62"/>
      <c r="K230" s="95" t="s">
        <v>1578</v>
      </c>
      <c r="L230" s="62"/>
      <c r="M230" s="52"/>
      <c r="N230" s="62"/>
      <c r="O230" s="52"/>
      <c r="P230" s="95" t="s">
        <v>1578</v>
      </c>
      <c r="Q230" s="52"/>
      <c r="R230" s="60"/>
    </row>
    <row r="231" spans="1:18" ht="24">
      <c r="A231" s="135">
        <v>230</v>
      </c>
      <c r="C231" s="81"/>
      <c r="D231" s="54" t="s">
        <v>136</v>
      </c>
      <c r="E231" s="120">
        <v>40304.75</v>
      </c>
      <c r="F231" s="121"/>
      <c r="G231" s="123"/>
      <c r="I231" s="52"/>
      <c r="K231" s="95" t="s">
        <v>1354</v>
      </c>
      <c r="M231" s="52"/>
      <c r="O231" s="52"/>
      <c r="P231" s="95" t="s">
        <v>1354</v>
      </c>
      <c r="Q231" s="52"/>
      <c r="R231" s="60"/>
    </row>
    <row r="232" spans="1:18" ht="24">
      <c r="A232" s="135">
        <v>231</v>
      </c>
      <c r="D232" s="54" t="s">
        <v>136</v>
      </c>
      <c r="E232" s="120">
        <v>40304.75</v>
      </c>
      <c r="F232" s="123"/>
      <c r="G232" s="123"/>
      <c r="H232" s="62"/>
      <c r="I232" s="52"/>
      <c r="J232" s="62"/>
      <c r="K232" s="95" t="s">
        <v>1357</v>
      </c>
      <c r="L232" s="62"/>
      <c r="M232" s="52"/>
      <c r="N232" s="62"/>
      <c r="O232" s="52"/>
      <c r="P232" s="95" t="s">
        <v>1357</v>
      </c>
      <c r="Q232" s="52"/>
      <c r="R232" s="60"/>
    </row>
    <row r="233" spans="1:18">
      <c r="A233" s="135">
        <v>232</v>
      </c>
      <c r="C233" s="81"/>
      <c r="D233" s="54" t="s">
        <v>136</v>
      </c>
      <c r="E233" s="120">
        <v>40304.75</v>
      </c>
      <c r="F233" s="121"/>
      <c r="G233" s="123"/>
      <c r="I233" s="52"/>
      <c r="K233" s="95" t="s">
        <v>1391</v>
      </c>
      <c r="M233" s="52"/>
      <c r="O233" s="52"/>
      <c r="P233" s="95" t="s">
        <v>1391</v>
      </c>
      <c r="Q233" s="52"/>
      <c r="R233" s="60"/>
    </row>
    <row r="234" spans="1:18" ht="36">
      <c r="A234" s="135">
        <v>233</v>
      </c>
      <c r="C234" s="81"/>
      <c r="D234" s="54" t="s">
        <v>136</v>
      </c>
      <c r="E234" s="120">
        <v>40304.75</v>
      </c>
      <c r="F234" s="121"/>
      <c r="G234" s="123"/>
      <c r="I234" s="52"/>
      <c r="K234" s="126" t="s">
        <v>1389</v>
      </c>
      <c r="M234" s="52"/>
      <c r="O234" s="52"/>
      <c r="P234" s="126" t="s">
        <v>1389</v>
      </c>
      <c r="Q234" s="52"/>
      <c r="R234" s="60"/>
    </row>
    <row r="235" spans="1:18" ht="36">
      <c r="A235" s="135">
        <v>234</v>
      </c>
      <c r="C235" s="81"/>
      <c r="D235" s="54" t="s">
        <v>136</v>
      </c>
      <c r="E235" s="120">
        <v>40304.75</v>
      </c>
      <c r="F235" s="121"/>
      <c r="G235" s="123"/>
      <c r="I235" s="52"/>
      <c r="K235" s="95" t="s">
        <v>1128</v>
      </c>
      <c r="M235" s="52"/>
      <c r="O235" s="52"/>
      <c r="P235" s="95" t="s">
        <v>1128</v>
      </c>
      <c r="Q235" s="52"/>
      <c r="R235" s="60"/>
    </row>
    <row r="236" spans="1:18">
      <c r="A236" s="135">
        <v>235</v>
      </c>
      <c r="C236" s="81"/>
      <c r="D236" s="54" t="s">
        <v>136</v>
      </c>
      <c r="E236" s="120">
        <v>40304.75</v>
      </c>
      <c r="F236" s="121"/>
      <c r="G236" s="123"/>
      <c r="I236" s="52"/>
      <c r="K236" s="126" t="s">
        <v>1353</v>
      </c>
      <c r="M236" s="52"/>
      <c r="O236" s="52"/>
      <c r="P236" s="126" t="s">
        <v>1353</v>
      </c>
      <c r="Q236" s="52"/>
      <c r="R236" s="60"/>
    </row>
    <row r="237" spans="1:18">
      <c r="A237" s="135">
        <v>236</v>
      </c>
      <c r="C237" s="81"/>
      <c r="D237" s="54" t="s">
        <v>136</v>
      </c>
      <c r="E237" s="120">
        <v>40304.75</v>
      </c>
      <c r="F237" s="121"/>
      <c r="G237" s="123"/>
      <c r="I237" s="52"/>
      <c r="K237" s="126" t="s">
        <v>1390</v>
      </c>
      <c r="M237" s="52"/>
      <c r="O237" s="52"/>
      <c r="P237" s="126" t="s">
        <v>1390</v>
      </c>
      <c r="Q237" s="52"/>
      <c r="R237" s="60"/>
    </row>
    <row r="238" spans="1:18" ht="24">
      <c r="A238" s="135">
        <v>237</v>
      </c>
      <c r="C238" s="81"/>
      <c r="D238" s="54" t="s">
        <v>136</v>
      </c>
      <c r="E238" s="120">
        <v>40304.75</v>
      </c>
      <c r="F238" s="121"/>
      <c r="G238" s="123"/>
      <c r="I238" s="52"/>
      <c r="K238" s="95" t="s">
        <v>1355</v>
      </c>
      <c r="M238" s="52"/>
      <c r="O238" s="52"/>
      <c r="P238" s="95" t="s">
        <v>1355</v>
      </c>
      <c r="Q238" s="52"/>
      <c r="R238" s="60"/>
    </row>
    <row r="239" spans="1:18" ht="24">
      <c r="A239" s="135">
        <v>238</v>
      </c>
      <c r="C239" s="81"/>
      <c r="D239" s="54" t="s">
        <v>136</v>
      </c>
      <c r="E239" s="120">
        <v>40304.75</v>
      </c>
      <c r="F239" s="121"/>
      <c r="G239" s="123"/>
      <c r="I239" s="52"/>
      <c r="K239" s="95" t="s">
        <v>1356</v>
      </c>
      <c r="M239" s="52"/>
      <c r="O239" s="52"/>
      <c r="P239" s="95" t="s">
        <v>1356</v>
      </c>
      <c r="Q239" s="52"/>
      <c r="R239" s="60"/>
    </row>
    <row r="240" spans="1:18" ht="48">
      <c r="A240" s="135">
        <v>239</v>
      </c>
      <c r="C240" s="81"/>
      <c r="D240" s="54" t="s">
        <v>136</v>
      </c>
      <c r="E240" s="120">
        <v>40304.75</v>
      </c>
      <c r="F240" s="121"/>
      <c r="G240" s="123"/>
      <c r="I240" s="52"/>
      <c r="K240" s="95" t="s">
        <v>1132</v>
      </c>
      <c r="M240" s="52"/>
      <c r="O240" s="52"/>
      <c r="P240" s="95" t="s">
        <v>1132</v>
      </c>
      <c r="Q240" s="52"/>
      <c r="R240" s="60"/>
    </row>
    <row r="500" spans="4:4">
      <c r="D500" s="54" t="s">
        <v>134</v>
      </c>
    </row>
    <row r="501" spans="4:4">
      <c r="D501" s="54" t="s">
        <v>133</v>
      </c>
    </row>
    <row r="502" spans="4:4">
      <c r="D502" s="54" t="s">
        <v>132</v>
      </c>
    </row>
    <row r="503" spans="4:4">
      <c r="D503" s="54" t="s">
        <v>135</v>
      </c>
    </row>
    <row r="504" spans="4:4">
      <c r="D504" s="54" t="s">
        <v>136</v>
      </c>
    </row>
  </sheetData>
  <sheetCalcPr fullCalcOnLoad="1"/>
  <customSheetViews>
    <customSheetView guid="{795CE737-CFBD-47E1-A5F3-F6879A411FBA}" showPageBreaks="1" fitToPage="1" showAutoFilter="1" topLeftCell="H1">
      <pane ySplit="1" topLeftCell="A2" activePane="bottomLeft" state="frozenSplit"/>
      <selection pane="bottomLeft"/>
      <printOptions horizontalCentered="1" verticalCentered="1"/>
      <headerFooter>
        <oddHeader>&amp;L&amp;"Arial,Bold"&amp;12&amp;F&amp;R&amp;"Arial,Bold"&amp;12Exercise Only</oddHeader>
        <oddFooter>&amp;L&amp;"Arial,Bold"&amp;12Exercise Only&amp;C&amp;F
&amp;D&amp;T</oddFooter>
      </headerFooter>
      <autoFilter ref="B1:R1"/>
    </customSheetView>
    <customSheetView guid="{6D5C82C1-3F67-4DCA-9285-CC6695655904}" showPageBreaks="1" fitToPage="1" showAutoFilter="1" topLeftCell="B1">
      <pane ySplit="1" topLeftCell="A2" activePane="bottomLeft" state="frozenSplit"/>
      <selection pane="bottomLeft" activeCell="B1" sqref="A1:IV65536"/>
      <printOptions horizontalCentered="1" verticalCentered="1"/>
      <headerFooter>
        <oddHeader>&amp;L&amp;"Arial,Bold"&amp;12&amp;F&amp;R&amp;"Arial,Bold"&amp;12Exercise Only</oddHeader>
        <oddFooter>&amp;L&amp;"Arial,Bold"&amp;12Exercise Only&amp;C&amp;F
&amp;D&amp;T</oddFooter>
      </headerFooter>
      <autoFilter ref="B1:R1"/>
    </customSheetView>
    <customSheetView guid="{3225D158-A05E-4956-976D-0A8BB346F3CD}" scale="60" showPageBreaks="1" fitToPage="1" showAutoFilter="1" topLeftCell="K1">
      <pane ySplit="1" topLeftCell="A2" activePane="bottomLeft" state="frozenSplit"/>
      <selection pane="bottomLeft" activeCell="T407" sqref="T407"/>
      <printOptions horizontalCentered="1" verticalCentered="1"/>
      <headerFooter>
        <oddHeader>&amp;L&amp;"Arial,Bold"&amp;12&amp;F&amp;R&amp;"Arial,Bold"&amp;12Exercise Only</oddHeader>
        <oddFooter>&amp;L&amp;"Arial,Bold"&amp;12Exercise Only&amp;C&amp;F
&amp;D&amp;T</oddFooter>
      </headerFooter>
      <autoFilter ref="B1:R1"/>
    </customSheetView>
    <customSheetView guid="{F5EBF6D5-E107-4B41-B3A9-DAA6D1B9A5D4}" scale="118" fitToPage="1" showAutoFilter="1" topLeftCell="M1">
      <pane ySplit="3" topLeftCell="A31" activePane="bottomLeft" state="frozenSplit"/>
      <selection pane="bottomLeft" activeCell="P37" sqref="P37"/>
      <headerFooter>
        <oddHeader>&amp;L&amp;F&amp;RExercise Only</oddHeader>
        <oddFooter>&amp;LExercise Only&amp;C&amp;F
&amp;D&amp;T</oddFooter>
      </headerFooter>
      <autoFilter ref="B1:Q1"/>
    </customSheetView>
    <customSheetView guid="{5BBCA58B-D765-479F-9504-1E4279142E7F}" scale="60" fitToPage="1" showAutoFilter="1" topLeftCell="K1">
      <pane ySplit="1" topLeftCell="A2" activePane="bottomLeft" state="frozenSplit"/>
      <selection pane="bottomLeft" activeCell="T407" sqref="T407"/>
      <printOptions horizontalCentered="1" verticalCentered="1"/>
      <headerFooter>
        <oddHeader>&amp;L&amp;"Arial,Bold"&amp;12&amp;F&amp;R&amp;"Arial,Bold"&amp;12Exercise Only</oddHeader>
        <oddFooter>&amp;L&amp;"Arial,Bold"&amp;12Exercise Only&amp;C&amp;F
&amp;D&amp;T</oddFooter>
      </headerFooter>
      <autoFilter ref="B1:R1"/>
    </customSheetView>
    <customSheetView guid="{C75FF036-91FF-4E44-9156-54230F8F355B}" scale="63" fitToPage="1" showAutoFilter="1" topLeftCell="K1">
      <pane ySplit="1" topLeftCell="A2" activePane="bottomLeft" state="frozenSplit"/>
      <selection pane="bottomLeft" activeCell="O327" sqref="O327"/>
      <printOptions horizontalCentered="1" verticalCentered="1"/>
      <headerFooter>
        <oddHeader>&amp;L&amp;"Arial,Bold"&amp;12&amp;F&amp;R&amp;"Arial,Bold"&amp;12Exercise Only</oddHeader>
        <oddFooter>&amp;L&amp;"Arial,Bold"&amp;12Exercise Only&amp;C&amp;F
&amp;D&amp;T</oddFooter>
      </headerFooter>
      <autoFilter ref="B1:R1"/>
    </customSheetView>
    <customSheetView guid="{21D272AB-5ED3-41C2-B2AC-DB44252878EA}" scale="70" fitToPage="1" showAutoFilter="1" topLeftCell="G1">
      <pane ySplit="1" topLeftCell="A376" activePane="bottomLeft" state="frozenSplit"/>
      <selection pane="bottomLeft" activeCell="J390" sqref="J390"/>
      <printOptions horizontalCentered="1" verticalCentered="1"/>
      <headerFooter>
        <oddHeader>&amp;L&amp;"Arial,Bold"&amp;12&amp;F&amp;R&amp;"Arial,Bold"&amp;12Exercise Only</oddHeader>
        <oddFooter>&amp;L&amp;"Arial,Bold"&amp;12Exercise Only&amp;C&amp;F
&amp;D&amp;T</oddFooter>
      </headerFooter>
      <autoFilter ref="B1:R1"/>
    </customSheetView>
  </customSheetViews>
  <phoneticPr fontId="1" type="noConversion"/>
  <conditionalFormatting sqref="A2:C2 E2:R2 A3:R5">
    <cfRule type="expression" dxfId="15" priority="37">
      <formula>$D2="Omitted"</formula>
    </cfRule>
    <cfRule type="expression" dxfId="14" priority="38">
      <formula>$D2="Deferred"</formula>
    </cfRule>
    <cfRule type="expression" dxfId="13" priority="39">
      <formula>$D2="Deleted"</formula>
    </cfRule>
    <cfRule type="expression" dxfId="12" priority="40">
      <formula>$D2="Injected"</formula>
    </cfRule>
  </conditionalFormatting>
  <conditionalFormatting sqref="D2:D393">
    <cfRule type="expression" dxfId="11" priority="9">
      <formula>$D2="Omitted"</formula>
    </cfRule>
    <cfRule type="expression" dxfId="10" priority="10">
      <formula>$D2="Deferred"</formula>
    </cfRule>
    <cfRule type="expression" dxfId="9" priority="11">
      <formula>$D2="Deleted"</formula>
    </cfRule>
    <cfRule type="expression" dxfId="8" priority="12">
      <formula>$D2="Injected"</formula>
    </cfRule>
  </conditionalFormatting>
  <conditionalFormatting sqref="D2">
    <cfRule type="expression" dxfId="7" priority="1">
      <formula>$D2="Omitted"</formula>
    </cfRule>
    <cfRule type="expression" dxfId="6" priority="2">
      <formula>$D2="Deferred"</formula>
    </cfRule>
    <cfRule type="expression" dxfId="5" priority="3">
      <formula>$D2="Deleted"</formula>
    </cfRule>
    <cfRule type="expression" dxfId="4" priority="4">
      <formula>$D2="Injected"</formula>
    </cfRule>
  </conditionalFormatting>
  <conditionalFormatting sqref="B3:C3">
    <cfRule type="expression" dxfId="3" priority="53">
      <formula>$D3="Omitted"</formula>
    </cfRule>
    <cfRule type="expression" dxfId="2" priority="54">
      <formula>E$2="Deferred"</formula>
    </cfRule>
    <cfRule type="expression" dxfId="1" priority="55">
      <formula>$D$2="Deleted"</formula>
    </cfRule>
    <cfRule type="expression" dxfId="0" priority="56">
      <formula>$D$2="Injected"</formula>
    </cfRule>
  </conditionalFormatting>
  <dataValidations count="1">
    <dataValidation type="list" allowBlank="1" showInputMessage="1" showErrorMessage="1" sqref="D2:D445">
      <formula1>$D$500:$D$504</formula1>
    </dataValidation>
  </dataValidations>
  <printOptions horizontalCentered="1" verticalCentered="1"/>
  <pageMargins left="0.75" right="0.5" top="0.53" bottom="0.55000000000000004" header="0.27" footer="0.3"/>
  <headerFooter>
    <oddHeader>&amp;L&amp;"Arial,Bold"&amp;12&amp;F&amp;R&amp;"Arial,Bold"&amp;12Exercise Only</oddHeader>
    <oddFooter>&amp;L&amp;"Arial,Bold"&amp;12Exercise Only&amp;C&amp;F
&amp;D&amp;T</oddFooter>
  </headerFooter>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enableFormatConditionsCalculation="0">
    <pageSetUpPr fitToPage="1"/>
  </sheetPr>
  <dimension ref="A1:Q402"/>
  <sheetViews>
    <sheetView zoomScaleNormal="75" zoomScalePageLayoutView="75" workbookViewId="0">
      <pane ySplit="1" topLeftCell="A2" activePane="bottomLeft" state="frozen"/>
      <selection activeCell="H1" sqref="H1"/>
      <selection pane="bottomLeft" activeCell="A39" sqref="A39"/>
    </sheetView>
  </sheetViews>
  <sheetFormatPr baseColWidth="10" defaultColWidth="8.83203125" defaultRowHeight="12"/>
  <cols>
    <col min="1" max="1" width="20.5" style="52" customWidth="1"/>
    <col min="2" max="2" width="14.5" style="53" hidden="1" customWidth="1"/>
    <col min="3" max="3" width="14.5" style="54" hidden="1" customWidth="1"/>
    <col min="4" max="4" width="26.6640625" style="61" customWidth="1"/>
    <col min="5" max="5" width="16.6640625" style="59" customWidth="1"/>
    <col min="6" max="6" width="14.33203125" style="52" hidden="1" customWidth="1"/>
    <col min="7" max="7" width="20.5" style="52" hidden="1" customWidth="1"/>
    <col min="8" max="8" width="23.5" style="59" hidden="1" customWidth="1"/>
    <col min="9" max="9" width="15.33203125" style="52" hidden="1" customWidth="1"/>
    <col min="10" max="10" width="52.6640625" style="59" hidden="1" customWidth="1"/>
    <col min="11" max="11" width="0" style="52" hidden="1" customWidth="1"/>
    <col min="12" max="12" width="36.6640625" style="100" bestFit="1" customWidth="1"/>
    <col min="13" max="13" width="35.6640625" style="52" customWidth="1"/>
    <col min="14" max="14" width="31" style="59" bestFit="1" customWidth="1"/>
    <col min="15" max="15" width="64.83203125" style="52" customWidth="1"/>
    <col min="16" max="16" width="60.6640625" style="59" bestFit="1" customWidth="1"/>
    <col min="17" max="17" width="21.83203125" style="57" bestFit="1" customWidth="1"/>
    <col min="18" max="16384" width="8.83203125" style="57"/>
  </cols>
  <sheetData>
    <row r="1" spans="1:17" s="79" customFormat="1" ht="57.75" customHeight="1">
      <c r="A1" s="45" t="s">
        <v>421</v>
      </c>
      <c r="B1" s="46" t="s">
        <v>424</v>
      </c>
      <c r="C1" s="47" t="s">
        <v>899</v>
      </c>
      <c r="D1" s="48" t="s">
        <v>572</v>
      </c>
      <c r="E1" s="49" t="s">
        <v>408</v>
      </c>
      <c r="F1" s="45" t="s">
        <v>411</v>
      </c>
      <c r="G1" s="50" t="s">
        <v>412</v>
      </c>
      <c r="H1" s="49" t="s">
        <v>409</v>
      </c>
      <c r="I1" s="50" t="s">
        <v>413</v>
      </c>
      <c r="J1" s="49" t="s">
        <v>410</v>
      </c>
      <c r="K1" s="49" t="s">
        <v>417</v>
      </c>
      <c r="L1" s="94" t="s">
        <v>418</v>
      </c>
      <c r="M1" s="50" t="s">
        <v>419</v>
      </c>
      <c r="N1" s="49" t="s">
        <v>420</v>
      </c>
      <c r="O1" s="49" t="s">
        <v>414</v>
      </c>
      <c r="P1" s="49" t="s">
        <v>415</v>
      </c>
      <c r="Q1" s="49" t="s">
        <v>428</v>
      </c>
    </row>
    <row r="2" spans="1:17" s="82" customFormat="1" ht="36">
      <c r="A2" s="52"/>
      <c r="B2" s="53">
        <v>40298.208333333336</v>
      </c>
      <c r="C2" s="81">
        <v>40298.208333333336</v>
      </c>
      <c r="D2" s="80">
        <v>40298.208333333336</v>
      </c>
      <c r="E2" s="115" t="s">
        <v>1098</v>
      </c>
      <c r="F2" s="52" t="s">
        <v>1103</v>
      </c>
      <c r="G2" s="52"/>
      <c r="H2" s="52"/>
      <c r="I2" s="52"/>
      <c r="J2" s="115" t="s">
        <v>1559</v>
      </c>
      <c r="K2" s="52"/>
      <c r="L2" s="116" t="s">
        <v>1102</v>
      </c>
      <c r="N2" s="52"/>
      <c r="O2" s="52"/>
      <c r="P2" s="52"/>
      <c r="Q2" s="60" t="s">
        <v>891</v>
      </c>
    </row>
    <row r="3" spans="1:17" s="60" customFormat="1" ht="36">
      <c r="A3" s="52"/>
      <c r="B3" s="53">
        <v>40298.208333333336</v>
      </c>
      <c r="C3" s="81">
        <v>40298.208333333336</v>
      </c>
      <c r="D3" s="80">
        <v>40298.209027777775</v>
      </c>
      <c r="E3" s="115" t="s">
        <v>1098</v>
      </c>
      <c r="F3" s="52" t="s">
        <v>1103</v>
      </c>
      <c r="G3" s="52"/>
      <c r="H3" s="52"/>
      <c r="I3" s="52"/>
      <c r="J3" s="115" t="s">
        <v>1559</v>
      </c>
      <c r="K3" s="52"/>
      <c r="L3" s="116" t="s">
        <v>1104</v>
      </c>
      <c r="M3" s="52"/>
      <c r="N3" s="52"/>
      <c r="O3" s="52"/>
      <c r="P3" s="52"/>
      <c r="Q3" s="60" t="s">
        <v>891</v>
      </c>
    </row>
    <row r="4" spans="1:17" s="60" customFormat="1" ht="178.5" customHeight="1">
      <c r="A4" s="52"/>
      <c r="B4" s="53">
        <v>40298.208333333336</v>
      </c>
      <c r="C4" s="81">
        <v>40298.208333333336</v>
      </c>
      <c r="D4" s="80">
        <v>40298.209722222222</v>
      </c>
      <c r="E4" s="115" t="s">
        <v>1098</v>
      </c>
      <c r="F4" s="52" t="s">
        <v>1103</v>
      </c>
      <c r="G4" s="52"/>
      <c r="H4" s="52"/>
      <c r="I4" s="52"/>
      <c r="J4" s="115" t="s">
        <v>1559</v>
      </c>
      <c r="K4" s="52"/>
      <c r="L4" s="116" t="s">
        <v>1105</v>
      </c>
      <c r="M4" s="52"/>
      <c r="N4" s="52"/>
      <c r="O4" s="52"/>
      <c r="P4" s="52"/>
      <c r="Q4" s="60" t="s">
        <v>891</v>
      </c>
    </row>
    <row r="5" spans="1:17" s="60" customFormat="1" ht="48">
      <c r="A5" s="52"/>
      <c r="B5" s="53">
        <v>40298.208333333336</v>
      </c>
      <c r="C5" s="81">
        <v>40298.208333333336</v>
      </c>
      <c r="D5" s="80">
        <v>40298.210416666669</v>
      </c>
      <c r="E5" s="115" t="s">
        <v>1098</v>
      </c>
      <c r="F5" s="52" t="s">
        <v>1103</v>
      </c>
      <c r="G5" s="52"/>
      <c r="H5" s="52"/>
      <c r="I5" s="52"/>
      <c r="J5" s="115" t="s">
        <v>1559</v>
      </c>
      <c r="K5" s="52"/>
      <c r="L5" s="116" t="s">
        <v>1106</v>
      </c>
      <c r="M5" s="52"/>
      <c r="N5" s="52"/>
      <c r="O5" s="52"/>
      <c r="P5" s="52"/>
      <c r="Q5" s="60" t="s">
        <v>891</v>
      </c>
    </row>
    <row r="6" spans="1:17" s="60" customFormat="1" ht="36">
      <c r="A6" s="52"/>
      <c r="B6" s="53">
        <v>40298.208333333336</v>
      </c>
      <c r="C6" s="81">
        <v>40298.208333333336</v>
      </c>
      <c r="D6" s="80">
        <v>40298.211111111115</v>
      </c>
      <c r="E6" s="115" t="s">
        <v>1098</v>
      </c>
      <c r="F6" s="52" t="s">
        <v>1103</v>
      </c>
      <c r="G6" s="52"/>
      <c r="H6" s="52"/>
      <c r="I6" s="52"/>
      <c r="J6" s="115" t="s">
        <v>1559</v>
      </c>
      <c r="K6" s="52"/>
      <c r="L6" s="116" t="s">
        <v>1107</v>
      </c>
      <c r="M6" s="52"/>
      <c r="N6" s="52"/>
      <c r="O6" s="52"/>
      <c r="P6" s="52"/>
      <c r="Q6" s="60" t="s">
        <v>891</v>
      </c>
    </row>
    <row r="7" spans="1:17" s="60" customFormat="1" ht="36">
      <c r="A7" s="52"/>
      <c r="B7" s="53">
        <v>40298.208333333336</v>
      </c>
      <c r="C7" s="81">
        <v>40298.208333333336</v>
      </c>
      <c r="D7" s="80">
        <v>40298.211805555562</v>
      </c>
      <c r="E7" s="115" t="s">
        <v>1098</v>
      </c>
      <c r="F7" s="52" t="s">
        <v>1103</v>
      </c>
      <c r="G7" s="52"/>
      <c r="H7" s="52"/>
      <c r="I7" s="52"/>
      <c r="J7" s="115" t="s">
        <v>1559</v>
      </c>
      <c r="K7" s="52"/>
      <c r="L7" s="116" t="s">
        <v>1108</v>
      </c>
      <c r="M7" s="52"/>
      <c r="N7" s="52"/>
      <c r="O7" s="52"/>
      <c r="P7" s="52"/>
      <c r="Q7" s="60" t="s">
        <v>891</v>
      </c>
    </row>
    <row r="8" spans="1:17" s="60" customFormat="1" ht="36">
      <c r="A8" s="52"/>
      <c r="B8" s="53">
        <v>40298.208333333336</v>
      </c>
      <c r="C8" s="81">
        <v>40298.208333333336</v>
      </c>
      <c r="D8" s="80">
        <v>40298.212500000009</v>
      </c>
      <c r="E8" s="115" t="s">
        <v>1098</v>
      </c>
      <c r="F8" s="52" t="s">
        <v>1103</v>
      </c>
      <c r="G8" s="52"/>
      <c r="H8" s="52"/>
      <c r="I8" s="52"/>
      <c r="J8" s="115" t="s">
        <v>1559</v>
      </c>
      <c r="K8" s="52"/>
      <c r="L8" s="116" t="s">
        <v>1109</v>
      </c>
      <c r="M8" s="52"/>
      <c r="N8" s="52"/>
      <c r="O8" s="52"/>
      <c r="P8" s="52"/>
      <c r="Q8" s="60" t="s">
        <v>891</v>
      </c>
    </row>
    <row r="9" spans="1:17" s="60" customFormat="1" ht="36">
      <c r="A9" s="52"/>
      <c r="B9" s="53">
        <v>40298.208333333336</v>
      </c>
      <c r="C9" s="81">
        <v>40298.208333333336</v>
      </c>
      <c r="D9" s="80">
        <v>40298.213194444455</v>
      </c>
      <c r="E9" s="115" t="s">
        <v>1098</v>
      </c>
      <c r="F9" s="52" t="s">
        <v>1103</v>
      </c>
      <c r="G9" s="52"/>
      <c r="H9" s="52"/>
      <c r="I9" s="52"/>
      <c r="J9" s="115" t="s">
        <v>1559</v>
      </c>
      <c r="K9" s="52"/>
      <c r="L9" s="116" t="s">
        <v>1110</v>
      </c>
      <c r="M9" s="52"/>
      <c r="N9" s="52"/>
      <c r="O9" s="52"/>
      <c r="P9" s="52"/>
      <c r="Q9" s="60" t="s">
        <v>891</v>
      </c>
    </row>
    <row r="10" spans="1:17" s="60" customFormat="1" ht="36">
      <c r="A10" s="52"/>
      <c r="B10" s="53">
        <v>40298.208333333336</v>
      </c>
      <c r="C10" s="81">
        <v>40298.208333333336</v>
      </c>
      <c r="D10" s="80">
        <v>40298.213888888902</v>
      </c>
      <c r="E10" s="115" t="s">
        <v>1098</v>
      </c>
      <c r="F10" s="52" t="s">
        <v>1103</v>
      </c>
      <c r="G10" s="52"/>
      <c r="H10" s="52"/>
      <c r="I10" s="52"/>
      <c r="J10" s="115" t="s">
        <v>1559</v>
      </c>
      <c r="K10" s="52"/>
      <c r="L10" s="116" t="s">
        <v>1111</v>
      </c>
      <c r="M10" s="52"/>
      <c r="N10" s="52"/>
      <c r="O10" s="52"/>
      <c r="P10" s="52"/>
      <c r="Q10" s="60" t="s">
        <v>891</v>
      </c>
    </row>
    <row r="11" spans="1:17" s="60" customFormat="1" ht="36">
      <c r="A11" s="52"/>
      <c r="B11" s="53">
        <v>40298.208333333336</v>
      </c>
      <c r="C11" s="81">
        <v>40298.208333333336</v>
      </c>
      <c r="D11" s="80">
        <v>40298.214583333349</v>
      </c>
      <c r="E11" s="115" t="s">
        <v>1098</v>
      </c>
      <c r="F11" s="52" t="s">
        <v>1103</v>
      </c>
      <c r="G11" s="52"/>
      <c r="H11" s="52"/>
      <c r="I11" s="52"/>
      <c r="J11" s="115" t="s">
        <v>1559</v>
      </c>
      <c r="K11" s="52"/>
      <c r="L11" s="116" t="s">
        <v>1112</v>
      </c>
      <c r="M11" s="52"/>
      <c r="N11" s="52"/>
      <c r="O11" s="52"/>
      <c r="P11" s="52"/>
      <c r="Q11" s="60" t="s">
        <v>891</v>
      </c>
    </row>
    <row r="12" spans="1:17" s="60" customFormat="1" ht="36">
      <c r="A12" s="52"/>
      <c r="B12" s="53">
        <v>40298.208333333336</v>
      </c>
      <c r="C12" s="81">
        <v>40298.208333333336</v>
      </c>
      <c r="D12" s="80">
        <v>40298.215277777796</v>
      </c>
      <c r="E12" s="115" t="s">
        <v>1098</v>
      </c>
      <c r="F12" s="52" t="s">
        <v>1103</v>
      </c>
      <c r="G12" s="52"/>
      <c r="H12" s="52"/>
      <c r="I12" s="52"/>
      <c r="J12" s="115" t="s">
        <v>1559</v>
      </c>
      <c r="K12" s="52"/>
      <c r="L12" s="116" t="s">
        <v>1113</v>
      </c>
      <c r="M12" s="52"/>
      <c r="N12" s="52"/>
      <c r="O12" s="52"/>
      <c r="P12" s="52"/>
      <c r="Q12" s="60" t="s">
        <v>891</v>
      </c>
    </row>
    <row r="13" spans="1:17" s="60" customFormat="1" ht="36">
      <c r="A13" s="52"/>
      <c r="B13" s="53">
        <v>40298.208333333336</v>
      </c>
      <c r="C13" s="81">
        <v>40298.208333333336</v>
      </c>
      <c r="D13" s="80">
        <v>40298.215972222242</v>
      </c>
      <c r="E13" s="115" t="s">
        <v>1098</v>
      </c>
      <c r="F13" s="52" t="s">
        <v>1103</v>
      </c>
      <c r="G13" s="52"/>
      <c r="H13" s="52"/>
      <c r="I13" s="52"/>
      <c r="J13" s="115" t="s">
        <v>1559</v>
      </c>
      <c r="K13" s="52"/>
      <c r="L13" s="116" t="s">
        <v>1114</v>
      </c>
      <c r="M13" s="52"/>
      <c r="N13" s="52"/>
      <c r="O13" s="52"/>
      <c r="P13" s="52"/>
      <c r="Q13" s="60" t="s">
        <v>891</v>
      </c>
    </row>
    <row r="14" spans="1:17" s="60" customFormat="1" ht="36">
      <c r="A14" s="52"/>
      <c r="B14" s="53">
        <v>40298.208333333336</v>
      </c>
      <c r="C14" s="81">
        <v>40298.208333333336</v>
      </c>
      <c r="D14" s="80">
        <v>40298.216666666689</v>
      </c>
      <c r="E14" s="115" t="s">
        <v>1098</v>
      </c>
      <c r="F14" s="52" t="s">
        <v>1103</v>
      </c>
      <c r="G14" s="52"/>
      <c r="H14" s="52"/>
      <c r="I14" s="52"/>
      <c r="J14" s="115" t="s">
        <v>1559</v>
      </c>
      <c r="K14" s="52"/>
      <c r="L14" s="116" t="s">
        <v>1115</v>
      </c>
      <c r="M14" s="52"/>
      <c r="N14" s="52"/>
      <c r="O14" s="52"/>
      <c r="P14" s="52"/>
      <c r="Q14" s="60" t="s">
        <v>891</v>
      </c>
    </row>
    <row r="15" spans="1:17" s="60" customFormat="1" ht="36">
      <c r="A15" s="52"/>
      <c r="B15" s="53">
        <v>40298.208333333336</v>
      </c>
      <c r="C15" s="81">
        <v>40298.208333333336</v>
      </c>
      <c r="D15" s="80">
        <v>40298.217361111136</v>
      </c>
      <c r="E15" s="115" t="s">
        <v>1098</v>
      </c>
      <c r="F15" s="52" t="s">
        <v>1103</v>
      </c>
      <c r="G15" s="52"/>
      <c r="H15" s="52"/>
      <c r="I15" s="52"/>
      <c r="J15" s="115" t="s">
        <v>1559</v>
      </c>
      <c r="K15" s="52"/>
      <c r="L15" s="116" t="s">
        <v>1116</v>
      </c>
      <c r="M15" s="52"/>
      <c r="N15" s="52"/>
      <c r="O15" s="52"/>
      <c r="P15" s="52"/>
      <c r="Q15" s="60" t="s">
        <v>891</v>
      </c>
    </row>
    <row r="16" spans="1:17" s="60" customFormat="1" ht="36">
      <c r="A16" s="52"/>
      <c r="B16" s="53">
        <v>40298.208333333336</v>
      </c>
      <c r="C16" s="81">
        <v>40298.208333333336</v>
      </c>
      <c r="D16" s="80">
        <v>40298.218055555582</v>
      </c>
      <c r="E16" s="115" t="s">
        <v>1098</v>
      </c>
      <c r="F16" s="52" t="s">
        <v>1103</v>
      </c>
      <c r="G16" s="52"/>
      <c r="H16" s="52"/>
      <c r="I16" s="52"/>
      <c r="J16" s="115" t="s">
        <v>1559</v>
      </c>
      <c r="K16" s="52"/>
      <c r="L16" s="116" t="s">
        <v>1117</v>
      </c>
      <c r="M16" s="52"/>
      <c r="N16" s="52"/>
      <c r="O16" s="52"/>
      <c r="P16" s="52"/>
      <c r="Q16" s="60" t="s">
        <v>891</v>
      </c>
    </row>
    <row r="17" spans="1:17" s="60" customFormat="1" ht="36">
      <c r="A17" s="52"/>
      <c r="B17" s="53">
        <v>40298.208333333336</v>
      </c>
      <c r="C17" s="81">
        <v>40298.208333333336</v>
      </c>
      <c r="D17" s="80">
        <v>40298.218750000029</v>
      </c>
      <c r="E17" s="115" t="s">
        <v>1098</v>
      </c>
      <c r="F17" s="52" t="s">
        <v>1103</v>
      </c>
      <c r="G17" s="52"/>
      <c r="H17" s="52"/>
      <c r="I17" s="52"/>
      <c r="J17" s="115" t="s">
        <v>1559</v>
      </c>
      <c r="K17" s="52"/>
      <c r="L17" s="116" t="s">
        <v>1118</v>
      </c>
      <c r="M17" s="52"/>
      <c r="N17" s="52"/>
      <c r="O17" s="52"/>
      <c r="P17" s="52"/>
      <c r="Q17" s="60" t="s">
        <v>891</v>
      </c>
    </row>
    <row r="18" spans="1:17" s="60" customFormat="1" ht="36">
      <c r="A18" s="52"/>
      <c r="B18" s="53">
        <v>40298.208333333336</v>
      </c>
      <c r="C18" s="81">
        <v>40298.208333333336</v>
      </c>
      <c r="D18" s="80">
        <v>40298.219444444476</v>
      </c>
      <c r="E18" s="115" t="s">
        <v>1098</v>
      </c>
      <c r="F18" s="52" t="s">
        <v>1103</v>
      </c>
      <c r="G18" s="52"/>
      <c r="H18" s="52"/>
      <c r="I18" s="52"/>
      <c r="J18" s="115" t="s">
        <v>1559</v>
      </c>
      <c r="K18" s="52"/>
      <c r="L18" s="116" t="s">
        <v>1119</v>
      </c>
      <c r="M18" s="52"/>
      <c r="N18" s="52"/>
      <c r="O18" s="52"/>
      <c r="P18" s="52"/>
      <c r="Q18" s="60" t="s">
        <v>891</v>
      </c>
    </row>
    <row r="19" spans="1:17" s="60" customFormat="1" ht="36">
      <c r="A19" s="52"/>
      <c r="B19" s="53">
        <v>40298.208333333336</v>
      </c>
      <c r="C19" s="81">
        <v>40298.208333333336</v>
      </c>
      <c r="D19" s="80">
        <v>40298.220138888923</v>
      </c>
      <c r="E19" s="115" t="s">
        <v>1098</v>
      </c>
      <c r="F19" s="52" t="s">
        <v>1103</v>
      </c>
      <c r="G19" s="52"/>
      <c r="H19" s="52"/>
      <c r="I19" s="52"/>
      <c r="J19" s="115" t="s">
        <v>1559</v>
      </c>
      <c r="K19" s="52"/>
      <c r="L19" s="116" t="s">
        <v>1120</v>
      </c>
      <c r="M19" s="52"/>
      <c r="N19" s="52"/>
      <c r="O19" s="52"/>
      <c r="P19" s="52"/>
      <c r="Q19" s="60" t="s">
        <v>891</v>
      </c>
    </row>
    <row r="20" spans="1:17" s="60" customFormat="1" ht="36">
      <c r="A20" s="52"/>
      <c r="B20" s="53">
        <v>40299</v>
      </c>
      <c r="C20" s="54">
        <v>40299.166666666664</v>
      </c>
      <c r="D20" s="61">
        <v>40299.166666666664</v>
      </c>
      <c r="E20" s="52" t="s">
        <v>1098</v>
      </c>
      <c r="F20" s="52" t="s">
        <v>425</v>
      </c>
      <c r="G20" s="62" t="s">
        <v>429</v>
      </c>
      <c r="H20" s="52" t="s">
        <v>427</v>
      </c>
      <c r="I20" s="62" t="s">
        <v>426</v>
      </c>
      <c r="J20" s="52" t="s">
        <v>370</v>
      </c>
      <c r="K20" s="62" t="s">
        <v>423</v>
      </c>
      <c r="L20" s="95" t="s">
        <v>370</v>
      </c>
      <c r="M20" s="62"/>
      <c r="N20" s="52"/>
      <c r="O20" s="52" t="s">
        <v>369</v>
      </c>
      <c r="P20" s="52"/>
      <c r="Q20" s="60" t="s">
        <v>427</v>
      </c>
    </row>
    <row r="21" spans="1:17" s="60" customFormat="1" ht="36">
      <c r="A21" s="52"/>
      <c r="B21" s="53">
        <v>40299.208333333336</v>
      </c>
      <c r="C21" s="81">
        <v>40299.208333333336</v>
      </c>
      <c r="D21" s="80">
        <v>40299.208333333336</v>
      </c>
      <c r="E21" s="115" t="s">
        <v>1098</v>
      </c>
      <c r="F21" s="52" t="s">
        <v>1103</v>
      </c>
      <c r="G21" s="52"/>
      <c r="H21" s="52"/>
      <c r="I21" s="52"/>
      <c r="J21" s="115" t="s">
        <v>1559</v>
      </c>
      <c r="K21" s="52"/>
      <c r="L21" s="116" t="s">
        <v>1121</v>
      </c>
      <c r="M21" s="52"/>
      <c r="N21" s="52"/>
      <c r="O21" s="52"/>
      <c r="P21" s="52"/>
      <c r="Q21" s="60" t="s">
        <v>891</v>
      </c>
    </row>
    <row r="22" spans="1:17" s="60" customFormat="1" ht="36">
      <c r="A22" s="52"/>
      <c r="B22" s="53">
        <v>40299.208333333336</v>
      </c>
      <c r="C22" s="81">
        <v>40299.208333333336</v>
      </c>
      <c r="D22" s="80">
        <v>40299.209027777775</v>
      </c>
      <c r="E22" s="115" t="s">
        <v>1098</v>
      </c>
      <c r="F22" s="52" t="s">
        <v>1103</v>
      </c>
      <c r="G22" s="52"/>
      <c r="H22" s="52"/>
      <c r="I22" s="52"/>
      <c r="J22" s="115" t="s">
        <v>1559</v>
      </c>
      <c r="K22" s="52"/>
      <c r="L22" s="116" t="s">
        <v>1122</v>
      </c>
      <c r="M22" s="52"/>
      <c r="N22" s="52"/>
      <c r="O22" s="52"/>
      <c r="P22" s="52"/>
      <c r="Q22" s="60" t="s">
        <v>891</v>
      </c>
    </row>
    <row r="23" spans="1:17" s="60" customFormat="1" ht="36">
      <c r="A23" s="52"/>
      <c r="B23" s="53">
        <v>40299.208333333336</v>
      </c>
      <c r="C23" s="81">
        <v>40299.208333333336</v>
      </c>
      <c r="D23" s="80">
        <v>40299.209722222229</v>
      </c>
      <c r="E23" s="115" t="s">
        <v>1098</v>
      </c>
      <c r="F23" s="52" t="s">
        <v>1103</v>
      </c>
      <c r="G23" s="52"/>
      <c r="H23" s="52"/>
      <c r="I23" s="52"/>
      <c r="J23" s="115" t="s">
        <v>1559</v>
      </c>
      <c r="K23" s="52"/>
      <c r="L23" s="116" t="s">
        <v>1123</v>
      </c>
      <c r="M23" s="52"/>
      <c r="N23" s="52"/>
      <c r="O23" s="52"/>
      <c r="P23" s="52"/>
      <c r="Q23" s="60" t="s">
        <v>891</v>
      </c>
    </row>
    <row r="24" spans="1:17" s="60" customFormat="1" ht="36">
      <c r="A24" s="52"/>
      <c r="B24" s="53">
        <v>40299.208333333336</v>
      </c>
      <c r="C24" s="81">
        <v>40299.208333333336</v>
      </c>
      <c r="D24" s="80">
        <v>40299.210416666676</v>
      </c>
      <c r="E24" s="115" t="s">
        <v>1098</v>
      </c>
      <c r="F24" s="52" t="s">
        <v>1103</v>
      </c>
      <c r="G24" s="52"/>
      <c r="H24" s="52"/>
      <c r="I24" s="52"/>
      <c r="J24" s="115" t="s">
        <v>1559</v>
      </c>
      <c r="K24" s="52"/>
      <c r="L24" s="116" t="s">
        <v>1124</v>
      </c>
      <c r="M24" s="52"/>
      <c r="N24" s="52"/>
      <c r="O24" s="52"/>
      <c r="P24" s="52"/>
      <c r="Q24" s="60" t="s">
        <v>891</v>
      </c>
    </row>
    <row r="25" spans="1:17" s="60" customFormat="1" ht="36">
      <c r="A25" s="52"/>
      <c r="B25" s="53">
        <v>40299.208333333336</v>
      </c>
      <c r="C25" s="81">
        <v>40299.208333333336</v>
      </c>
      <c r="D25" s="80">
        <v>40299.211111111123</v>
      </c>
      <c r="E25" s="115" t="s">
        <v>1098</v>
      </c>
      <c r="F25" s="52" t="s">
        <v>1103</v>
      </c>
      <c r="G25" s="52"/>
      <c r="H25" s="52"/>
      <c r="I25" s="52"/>
      <c r="J25" s="115" t="s">
        <v>1559</v>
      </c>
      <c r="K25" s="52"/>
      <c r="L25" s="116" t="s">
        <v>1125</v>
      </c>
      <c r="M25" s="52"/>
      <c r="N25" s="52"/>
      <c r="O25" s="52"/>
      <c r="P25" s="52"/>
      <c r="Q25" s="60" t="s">
        <v>891</v>
      </c>
    </row>
    <row r="26" spans="1:17" s="60" customFormat="1" ht="36">
      <c r="A26" s="52"/>
      <c r="B26" s="53">
        <v>40299.208333333336</v>
      </c>
      <c r="C26" s="81">
        <v>40299.208333333336</v>
      </c>
      <c r="D26" s="80">
        <v>40299.211805555569</v>
      </c>
      <c r="E26" s="115" t="s">
        <v>1098</v>
      </c>
      <c r="F26" s="52" t="s">
        <v>1103</v>
      </c>
      <c r="G26" s="52"/>
      <c r="H26" s="52"/>
      <c r="I26" s="52"/>
      <c r="J26" s="115" t="s">
        <v>1559</v>
      </c>
      <c r="K26" s="52"/>
      <c r="L26" s="116" t="s">
        <v>1067</v>
      </c>
      <c r="M26" s="52"/>
      <c r="N26" s="52"/>
      <c r="O26" s="52"/>
      <c r="P26" s="52"/>
      <c r="Q26" s="60" t="s">
        <v>891</v>
      </c>
    </row>
    <row r="27" spans="1:17" s="60" customFormat="1" ht="36">
      <c r="A27" s="52"/>
      <c r="B27" s="53">
        <v>40299.208333333336</v>
      </c>
      <c r="C27" s="81">
        <v>40299.208333333336</v>
      </c>
      <c r="D27" s="80">
        <v>40299.212500000016</v>
      </c>
      <c r="E27" s="115" t="s">
        <v>1098</v>
      </c>
      <c r="F27" s="52" t="s">
        <v>1103</v>
      </c>
      <c r="G27" s="52"/>
      <c r="H27" s="52"/>
      <c r="I27" s="52"/>
      <c r="J27" s="115" t="s">
        <v>1559</v>
      </c>
      <c r="K27" s="52"/>
      <c r="L27" s="116" t="s">
        <v>1068</v>
      </c>
      <c r="M27" s="52"/>
      <c r="N27" s="52"/>
      <c r="O27" s="52"/>
      <c r="P27" s="52"/>
      <c r="Q27" s="60" t="s">
        <v>891</v>
      </c>
    </row>
    <row r="28" spans="1:17" s="60" customFormat="1" ht="36">
      <c r="A28" s="52"/>
      <c r="B28" s="53">
        <v>40299.208333333336</v>
      </c>
      <c r="C28" s="81">
        <v>40299.208333333336</v>
      </c>
      <c r="D28" s="80">
        <v>40299.213194444463</v>
      </c>
      <c r="E28" s="115" t="s">
        <v>1098</v>
      </c>
      <c r="F28" s="52" t="s">
        <v>1103</v>
      </c>
      <c r="G28" s="52"/>
      <c r="H28" s="52"/>
      <c r="I28" s="52"/>
      <c r="J28" s="115" t="s">
        <v>1559</v>
      </c>
      <c r="K28" s="52"/>
      <c r="L28" s="116" t="s">
        <v>1069</v>
      </c>
      <c r="M28" s="52"/>
      <c r="N28" s="52"/>
      <c r="O28" s="52"/>
      <c r="P28" s="52"/>
      <c r="Q28" s="60" t="s">
        <v>891</v>
      </c>
    </row>
    <row r="29" spans="1:17" s="60" customFormat="1" ht="36">
      <c r="A29" s="52"/>
      <c r="B29" s="53">
        <v>40299.208333333336</v>
      </c>
      <c r="C29" s="81">
        <v>40299.208333333336</v>
      </c>
      <c r="D29" s="80">
        <v>40299.213888888909</v>
      </c>
      <c r="E29" s="115" t="s">
        <v>1098</v>
      </c>
      <c r="F29" s="52" t="s">
        <v>1103</v>
      </c>
      <c r="G29" s="52"/>
      <c r="H29" s="52"/>
      <c r="I29" s="52"/>
      <c r="J29" s="115" t="s">
        <v>1559</v>
      </c>
      <c r="K29" s="52"/>
      <c r="L29" s="116" t="s">
        <v>1070</v>
      </c>
      <c r="M29" s="52"/>
      <c r="N29" s="52"/>
      <c r="O29" s="52"/>
      <c r="P29" s="52"/>
      <c r="Q29" s="60" t="s">
        <v>891</v>
      </c>
    </row>
    <row r="30" spans="1:17" s="60" customFormat="1" ht="36">
      <c r="A30" s="52"/>
      <c r="B30" s="53">
        <v>40299.208333333336</v>
      </c>
      <c r="C30" s="81">
        <v>40299.208333333336</v>
      </c>
      <c r="D30" s="80">
        <v>40299.214583333356</v>
      </c>
      <c r="E30" s="115" t="s">
        <v>1098</v>
      </c>
      <c r="F30" s="52" t="s">
        <v>1103</v>
      </c>
      <c r="G30" s="52"/>
      <c r="H30" s="52"/>
      <c r="I30" s="52"/>
      <c r="J30" s="115" t="s">
        <v>1559</v>
      </c>
      <c r="K30" s="52"/>
      <c r="L30" s="116" t="s">
        <v>1071</v>
      </c>
      <c r="M30" s="52"/>
      <c r="N30" s="52"/>
      <c r="O30" s="52"/>
      <c r="P30" s="52"/>
      <c r="Q30" s="60" t="s">
        <v>891</v>
      </c>
    </row>
    <row r="31" spans="1:17" s="60" customFormat="1" ht="36">
      <c r="A31" s="52"/>
      <c r="B31" s="53">
        <v>40299.208333333336</v>
      </c>
      <c r="C31" s="81">
        <v>40299.208333333336</v>
      </c>
      <c r="D31" s="80">
        <v>40299.215277777803</v>
      </c>
      <c r="E31" s="115" t="s">
        <v>1098</v>
      </c>
      <c r="F31" s="52" t="s">
        <v>1103</v>
      </c>
      <c r="G31" s="52"/>
      <c r="H31" s="52"/>
      <c r="I31" s="52"/>
      <c r="J31" s="115" t="s">
        <v>1559</v>
      </c>
      <c r="K31" s="52"/>
      <c r="L31" s="116" t="s">
        <v>1072</v>
      </c>
      <c r="M31" s="52"/>
      <c r="N31" s="52"/>
      <c r="O31" s="52"/>
      <c r="P31" s="52"/>
      <c r="Q31" s="60" t="s">
        <v>891</v>
      </c>
    </row>
    <row r="32" spans="1:17" s="60" customFormat="1" ht="36">
      <c r="A32" s="52"/>
      <c r="B32" s="53">
        <v>40299.208333333336</v>
      </c>
      <c r="C32" s="81">
        <v>40299.208333333336</v>
      </c>
      <c r="D32" s="80">
        <v>40299.21597222225</v>
      </c>
      <c r="E32" s="115" t="s">
        <v>1098</v>
      </c>
      <c r="F32" s="52" t="s">
        <v>1103</v>
      </c>
      <c r="G32" s="52"/>
      <c r="H32" s="52"/>
      <c r="I32" s="52"/>
      <c r="J32" s="115" t="s">
        <v>1559</v>
      </c>
      <c r="K32" s="52"/>
      <c r="L32" s="116" t="s">
        <v>1073</v>
      </c>
      <c r="M32" s="52"/>
      <c r="N32" s="52"/>
      <c r="O32" s="52"/>
      <c r="P32" s="52"/>
      <c r="Q32" s="60" t="s">
        <v>891</v>
      </c>
    </row>
    <row r="33" spans="1:17" s="60" customFormat="1" ht="36">
      <c r="A33" s="52"/>
      <c r="B33" s="53">
        <v>40299.208333333336</v>
      </c>
      <c r="C33" s="81">
        <v>40299.208333333336</v>
      </c>
      <c r="D33" s="80">
        <v>40299.216666666696</v>
      </c>
      <c r="E33" s="115" t="s">
        <v>1098</v>
      </c>
      <c r="F33" s="52" t="s">
        <v>1103</v>
      </c>
      <c r="G33" s="52"/>
      <c r="H33" s="52"/>
      <c r="I33" s="52"/>
      <c r="J33" s="115" t="s">
        <v>1559</v>
      </c>
      <c r="K33" s="52"/>
      <c r="L33" s="116" t="s">
        <v>1074</v>
      </c>
      <c r="M33" s="52"/>
      <c r="N33" s="52"/>
      <c r="O33" s="52"/>
      <c r="P33" s="52"/>
      <c r="Q33" s="60" t="s">
        <v>891</v>
      </c>
    </row>
    <row r="34" spans="1:17" s="60" customFormat="1" ht="36">
      <c r="A34" s="52"/>
      <c r="B34" s="53">
        <v>40299.208333333336</v>
      </c>
      <c r="C34" s="81">
        <v>40299.208333333336</v>
      </c>
      <c r="D34" s="80">
        <v>40299.217361111143</v>
      </c>
      <c r="E34" s="115" t="s">
        <v>1098</v>
      </c>
      <c r="F34" s="52" t="s">
        <v>1103</v>
      </c>
      <c r="G34" s="52"/>
      <c r="H34" s="52"/>
      <c r="I34" s="52"/>
      <c r="J34" s="115" t="s">
        <v>1559</v>
      </c>
      <c r="K34" s="52"/>
      <c r="L34" s="116" t="s">
        <v>1075</v>
      </c>
      <c r="M34" s="52"/>
      <c r="N34" s="52"/>
      <c r="O34" s="52"/>
      <c r="P34" s="52"/>
      <c r="Q34" s="60" t="s">
        <v>891</v>
      </c>
    </row>
    <row r="35" spans="1:17" s="60" customFormat="1" ht="96">
      <c r="A35" s="52"/>
      <c r="B35" s="53">
        <v>40299</v>
      </c>
      <c r="C35" s="54">
        <v>40299.416666666664</v>
      </c>
      <c r="D35" s="61">
        <v>40299.416666666664</v>
      </c>
      <c r="E35" s="52" t="s">
        <v>1098</v>
      </c>
      <c r="F35" s="52" t="s">
        <v>425</v>
      </c>
      <c r="G35" s="62" t="s">
        <v>429</v>
      </c>
      <c r="H35" s="52" t="s">
        <v>427</v>
      </c>
      <c r="I35" s="62" t="s">
        <v>426</v>
      </c>
      <c r="J35" s="52" t="s">
        <v>371</v>
      </c>
      <c r="K35" s="62" t="s">
        <v>423</v>
      </c>
      <c r="L35" s="95" t="s">
        <v>371</v>
      </c>
      <c r="M35" s="62"/>
      <c r="N35" s="52"/>
      <c r="O35" s="52" t="s">
        <v>1452</v>
      </c>
      <c r="P35" s="52"/>
      <c r="Q35" s="60" t="s">
        <v>427</v>
      </c>
    </row>
    <row r="36" spans="1:17" s="60" customFormat="1" ht="96">
      <c r="A36" s="52"/>
      <c r="B36" s="53">
        <v>40299</v>
      </c>
      <c r="C36" s="54">
        <v>40299.666666666664</v>
      </c>
      <c r="D36" s="61">
        <v>40299.666666666664</v>
      </c>
      <c r="E36" s="52" t="s">
        <v>1098</v>
      </c>
      <c r="F36" s="52" t="s">
        <v>425</v>
      </c>
      <c r="G36" s="62" t="s">
        <v>429</v>
      </c>
      <c r="H36" s="52" t="s">
        <v>427</v>
      </c>
      <c r="I36" s="62" t="s">
        <v>426</v>
      </c>
      <c r="J36" s="52" t="s">
        <v>372</v>
      </c>
      <c r="K36" s="62" t="s">
        <v>423</v>
      </c>
      <c r="L36" s="95" t="s">
        <v>372</v>
      </c>
      <c r="M36" s="62"/>
      <c r="N36" s="52"/>
      <c r="O36" s="52" t="s">
        <v>1453</v>
      </c>
      <c r="P36" s="52"/>
      <c r="Q36" s="60" t="s">
        <v>427</v>
      </c>
    </row>
    <row r="37" spans="1:17" s="60" customFormat="1" ht="96">
      <c r="A37" s="52"/>
      <c r="B37" s="53">
        <v>40299</v>
      </c>
      <c r="C37" s="54">
        <v>40299.916666666664</v>
      </c>
      <c r="D37" s="61">
        <v>40299.916666666664</v>
      </c>
      <c r="E37" s="52" t="s">
        <v>1098</v>
      </c>
      <c r="F37" s="52" t="s">
        <v>425</v>
      </c>
      <c r="G37" s="62" t="s">
        <v>429</v>
      </c>
      <c r="H37" s="52"/>
      <c r="I37" s="62" t="s">
        <v>426</v>
      </c>
      <c r="J37" s="52" t="s">
        <v>373</v>
      </c>
      <c r="K37" s="62" t="s">
        <v>423</v>
      </c>
      <c r="L37" s="95" t="s">
        <v>373</v>
      </c>
      <c r="M37" s="62"/>
      <c r="N37" s="52"/>
      <c r="O37" s="52" t="s">
        <v>1454</v>
      </c>
      <c r="P37" s="52"/>
      <c r="Q37" s="60" t="s">
        <v>427</v>
      </c>
    </row>
    <row r="38" spans="1:17" s="60" customFormat="1" ht="96">
      <c r="A38" s="52"/>
      <c r="B38" s="53">
        <v>40300</v>
      </c>
      <c r="C38" s="54">
        <v>40300.166666666664</v>
      </c>
      <c r="D38" s="61">
        <v>40300.166666666664</v>
      </c>
      <c r="E38" s="52" t="s">
        <v>1098</v>
      </c>
      <c r="F38" s="52" t="s">
        <v>425</v>
      </c>
      <c r="G38" s="62" t="s">
        <v>429</v>
      </c>
      <c r="H38" s="52" t="s">
        <v>427</v>
      </c>
      <c r="I38" s="62" t="s">
        <v>426</v>
      </c>
      <c r="J38" s="52" t="s">
        <v>373</v>
      </c>
      <c r="K38" s="62" t="s">
        <v>423</v>
      </c>
      <c r="L38" s="95" t="s">
        <v>373</v>
      </c>
      <c r="M38" s="62"/>
      <c r="N38" s="52"/>
      <c r="O38" s="52" t="s">
        <v>1455</v>
      </c>
      <c r="P38" s="52"/>
      <c r="Q38" s="60" t="s">
        <v>427</v>
      </c>
    </row>
    <row r="39" spans="1:17" s="60" customFormat="1" ht="36">
      <c r="A39" s="52"/>
      <c r="B39" s="53">
        <v>40300.208333333336</v>
      </c>
      <c r="C39" s="81">
        <v>40300.208333333336</v>
      </c>
      <c r="D39" s="80">
        <v>40300.208333333336</v>
      </c>
      <c r="E39" s="93" t="s">
        <v>1098</v>
      </c>
      <c r="F39" s="52" t="s">
        <v>1103</v>
      </c>
      <c r="G39" s="52"/>
      <c r="H39" s="52"/>
      <c r="I39" s="52"/>
      <c r="J39" s="52" t="s">
        <v>374</v>
      </c>
      <c r="K39" s="52"/>
      <c r="L39" s="95" t="s">
        <v>374</v>
      </c>
      <c r="M39" s="52"/>
      <c r="N39" s="52"/>
      <c r="O39" s="52"/>
      <c r="P39" s="52"/>
      <c r="Q39" s="60" t="s">
        <v>891</v>
      </c>
    </row>
    <row r="40" spans="1:17" s="60" customFormat="1" ht="36">
      <c r="A40" s="52"/>
      <c r="B40" s="53">
        <v>40300.208333333336</v>
      </c>
      <c r="C40" s="81">
        <v>40300.208333333336</v>
      </c>
      <c r="D40" s="80">
        <v>40300.209027777775</v>
      </c>
      <c r="E40" s="115" t="s">
        <v>1098</v>
      </c>
      <c r="F40" s="52" t="s">
        <v>1103</v>
      </c>
      <c r="G40" s="52"/>
      <c r="H40" s="52"/>
      <c r="I40" s="52"/>
      <c r="J40" s="115" t="s">
        <v>1559</v>
      </c>
      <c r="K40" s="52"/>
      <c r="L40" s="116" t="s">
        <v>1096</v>
      </c>
      <c r="M40" s="52"/>
      <c r="N40" s="52"/>
      <c r="O40" s="52"/>
      <c r="P40" s="52"/>
      <c r="Q40" s="60" t="s">
        <v>891</v>
      </c>
    </row>
    <row r="41" spans="1:17" s="60" customFormat="1" ht="36">
      <c r="A41" s="52"/>
      <c r="B41" s="53">
        <v>40300.208333333336</v>
      </c>
      <c r="C41" s="81">
        <v>40300.208333333336</v>
      </c>
      <c r="D41" s="80">
        <v>40300.209722222229</v>
      </c>
      <c r="E41" s="115" t="s">
        <v>1098</v>
      </c>
      <c r="F41" s="52" t="s">
        <v>1103</v>
      </c>
      <c r="G41" s="52"/>
      <c r="H41" s="52"/>
      <c r="I41" s="52"/>
      <c r="J41" s="115" t="s">
        <v>1559</v>
      </c>
      <c r="K41" s="52"/>
      <c r="L41" s="116" t="s">
        <v>1076</v>
      </c>
      <c r="M41" s="52"/>
      <c r="N41" s="52"/>
      <c r="O41" s="52"/>
      <c r="P41" s="52"/>
      <c r="Q41" s="60" t="s">
        <v>891</v>
      </c>
    </row>
    <row r="42" spans="1:17" s="60" customFormat="1" ht="36">
      <c r="A42" s="52"/>
      <c r="B42" s="53">
        <v>40300.208333333336</v>
      </c>
      <c r="C42" s="81">
        <v>40300.208333333336</v>
      </c>
      <c r="D42" s="80">
        <v>40300.210416666676</v>
      </c>
      <c r="E42" s="115" t="s">
        <v>1098</v>
      </c>
      <c r="F42" s="52" t="s">
        <v>1103</v>
      </c>
      <c r="G42" s="52"/>
      <c r="H42" s="52"/>
      <c r="I42" s="52"/>
      <c r="J42" s="115" t="s">
        <v>1559</v>
      </c>
      <c r="K42" s="52"/>
      <c r="L42" s="116" t="s">
        <v>1077</v>
      </c>
      <c r="M42" s="52"/>
      <c r="N42" s="52"/>
      <c r="O42" s="52"/>
      <c r="P42" s="52"/>
      <c r="Q42" s="60" t="s">
        <v>891</v>
      </c>
    </row>
    <row r="43" spans="1:17" s="60" customFormat="1" ht="36">
      <c r="A43" s="52"/>
      <c r="B43" s="53">
        <v>40300.208333333336</v>
      </c>
      <c r="C43" s="81">
        <v>40300.208333333336</v>
      </c>
      <c r="D43" s="80">
        <v>40300.211111111123</v>
      </c>
      <c r="E43" s="115" t="s">
        <v>1098</v>
      </c>
      <c r="F43" s="52" t="s">
        <v>1103</v>
      </c>
      <c r="G43" s="52"/>
      <c r="H43" s="52"/>
      <c r="I43" s="52"/>
      <c r="J43" s="115" t="s">
        <v>1559</v>
      </c>
      <c r="K43" s="52"/>
      <c r="L43" s="116" t="s">
        <v>1078</v>
      </c>
      <c r="M43" s="52"/>
      <c r="N43" s="52"/>
      <c r="O43" s="52"/>
      <c r="P43" s="52"/>
      <c r="Q43" s="60" t="s">
        <v>891</v>
      </c>
    </row>
    <row r="44" spans="1:17" s="60" customFormat="1" ht="36">
      <c r="A44" s="52"/>
      <c r="B44" s="53">
        <v>40300.208333333336</v>
      </c>
      <c r="C44" s="81">
        <v>40300.208333333336</v>
      </c>
      <c r="D44" s="80">
        <v>40300.211805555569</v>
      </c>
      <c r="E44" s="115" t="s">
        <v>1098</v>
      </c>
      <c r="F44" s="52" t="s">
        <v>1103</v>
      </c>
      <c r="G44" s="52"/>
      <c r="H44" s="52"/>
      <c r="I44" s="52"/>
      <c r="J44" s="115" t="s">
        <v>1559</v>
      </c>
      <c r="K44" s="52"/>
      <c r="L44" s="116" t="s">
        <v>1079</v>
      </c>
      <c r="M44" s="52"/>
      <c r="N44" s="52"/>
      <c r="O44" s="52"/>
      <c r="P44" s="52"/>
      <c r="Q44" s="60" t="s">
        <v>891</v>
      </c>
    </row>
    <row r="45" spans="1:17" s="60" customFormat="1" ht="36">
      <c r="A45" s="52"/>
      <c r="B45" s="53">
        <v>40300.208333333336</v>
      </c>
      <c r="C45" s="81">
        <v>40300.208333333336</v>
      </c>
      <c r="D45" s="80">
        <v>40300.212500000016</v>
      </c>
      <c r="E45" s="115" t="s">
        <v>1098</v>
      </c>
      <c r="F45" s="52" t="s">
        <v>1103</v>
      </c>
      <c r="G45" s="52"/>
      <c r="H45" s="52"/>
      <c r="I45" s="52"/>
      <c r="J45" s="115" t="s">
        <v>1559</v>
      </c>
      <c r="K45" s="52"/>
      <c r="L45" s="116" t="s">
        <v>1080</v>
      </c>
      <c r="M45" s="52"/>
      <c r="N45" s="52"/>
      <c r="O45" s="52"/>
      <c r="P45" s="52"/>
      <c r="Q45" s="60" t="s">
        <v>891</v>
      </c>
    </row>
    <row r="46" spans="1:17" s="60" customFormat="1" ht="36">
      <c r="A46" s="52"/>
      <c r="B46" s="53">
        <v>40300.208333333336</v>
      </c>
      <c r="C46" s="81">
        <v>40300.208333333336</v>
      </c>
      <c r="D46" s="80">
        <v>40300.213194444463</v>
      </c>
      <c r="E46" s="115" t="s">
        <v>1098</v>
      </c>
      <c r="F46" s="52" t="s">
        <v>1103</v>
      </c>
      <c r="G46" s="52"/>
      <c r="H46" s="52"/>
      <c r="I46" s="52"/>
      <c r="J46" s="115" t="s">
        <v>1559</v>
      </c>
      <c r="K46" s="52"/>
      <c r="L46" s="116" t="s">
        <v>1081</v>
      </c>
      <c r="M46" s="52"/>
      <c r="N46" s="52"/>
      <c r="O46" s="52"/>
      <c r="P46" s="52"/>
      <c r="Q46" s="60" t="s">
        <v>891</v>
      </c>
    </row>
    <row r="47" spans="1:17" s="60" customFormat="1" ht="36">
      <c r="A47" s="52"/>
      <c r="B47" s="53">
        <v>40300.208333333336</v>
      </c>
      <c r="C47" s="81">
        <v>40300.208333333336</v>
      </c>
      <c r="D47" s="80">
        <v>40300.213888888909</v>
      </c>
      <c r="E47" s="115" t="s">
        <v>1098</v>
      </c>
      <c r="F47" s="52" t="s">
        <v>1103</v>
      </c>
      <c r="G47" s="52"/>
      <c r="H47" s="52"/>
      <c r="I47" s="52"/>
      <c r="J47" s="115" t="s">
        <v>1559</v>
      </c>
      <c r="K47" s="52"/>
      <c r="L47" s="116" t="s">
        <v>1082</v>
      </c>
      <c r="M47" s="52"/>
      <c r="N47" s="52"/>
      <c r="O47" s="52"/>
      <c r="P47" s="52"/>
      <c r="Q47" s="60" t="s">
        <v>891</v>
      </c>
    </row>
    <row r="48" spans="1:17" s="60" customFormat="1" ht="36">
      <c r="A48" s="52"/>
      <c r="B48" s="53">
        <v>40300.208333333336</v>
      </c>
      <c r="C48" s="81">
        <v>40300.208333333336</v>
      </c>
      <c r="D48" s="80">
        <v>40300.214583333356</v>
      </c>
      <c r="E48" s="115" t="s">
        <v>1098</v>
      </c>
      <c r="F48" s="52" t="s">
        <v>1103</v>
      </c>
      <c r="G48" s="52"/>
      <c r="H48" s="52"/>
      <c r="I48" s="52"/>
      <c r="J48" s="115" t="s">
        <v>1559</v>
      </c>
      <c r="K48" s="52"/>
      <c r="L48" s="116" t="s">
        <v>1083</v>
      </c>
      <c r="M48" s="52"/>
      <c r="N48" s="52"/>
      <c r="O48" s="52"/>
      <c r="P48" s="52"/>
      <c r="Q48" s="60" t="s">
        <v>891</v>
      </c>
    </row>
    <row r="49" spans="1:17" s="60" customFormat="1" ht="36">
      <c r="A49" s="52"/>
      <c r="B49" s="53">
        <v>40300.208333333336</v>
      </c>
      <c r="C49" s="81">
        <v>40300.208333333336</v>
      </c>
      <c r="D49" s="80">
        <v>40300.215277777803</v>
      </c>
      <c r="E49" s="115" t="s">
        <v>1098</v>
      </c>
      <c r="F49" s="52" t="s">
        <v>1103</v>
      </c>
      <c r="G49" s="52"/>
      <c r="H49" s="52"/>
      <c r="I49" s="52"/>
      <c r="J49" s="115" t="s">
        <v>1559</v>
      </c>
      <c r="K49" s="52"/>
      <c r="L49" s="116" t="s">
        <v>1084</v>
      </c>
      <c r="M49" s="52"/>
      <c r="N49" s="52"/>
      <c r="O49" s="52"/>
      <c r="P49" s="52"/>
      <c r="Q49" s="60" t="s">
        <v>891</v>
      </c>
    </row>
    <row r="50" spans="1:17" s="60" customFormat="1" ht="36">
      <c r="A50" s="52"/>
      <c r="B50" s="53">
        <v>40300.208333333336</v>
      </c>
      <c r="C50" s="81">
        <v>40300.208333333336</v>
      </c>
      <c r="D50" s="80">
        <v>40300.21597222225</v>
      </c>
      <c r="E50" s="115" t="s">
        <v>1098</v>
      </c>
      <c r="F50" s="52" t="s">
        <v>1103</v>
      </c>
      <c r="G50" s="52"/>
      <c r="H50" s="52"/>
      <c r="I50" s="52"/>
      <c r="J50" s="115" t="s">
        <v>1559</v>
      </c>
      <c r="K50" s="52"/>
      <c r="L50" s="116" t="s">
        <v>1085</v>
      </c>
      <c r="M50" s="52"/>
      <c r="N50" s="52"/>
      <c r="O50" s="52"/>
      <c r="P50" s="52"/>
      <c r="Q50" s="60" t="s">
        <v>891</v>
      </c>
    </row>
    <row r="51" spans="1:17" s="60" customFormat="1" ht="36">
      <c r="A51" s="52"/>
      <c r="B51" s="53">
        <v>40300.208333333336</v>
      </c>
      <c r="C51" s="81">
        <v>40300.208333333336</v>
      </c>
      <c r="D51" s="80">
        <v>40300.216666666696</v>
      </c>
      <c r="E51" s="115" t="s">
        <v>1098</v>
      </c>
      <c r="F51" s="52" t="s">
        <v>1103</v>
      </c>
      <c r="G51" s="52"/>
      <c r="H51" s="52"/>
      <c r="I51" s="52"/>
      <c r="J51" s="115" t="s">
        <v>1559</v>
      </c>
      <c r="K51" s="52"/>
      <c r="L51" s="116" t="s">
        <v>1086</v>
      </c>
      <c r="M51" s="52"/>
      <c r="N51" s="52"/>
      <c r="O51" s="52"/>
      <c r="P51" s="52"/>
      <c r="Q51" s="60" t="s">
        <v>891</v>
      </c>
    </row>
    <row r="52" spans="1:17" s="60" customFormat="1" ht="36">
      <c r="A52" s="52"/>
      <c r="B52" s="53">
        <v>40300.208333333336</v>
      </c>
      <c r="C52" s="81">
        <v>40300.208333333336</v>
      </c>
      <c r="D52" s="80">
        <v>40300.217361111143</v>
      </c>
      <c r="E52" s="115" t="s">
        <v>1098</v>
      </c>
      <c r="F52" s="52" t="s">
        <v>1103</v>
      </c>
      <c r="G52" s="52"/>
      <c r="H52" s="52"/>
      <c r="I52" s="52"/>
      <c r="J52" s="115" t="s">
        <v>1559</v>
      </c>
      <c r="K52" s="52"/>
      <c r="L52" s="116" t="s">
        <v>1087</v>
      </c>
      <c r="M52" s="52"/>
      <c r="N52" s="52"/>
      <c r="O52" s="52"/>
      <c r="P52" s="52"/>
      <c r="Q52" s="60" t="s">
        <v>891</v>
      </c>
    </row>
    <row r="53" spans="1:17" s="60" customFormat="1" ht="36">
      <c r="A53" s="52"/>
      <c r="B53" s="53">
        <v>40300.208333333336</v>
      </c>
      <c r="C53" s="81">
        <v>40300.208333333336</v>
      </c>
      <c r="D53" s="80">
        <v>40300.21805555559</v>
      </c>
      <c r="E53" s="115" t="s">
        <v>1489</v>
      </c>
      <c r="F53" s="52" t="s">
        <v>1103</v>
      </c>
      <c r="G53" s="52"/>
      <c r="H53" s="52"/>
      <c r="I53" s="52"/>
      <c r="J53" s="115" t="s">
        <v>1559</v>
      </c>
      <c r="K53" s="52"/>
      <c r="L53" s="116" t="s">
        <v>1088</v>
      </c>
      <c r="M53" s="52"/>
      <c r="N53" s="52"/>
      <c r="O53" s="52"/>
      <c r="P53" s="52"/>
      <c r="Q53" s="60" t="s">
        <v>891</v>
      </c>
    </row>
    <row r="54" spans="1:17" s="60" customFormat="1" ht="36">
      <c r="A54" s="52"/>
      <c r="B54" s="53">
        <v>40300.208333333336</v>
      </c>
      <c r="C54" s="81">
        <v>40300.208333333336</v>
      </c>
      <c r="D54" s="80">
        <v>40300.218750000036</v>
      </c>
      <c r="E54" s="115" t="s">
        <v>1098</v>
      </c>
      <c r="F54" s="52" t="s">
        <v>1103</v>
      </c>
      <c r="G54" s="52"/>
      <c r="H54" s="52"/>
      <c r="I54" s="52"/>
      <c r="J54" s="115" t="s">
        <v>1559</v>
      </c>
      <c r="K54" s="52"/>
      <c r="L54" s="116" t="s">
        <v>1089</v>
      </c>
      <c r="M54" s="52"/>
      <c r="N54" s="52"/>
      <c r="O54" s="52"/>
      <c r="P54" s="52"/>
      <c r="Q54" s="60" t="s">
        <v>891</v>
      </c>
    </row>
    <row r="55" spans="1:17" s="60" customFormat="1" ht="36">
      <c r="A55" s="52"/>
      <c r="B55" s="53">
        <v>40300.208333333336</v>
      </c>
      <c r="C55" s="81">
        <v>40300.208333333336</v>
      </c>
      <c r="D55" s="80">
        <v>40300.219444444483</v>
      </c>
      <c r="E55" s="115" t="s">
        <v>1098</v>
      </c>
      <c r="F55" s="52" t="s">
        <v>1103</v>
      </c>
      <c r="G55" s="52"/>
      <c r="H55" s="52"/>
      <c r="I55" s="52"/>
      <c r="J55" s="115" t="s">
        <v>1559</v>
      </c>
      <c r="K55" s="52"/>
      <c r="L55" s="116" t="s">
        <v>1090</v>
      </c>
      <c r="M55" s="52"/>
      <c r="N55" s="52"/>
      <c r="O55" s="52"/>
      <c r="P55" s="52"/>
      <c r="Q55" s="60" t="s">
        <v>891</v>
      </c>
    </row>
    <row r="56" spans="1:17" s="60" customFormat="1" ht="36">
      <c r="A56" s="52"/>
      <c r="B56" s="53">
        <v>40300.208333333336</v>
      </c>
      <c r="C56" s="81">
        <v>40300.208333333336</v>
      </c>
      <c r="D56" s="80">
        <v>40300.22013888893</v>
      </c>
      <c r="E56" s="115" t="s">
        <v>1098</v>
      </c>
      <c r="F56" s="52" t="s">
        <v>1103</v>
      </c>
      <c r="G56" s="52"/>
      <c r="H56" s="52"/>
      <c r="I56" s="52"/>
      <c r="J56" s="115" t="s">
        <v>1559</v>
      </c>
      <c r="K56" s="52"/>
      <c r="L56" s="116" t="s">
        <v>1091</v>
      </c>
      <c r="M56" s="52"/>
      <c r="N56" s="52"/>
      <c r="O56" s="52"/>
      <c r="P56" s="52"/>
      <c r="Q56" s="60" t="s">
        <v>891</v>
      </c>
    </row>
    <row r="57" spans="1:17" s="60" customFormat="1" ht="36">
      <c r="A57" s="52"/>
      <c r="B57" s="53">
        <v>40300.208333333336</v>
      </c>
      <c r="C57" s="81">
        <v>40300.208333333336</v>
      </c>
      <c r="D57" s="80">
        <v>40300.220833333377</v>
      </c>
      <c r="E57" s="115" t="s">
        <v>1098</v>
      </c>
      <c r="F57" s="52" t="s">
        <v>1103</v>
      </c>
      <c r="G57" s="52"/>
      <c r="H57" s="52"/>
      <c r="I57" s="52"/>
      <c r="J57" s="115" t="s">
        <v>1559</v>
      </c>
      <c r="K57" s="52"/>
      <c r="L57" s="116" t="s">
        <v>1092</v>
      </c>
      <c r="M57" s="52"/>
      <c r="N57" s="52"/>
      <c r="O57" s="52"/>
      <c r="P57" s="52"/>
      <c r="Q57" s="60" t="s">
        <v>891</v>
      </c>
    </row>
    <row r="58" spans="1:17" s="60" customFormat="1" ht="36">
      <c r="A58" s="52"/>
      <c r="B58" s="53">
        <v>40300.208333333336</v>
      </c>
      <c r="C58" s="81">
        <v>40300.208333333336</v>
      </c>
      <c r="D58" s="80">
        <v>40300.221527777823</v>
      </c>
      <c r="E58" s="115" t="s">
        <v>1098</v>
      </c>
      <c r="F58" s="52" t="s">
        <v>1103</v>
      </c>
      <c r="G58" s="52"/>
      <c r="H58" s="52"/>
      <c r="I58" s="52"/>
      <c r="J58" s="115" t="s">
        <v>1559</v>
      </c>
      <c r="K58" s="52"/>
      <c r="L58" s="116" t="s">
        <v>1202</v>
      </c>
      <c r="M58" s="52"/>
      <c r="N58" s="52"/>
      <c r="O58" s="52"/>
      <c r="P58" s="52"/>
      <c r="Q58" s="60" t="s">
        <v>891</v>
      </c>
    </row>
    <row r="59" spans="1:17" s="60" customFormat="1" ht="36">
      <c r="A59" s="52"/>
      <c r="B59" s="53">
        <v>40300.208333333336</v>
      </c>
      <c r="C59" s="81">
        <v>40300.208333333336</v>
      </c>
      <c r="D59" s="80">
        <v>40300.22222222227</v>
      </c>
      <c r="E59" s="115" t="s">
        <v>1098</v>
      </c>
      <c r="F59" s="52" t="s">
        <v>1103</v>
      </c>
      <c r="G59" s="52"/>
      <c r="H59" s="52"/>
      <c r="I59" s="52"/>
      <c r="J59" s="115" t="s">
        <v>1559</v>
      </c>
      <c r="K59" s="52"/>
      <c r="L59" s="116" t="s">
        <v>1093</v>
      </c>
      <c r="M59" s="52"/>
      <c r="N59" s="52"/>
      <c r="O59" s="52"/>
      <c r="P59" s="52"/>
      <c r="Q59" s="60" t="s">
        <v>891</v>
      </c>
    </row>
    <row r="60" spans="1:17" s="60" customFormat="1" ht="36">
      <c r="A60" s="52"/>
      <c r="B60" s="53">
        <v>40300.208333333336</v>
      </c>
      <c r="C60" s="81">
        <v>40300.208333333336</v>
      </c>
      <c r="D60" s="80">
        <v>40300.222916666717</v>
      </c>
      <c r="E60" s="115" t="s">
        <v>1098</v>
      </c>
      <c r="F60" s="52" t="s">
        <v>1103</v>
      </c>
      <c r="G60" s="52"/>
      <c r="H60" s="52"/>
      <c r="I60" s="52"/>
      <c r="J60" s="115" t="s">
        <v>1559</v>
      </c>
      <c r="K60" s="52"/>
      <c r="L60" s="116" t="s">
        <v>1094</v>
      </c>
      <c r="M60" s="52"/>
      <c r="N60" s="52"/>
      <c r="O60" s="52"/>
      <c r="P60" s="52"/>
      <c r="Q60" s="60" t="s">
        <v>891</v>
      </c>
    </row>
    <row r="61" spans="1:17" s="60" customFormat="1" ht="36">
      <c r="A61" s="52"/>
      <c r="B61" s="53">
        <v>40300.208333333336</v>
      </c>
      <c r="C61" s="81">
        <v>40300.208333333336</v>
      </c>
      <c r="D61" s="80">
        <v>40300.223611111163</v>
      </c>
      <c r="E61" s="115" t="s">
        <v>1098</v>
      </c>
      <c r="F61" s="52" t="s">
        <v>1103</v>
      </c>
      <c r="G61" s="52"/>
      <c r="H61" s="52"/>
      <c r="I61" s="52"/>
      <c r="J61" s="115" t="s">
        <v>1559</v>
      </c>
      <c r="K61" s="52"/>
      <c r="L61" s="116" t="s">
        <v>1203</v>
      </c>
      <c r="M61" s="52"/>
      <c r="N61" s="52"/>
      <c r="O61" s="52"/>
      <c r="P61" s="52"/>
      <c r="Q61" s="60" t="s">
        <v>891</v>
      </c>
    </row>
    <row r="62" spans="1:17" s="60" customFormat="1" ht="36">
      <c r="A62" s="52"/>
      <c r="B62" s="53">
        <v>40300.208333333336</v>
      </c>
      <c r="C62" s="81">
        <v>40300.208333333336</v>
      </c>
      <c r="D62" s="80">
        <v>40300.22430555561</v>
      </c>
      <c r="E62" s="115" t="s">
        <v>1098</v>
      </c>
      <c r="F62" s="52" t="s">
        <v>1103</v>
      </c>
      <c r="G62" s="52"/>
      <c r="H62" s="52"/>
      <c r="I62" s="52"/>
      <c r="J62" s="115" t="s">
        <v>1559</v>
      </c>
      <c r="K62" s="52"/>
      <c r="L62" s="116" t="s">
        <v>1204</v>
      </c>
      <c r="M62" s="52"/>
      <c r="N62" s="52"/>
      <c r="O62" s="52"/>
      <c r="P62" s="52"/>
      <c r="Q62" s="60" t="s">
        <v>891</v>
      </c>
    </row>
    <row r="63" spans="1:17" s="60" customFormat="1" ht="36">
      <c r="A63" s="52"/>
      <c r="B63" s="53">
        <v>40300.208333333336</v>
      </c>
      <c r="C63" s="81">
        <v>40300.208333333336</v>
      </c>
      <c r="D63" s="80">
        <v>40300.225000000057</v>
      </c>
      <c r="E63" s="115" t="s">
        <v>1098</v>
      </c>
      <c r="F63" s="52" t="s">
        <v>1103</v>
      </c>
      <c r="G63" s="52"/>
      <c r="H63" s="52"/>
      <c r="I63" s="52"/>
      <c r="J63" s="115" t="s">
        <v>1559</v>
      </c>
      <c r="K63" s="52"/>
      <c r="L63" s="116" t="s">
        <v>1205</v>
      </c>
      <c r="M63" s="52"/>
      <c r="N63" s="52"/>
      <c r="O63" s="52"/>
      <c r="P63" s="52"/>
      <c r="Q63" s="60" t="s">
        <v>891</v>
      </c>
    </row>
    <row r="64" spans="1:17" s="60" customFormat="1" ht="48">
      <c r="A64" s="52"/>
      <c r="B64" s="53">
        <v>40300.208333333336</v>
      </c>
      <c r="C64" s="81">
        <v>40300.208333333336</v>
      </c>
      <c r="D64" s="80">
        <v>40300.225694444503</v>
      </c>
      <c r="E64" s="115" t="s">
        <v>1098</v>
      </c>
      <c r="F64" s="52" t="s">
        <v>1103</v>
      </c>
      <c r="G64" s="52"/>
      <c r="H64" s="52"/>
      <c r="I64" s="52"/>
      <c r="J64" s="115" t="s">
        <v>1559</v>
      </c>
      <c r="K64" s="52"/>
      <c r="L64" s="116" t="s">
        <v>1589</v>
      </c>
      <c r="M64" s="52"/>
      <c r="N64" s="52"/>
      <c r="O64" s="52"/>
      <c r="P64" s="52"/>
      <c r="Q64" s="60" t="s">
        <v>891</v>
      </c>
    </row>
    <row r="65" spans="1:17" s="60" customFormat="1" ht="36">
      <c r="A65" s="52"/>
      <c r="B65" s="53">
        <v>40300.208333333336</v>
      </c>
      <c r="C65" s="81">
        <v>40300.208333333336</v>
      </c>
      <c r="D65" s="80">
        <v>40300.22638888895</v>
      </c>
      <c r="E65" s="115" t="s">
        <v>1098</v>
      </c>
      <c r="F65" s="52" t="s">
        <v>1103</v>
      </c>
      <c r="G65" s="52"/>
      <c r="H65" s="52"/>
      <c r="I65" s="52"/>
      <c r="J65" s="115" t="s">
        <v>1559</v>
      </c>
      <c r="K65" s="52"/>
      <c r="L65" s="116" t="s">
        <v>1590</v>
      </c>
      <c r="M65" s="52"/>
      <c r="N65" s="52"/>
      <c r="O65" s="52"/>
      <c r="P65" s="52"/>
      <c r="Q65" s="60" t="s">
        <v>891</v>
      </c>
    </row>
    <row r="66" spans="1:17" s="60" customFormat="1" ht="36">
      <c r="A66" s="52"/>
      <c r="B66" s="53">
        <v>40300.208333333336</v>
      </c>
      <c r="C66" s="81">
        <v>40300.208333333336</v>
      </c>
      <c r="D66" s="80">
        <v>40300.227083333397</v>
      </c>
      <c r="E66" s="115" t="s">
        <v>1098</v>
      </c>
      <c r="F66" s="52" t="s">
        <v>1103</v>
      </c>
      <c r="G66" s="52"/>
      <c r="H66" s="52"/>
      <c r="I66" s="52"/>
      <c r="J66" s="115" t="s">
        <v>1559</v>
      </c>
      <c r="K66" s="52"/>
      <c r="L66" s="116" t="s">
        <v>1095</v>
      </c>
      <c r="M66" s="52"/>
      <c r="N66" s="52"/>
      <c r="O66" s="52"/>
      <c r="P66" s="52"/>
      <c r="Q66" s="60" t="s">
        <v>891</v>
      </c>
    </row>
    <row r="67" spans="1:17" s="60" customFormat="1" ht="108">
      <c r="A67" s="52"/>
      <c r="B67" s="53">
        <v>40300</v>
      </c>
      <c r="C67" s="54">
        <v>40300.416666666664</v>
      </c>
      <c r="D67" s="61">
        <v>40300.416666666664</v>
      </c>
      <c r="E67" s="52" t="s">
        <v>1098</v>
      </c>
      <c r="F67" s="52" t="s">
        <v>425</v>
      </c>
      <c r="G67" s="62" t="s">
        <v>429</v>
      </c>
      <c r="H67" s="52"/>
      <c r="I67" s="62" t="s">
        <v>426</v>
      </c>
      <c r="J67" s="52" t="s">
        <v>375</v>
      </c>
      <c r="K67" s="62" t="s">
        <v>423</v>
      </c>
      <c r="L67" s="95" t="s">
        <v>375</v>
      </c>
      <c r="M67" s="62"/>
      <c r="N67" s="52"/>
      <c r="O67" s="52" t="s">
        <v>1442</v>
      </c>
      <c r="P67" s="52"/>
      <c r="Q67" s="60" t="s">
        <v>427</v>
      </c>
    </row>
    <row r="68" spans="1:17" s="60" customFormat="1" ht="24">
      <c r="A68" s="52"/>
      <c r="B68" s="53">
        <v>40300</v>
      </c>
      <c r="C68" s="63">
        <v>0.5</v>
      </c>
      <c r="D68" s="55">
        <v>40300.5</v>
      </c>
      <c r="E68" s="52" t="s">
        <v>430</v>
      </c>
      <c r="F68" s="64" t="s">
        <v>425</v>
      </c>
      <c r="G68" s="64" t="s">
        <v>431</v>
      </c>
      <c r="H68" s="52" t="s">
        <v>432</v>
      </c>
      <c r="I68" s="52" t="s">
        <v>433</v>
      </c>
      <c r="J68" s="52"/>
      <c r="K68" s="52"/>
      <c r="L68" s="95" t="s">
        <v>434</v>
      </c>
      <c r="M68" s="52" t="s">
        <v>435</v>
      </c>
      <c r="N68" s="52"/>
      <c r="O68" s="52" t="s">
        <v>436</v>
      </c>
      <c r="P68" s="52"/>
      <c r="Q68" s="60" t="s">
        <v>437</v>
      </c>
    </row>
    <row r="69" spans="1:17" s="60" customFormat="1" ht="96">
      <c r="A69" s="52"/>
      <c r="B69" s="53">
        <v>40300</v>
      </c>
      <c r="C69" s="54">
        <v>40300.666666666664</v>
      </c>
      <c r="D69" s="61">
        <v>40300.666666666664</v>
      </c>
      <c r="E69" s="52" t="s">
        <v>1098</v>
      </c>
      <c r="F69" s="52" t="s">
        <v>425</v>
      </c>
      <c r="G69" s="62" t="s">
        <v>429</v>
      </c>
      <c r="H69" s="52"/>
      <c r="I69" s="62" t="s">
        <v>426</v>
      </c>
      <c r="J69" s="52" t="s">
        <v>376</v>
      </c>
      <c r="K69" s="62" t="s">
        <v>423</v>
      </c>
      <c r="L69" s="95" t="s">
        <v>376</v>
      </c>
      <c r="M69" s="62"/>
      <c r="N69" s="52"/>
      <c r="O69" s="52" t="s">
        <v>1443</v>
      </c>
      <c r="P69" s="52"/>
      <c r="Q69" s="60" t="s">
        <v>427</v>
      </c>
    </row>
    <row r="70" spans="1:17" s="60" customFormat="1" ht="96">
      <c r="A70" s="52"/>
      <c r="B70" s="53">
        <v>40300</v>
      </c>
      <c r="C70" s="54">
        <v>40300.916666666664</v>
      </c>
      <c r="D70" s="61">
        <v>40300.916666666664</v>
      </c>
      <c r="E70" s="60" t="s">
        <v>1098</v>
      </c>
      <c r="F70" s="52" t="s">
        <v>425</v>
      </c>
      <c r="G70" s="62" t="s">
        <v>429</v>
      </c>
      <c r="H70" s="52"/>
      <c r="I70" s="62" t="s">
        <v>426</v>
      </c>
      <c r="J70" s="52" t="s">
        <v>377</v>
      </c>
      <c r="K70" s="62" t="s">
        <v>423</v>
      </c>
      <c r="L70" s="95" t="s">
        <v>377</v>
      </c>
      <c r="M70" s="62"/>
      <c r="N70" s="52"/>
      <c r="O70" s="52" t="s">
        <v>1444</v>
      </c>
      <c r="P70" s="52"/>
      <c r="Q70" s="60" t="s">
        <v>427</v>
      </c>
    </row>
    <row r="71" spans="1:17" s="60" customFormat="1" ht="96">
      <c r="A71" s="52"/>
      <c r="B71" s="53">
        <v>40301</v>
      </c>
      <c r="C71" s="54">
        <v>40301.166666666664</v>
      </c>
      <c r="D71" s="61">
        <v>40301.166666666664</v>
      </c>
      <c r="E71" s="52" t="s">
        <v>1098</v>
      </c>
      <c r="F71" s="52" t="s">
        <v>425</v>
      </c>
      <c r="G71" s="62" t="s">
        <v>429</v>
      </c>
      <c r="H71" s="52"/>
      <c r="I71" s="62" t="s">
        <v>426</v>
      </c>
      <c r="J71" s="52" t="s">
        <v>378</v>
      </c>
      <c r="K71" s="62" t="s">
        <v>423</v>
      </c>
      <c r="L71" s="95" t="s">
        <v>378</v>
      </c>
      <c r="M71" s="62"/>
      <c r="N71" s="52"/>
      <c r="O71" s="52" t="s">
        <v>1445</v>
      </c>
      <c r="P71" s="52"/>
      <c r="Q71" s="60" t="s">
        <v>427</v>
      </c>
    </row>
    <row r="72" spans="1:17" s="60" customFormat="1" ht="36">
      <c r="A72" s="52"/>
      <c r="B72" s="53">
        <v>40301.208333333336</v>
      </c>
      <c r="C72" s="81">
        <v>40301.208333333336</v>
      </c>
      <c r="D72" s="80">
        <v>40301.208333333336</v>
      </c>
      <c r="E72" s="115" t="s">
        <v>1098</v>
      </c>
      <c r="F72" s="52" t="s">
        <v>1103</v>
      </c>
      <c r="G72" s="52"/>
      <c r="H72" s="52"/>
      <c r="I72" s="52"/>
      <c r="J72" s="115" t="s">
        <v>1559</v>
      </c>
      <c r="K72" s="52"/>
      <c r="L72" s="116" t="s">
        <v>1097</v>
      </c>
      <c r="M72" s="52"/>
      <c r="N72" s="52"/>
      <c r="O72" s="52"/>
      <c r="P72" s="52"/>
      <c r="Q72" s="60" t="s">
        <v>891</v>
      </c>
    </row>
    <row r="73" spans="1:17" s="60" customFormat="1" ht="36">
      <c r="A73" s="52"/>
      <c r="B73" s="53">
        <v>40301.208333333336</v>
      </c>
      <c r="C73" s="81">
        <v>40301.208333333336</v>
      </c>
      <c r="D73" s="80">
        <v>40301.209027777782</v>
      </c>
      <c r="E73" s="115" t="s">
        <v>1098</v>
      </c>
      <c r="F73" s="52" t="s">
        <v>1103</v>
      </c>
      <c r="G73" s="52"/>
      <c r="H73" s="52"/>
      <c r="I73" s="52"/>
      <c r="J73" s="115" t="s">
        <v>1559</v>
      </c>
      <c r="K73" s="52"/>
      <c r="L73" s="116" t="s">
        <v>1063</v>
      </c>
      <c r="M73" s="52"/>
      <c r="N73" s="52"/>
      <c r="O73" s="52"/>
      <c r="P73" s="52"/>
      <c r="Q73" s="60" t="s">
        <v>891</v>
      </c>
    </row>
    <row r="74" spans="1:17" s="60" customFormat="1" ht="36">
      <c r="A74" s="52"/>
      <c r="B74" s="53">
        <v>40301.208333333336</v>
      </c>
      <c r="C74" s="81">
        <v>40301.208333333336</v>
      </c>
      <c r="D74" s="80">
        <v>40301.209722222229</v>
      </c>
      <c r="E74" s="115" t="s">
        <v>1098</v>
      </c>
      <c r="F74" s="52" t="s">
        <v>1103</v>
      </c>
      <c r="G74" s="52"/>
      <c r="H74" s="52"/>
      <c r="I74" s="52"/>
      <c r="J74" s="115" t="s">
        <v>1559</v>
      </c>
      <c r="K74" s="52"/>
      <c r="L74" s="116" t="s">
        <v>1040</v>
      </c>
      <c r="M74" s="52"/>
      <c r="N74" s="52"/>
      <c r="O74" s="52"/>
      <c r="P74" s="52"/>
      <c r="Q74" s="60" t="s">
        <v>891</v>
      </c>
    </row>
    <row r="75" spans="1:17" s="60" customFormat="1" ht="36">
      <c r="A75" s="52"/>
      <c r="B75" s="53">
        <v>40301.208333333336</v>
      </c>
      <c r="C75" s="81">
        <v>40301.208333333336</v>
      </c>
      <c r="D75" s="80">
        <v>40301.210416666676</v>
      </c>
      <c r="E75" s="115" t="s">
        <v>1098</v>
      </c>
      <c r="F75" s="52" t="s">
        <v>1103</v>
      </c>
      <c r="G75" s="52"/>
      <c r="H75" s="52"/>
      <c r="I75" s="52"/>
      <c r="J75" s="115" t="s">
        <v>1559</v>
      </c>
      <c r="K75" s="52"/>
      <c r="L75" s="116" t="s">
        <v>1041</v>
      </c>
      <c r="M75" s="52"/>
      <c r="N75" s="52"/>
      <c r="O75" s="52"/>
      <c r="P75" s="52"/>
      <c r="Q75" s="60" t="s">
        <v>891</v>
      </c>
    </row>
    <row r="76" spans="1:17" s="60" customFormat="1" ht="36">
      <c r="A76" s="52"/>
      <c r="B76" s="53">
        <v>40301.208333333336</v>
      </c>
      <c r="C76" s="81">
        <v>40301.208333333336</v>
      </c>
      <c r="D76" s="80">
        <v>40301.211111111123</v>
      </c>
      <c r="E76" s="115" t="s">
        <v>1098</v>
      </c>
      <c r="F76" s="52" t="s">
        <v>1103</v>
      </c>
      <c r="G76" s="52"/>
      <c r="H76" s="52"/>
      <c r="I76" s="52"/>
      <c r="J76" s="115" t="s">
        <v>1559</v>
      </c>
      <c r="K76" s="52"/>
      <c r="L76" s="116" t="s">
        <v>1042</v>
      </c>
      <c r="M76" s="52"/>
      <c r="N76" s="52"/>
      <c r="O76" s="52"/>
      <c r="P76" s="52"/>
      <c r="Q76" s="60" t="s">
        <v>891</v>
      </c>
    </row>
    <row r="77" spans="1:17" s="60" customFormat="1" ht="36">
      <c r="A77" s="52"/>
      <c r="B77" s="53">
        <v>40301.208333333336</v>
      </c>
      <c r="C77" s="81">
        <v>40301.208333333336</v>
      </c>
      <c r="D77" s="80">
        <v>40301.211805555569</v>
      </c>
      <c r="E77" s="115" t="s">
        <v>1098</v>
      </c>
      <c r="F77" s="52" t="s">
        <v>1103</v>
      </c>
      <c r="G77" s="52"/>
      <c r="H77" s="52"/>
      <c r="I77" s="52"/>
      <c r="J77" s="115" t="s">
        <v>1559</v>
      </c>
      <c r="K77" s="52"/>
      <c r="L77" s="116" t="s">
        <v>1043</v>
      </c>
      <c r="M77" s="52"/>
      <c r="N77" s="52"/>
      <c r="O77" s="52"/>
      <c r="P77" s="52"/>
      <c r="Q77" s="60" t="s">
        <v>891</v>
      </c>
    </row>
    <row r="78" spans="1:17" s="60" customFormat="1" ht="36">
      <c r="A78" s="52"/>
      <c r="B78" s="53">
        <v>40301.208333333336</v>
      </c>
      <c r="C78" s="81">
        <v>40301.208333333336</v>
      </c>
      <c r="D78" s="80">
        <v>40301.212500000016</v>
      </c>
      <c r="E78" s="115" t="s">
        <v>1098</v>
      </c>
      <c r="F78" s="52" t="s">
        <v>1103</v>
      </c>
      <c r="G78" s="52"/>
      <c r="H78" s="52"/>
      <c r="I78" s="52"/>
      <c r="J78" s="115" t="s">
        <v>1559</v>
      </c>
      <c r="K78" s="52"/>
      <c r="L78" s="116" t="s">
        <v>1044</v>
      </c>
      <c r="M78" s="52"/>
      <c r="N78" s="52"/>
      <c r="O78" s="52"/>
      <c r="P78" s="52"/>
      <c r="Q78" s="60" t="s">
        <v>891</v>
      </c>
    </row>
    <row r="79" spans="1:17" s="60" customFormat="1" ht="36">
      <c r="A79" s="52"/>
      <c r="B79" s="53">
        <v>40301.208333333336</v>
      </c>
      <c r="C79" s="81">
        <v>40301.208333333336</v>
      </c>
      <c r="D79" s="80">
        <v>40301.213194444463</v>
      </c>
      <c r="E79" s="115" t="s">
        <v>1098</v>
      </c>
      <c r="F79" s="52" t="s">
        <v>1103</v>
      </c>
      <c r="G79" s="52"/>
      <c r="H79" s="52"/>
      <c r="I79" s="52"/>
      <c r="J79" s="115" t="s">
        <v>1559</v>
      </c>
      <c r="K79" s="52"/>
      <c r="L79" s="116" t="s">
        <v>1045</v>
      </c>
      <c r="M79" s="52"/>
      <c r="N79" s="52"/>
      <c r="O79" s="52"/>
      <c r="P79" s="52"/>
      <c r="Q79" s="60" t="s">
        <v>891</v>
      </c>
    </row>
    <row r="80" spans="1:17" s="60" customFormat="1" ht="36">
      <c r="A80" s="52"/>
      <c r="B80" s="53">
        <v>40301.208333333336</v>
      </c>
      <c r="C80" s="81">
        <v>40301.208333333336</v>
      </c>
      <c r="D80" s="80">
        <v>40301.213888888909</v>
      </c>
      <c r="E80" s="115" t="s">
        <v>1489</v>
      </c>
      <c r="F80" s="52" t="s">
        <v>1103</v>
      </c>
      <c r="G80" s="52"/>
      <c r="H80" s="52"/>
      <c r="I80" s="52"/>
      <c r="J80" s="115" t="s">
        <v>1559</v>
      </c>
      <c r="K80" s="52"/>
      <c r="L80" s="116" t="s">
        <v>1046</v>
      </c>
      <c r="M80" s="52"/>
      <c r="N80" s="52"/>
      <c r="O80" s="52"/>
      <c r="P80" s="52"/>
      <c r="Q80" s="60" t="s">
        <v>891</v>
      </c>
    </row>
    <row r="81" spans="1:17" s="60" customFormat="1" ht="36">
      <c r="A81" s="52"/>
      <c r="B81" s="53">
        <v>40301.208333333336</v>
      </c>
      <c r="C81" s="81">
        <v>40301.208333333336</v>
      </c>
      <c r="D81" s="80">
        <v>40301.214583333356</v>
      </c>
      <c r="E81" s="115" t="s">
        <v>1098</v>
      </c>
      <c r="F81" s="52" t="s">
        <v>1103</v>
      </c>
      <c r="G81" s="52"/>
      <c r="H81" s="52"/>
      <c r="I81" s="52"/>
      <c r="J81" s="115" t="s">
        <v>1559</v>
      </c>
      <c r="K81" s="52"/>
      <c r="L81" s="116" t="s">
        <v>1047</v>
      </c>
      <c r="M81" s="52"/>
      <c r="N81" s="52"/>
      <c r="O81" s="52"/>
      <c r="P81" s="52"/>
      <c r="Q81" s="60" t="s">
        <v>891</v>
      </c>
    </row>
    <row r="82" spans="1:17" s="60" customFormat="1" ht="36">
      <c r="A82" s="52"/>
      <c r="B82" s="53">
        <v>40301.208333333336</v>
      </c>
      <c r="C82" s="81">
        <v>40301.208333333336</v>
      </c>
      <c r="D82" s="80">
        <v>40301.215277777803</v>
      </c>
      <c r="E82" s="115" t="s">
        <v>1098</v>
      </c>
      <c r="F82" s="52" t="s">
        <v>1103</v>
      </c>
      <c r="G82" s="52"/>
      <c r="H82" s="52"/>
      <c r="I82" s="52"/>
      <c r="J82" s="115" t="s">
        <v>1559</v>
      </c>
      <c r="K82" s="52"/>
      <c r="L82" s="116" t="s">
        <v>1048</v>
      </c>
      <c r="M82" s="52"/>
      <c r="N82" s="52"/>
      <c r="O82" s="52"/>
      <c r="P82" s="52"/>
      <c r="Q82" s="60" t="s">
        <v>891</v>
      </c>
    </row>
    <row r="83" spans="1:17" s="60" customFormat="1" ht="36">
      <c r="A83" s="52"/>
      <c r="B83" s="53">
        <v>40301.208333333336</v>
      </c>
      <c r="C83" s="81">
        <v>40301.208333333336</v>
      </c>
      <c r="D83" s="80">
        <v>40301.21597222225</v>
      </c>
      <c r="E83" s="115" t="s">
        <v>1098</v>
      </c>
      <c r="F83" s="52" t="s">
        <v>1103</v>
      </c>
      <c r="G83" s="52"/>
      <c r="H83" s="52"/>
      <c r="I83" s="52"/>
      <c r="J83" s="115" t="s">
        <v>1559</v>
      </c>
      <c r="K83" s="52"/>
      <c r="L83" s="116" t="s">
        <v>1049</v>
      </c>
      <c r="M83" s="52"/>
      <c r="N83" s="52"/>
      <c r="O83" s="52"/>
      <c r="P83" s="52"/>
      <c r="Q83" s="60" t="s">
        <v>891</v>
      </c>
    </row>
    <row r="84" spans="1:17" s="60" customFormat="1" ht="36">
      <c r="A84" s="52"/>
      <c r="B84" s="53">
        <v>40301.208333333336</v>
      </c>
      <c r="C84" s="81">
        <v>40301.208333333336</v>
      </c>
      <c r="D84" s="80">
        <v>40301.216666666696</v>
      </c>
      <c r="E84" s="115" t="s">
        <v>1098</v>
      </c>
      <c r="F84" s="52" t="s">
        <v>1103</v>
      </c>
      <c r="G84" s="52"/>
      <c r="H84" s="52"/>
      <c r="I84" s="52"/>
      <c r="J84" s="115" t="s">
        <v>1559</v>
      </c>
      <c r="K84" s="52"/>
      <c r="L84" s="116" t="s">
        <v>1050</v>
      </c>
      <c r="M84" s="52"/>
      <c r="N84" s="52"/>
      <c r="O84" s="52"/>
      <c r="P84" s="52"/>
      <c r="Q84" s="60" t="s">
        <v>891</v>
      </c>
    </row>
    <row r="85" spans="1:17" s="60" customFormat="1" ht="36">
      <c r="A85" s="52"/>
      <c r="B85" s="53">
        <v>40301.208333333336</v>
      </c>
      <c r="C85" s="81">
        <v>40301.208333333336</v>
      </c>
      <c r="D85" s="80">
        <v>40301.217361111143</v>
      </c>
      <c r="E85" s="115" t="s">
        <v>1098</v>
      </c>
      <c r="F85" s="52" t="s">
        <v>1103</v>
      </c>
      <c r="G85" s="52"/>
      <c r="H85" s="52"/>
      <c r="I85" s="52"/>
      <c r="J85" s="115" t="s">
        <v>1559</v>
      </c>
      <c r="K85" s="52"/>
      <c r="L85" s="116" t="s">
        <v>1051</v>
      </c>
      <c r="M85" s="52"/>
      <c r="N85" s="52"/>
      <c r="O85" s="52"/>
      <c r="P85" s="52"/>
      <c r="Q85" s="60" t="s">
        <v>891</v>
      </c>
    </row>
    <row r="86" spans="1:17" s="60" customFormat="1" ht="36">
      <c r="A86" s="52"/>
      <c r="B86" s="53">
        <v>40301.208333333336</v>
      </c>
      <c r="C86" s="81">
        <v>40301.208333333336</v>
      </c>
      <c r="D86" s="80">
        <v>40301.21805555559</v>
      </c>
      <c r="E86" s="115" t="s">
        <v>1098</v>
      </c>
      <c r="F86" s="52" t="s">
        <v>1103</v>
      </c>
      <c r="G86" s="52"/>
      <c r="H86" s="52"/>
      <c r="I86" s="52"/>
      <c r="J86" s="115" t="s">
        <v>1559</v>
      </c>
      <c r="K86" s="52"/>
      <c r="L86" s="116" t="s">
        <v>1052</v>
      </c>
      <c r="M86" s="52"/>
      <c r="N86" s="52"/>
      <c r="O86" s="52"/>
      <c r="P86" s="52"/>
      <c r="Q86" s="60" t="s">
        <v>891</v>
      </c>
    </row>
    <row r="87" spans="1:17" s="60" customFormat="1" ht="36">
      <c r="A87" s="52"/>
      <c r="B87" s="53">
        <v>40301.208333333336</v>
      </c>
      <c r="C87" s="81">
        <v>40301.208333333336</v>
      </c>
      <c r="D87" s="80">
        <v>40301.218750000036</v>
      </c>
      <c r="E87" s="115" t="s">
        <v>1098</v>
      </c>
      <c r="F87" s="52" t="s">
        <v>1103</v>
      </c>
      <c r="G87" s="52"/>
      <c r="H87" s="52"/>
      <c r="I87" s="52"/>
      <c r="J87" s="115" t="s">
        <v>1559</v>
      </c>
      <c r="K87" s="52"/>
      <c r="L87" s="116" t="s">
        <v>1053</v>
      </c>
      <c r="M87" s="52"/>
      <c r="N87" s="52"/>
      <c r="O87" s="52"/>
      <c r="P87" s="52"/>
      <c r="Q87" s="60" t="s">
        <v>891</v>
      </c>
    </row>
    <row r="88" spans="1:17" s="60" customFormat="1" ht="36">
      <c r="A88" s="52"/>
      <c r="B88" s="53">
        <v>40301.208333333336</v>
      </c>
      <c r="C88" s="81">
        <v>40301.208333333336</v>
      </c>
      <c r="D88" s="80">
        <v>40301.219444444483</v>
      </c>
      <c r="E88" s="115" t="s">
        <v>1098</v>
      </c>
      <c r="F88" s="52" t="s">
        <v>1103</v>
      </c>
      <c r="G88" s="52"/>
      <c r="H88" s="52"/>
      <c r="I88" s="52"/>
      <c r="J88" s="115" t="s">
        <v>1559</v>
      </c>
      <c r="K88" s="52"/>
      <c r="L88" s="116" t="s">
        <v>1054</v>
      </c>
      <c r="M88" s="52"/>
      <c r="N88" s="52"/>
      <c r="O88" s="52"/>
      <c r="P88" s="52"/>
      <c r="Q88" s="60" t="s">
        <v>891</v>
      </c>
    </row>
    <row r="89" spans="1:17" s="60" customFormat="1" ht="48">
      <c r="A89" s="52"/>
      <c r="B89" s="53">
        <v>40301.208333333336</v>
      </c>
      <c r="C89" s="81">
        <v>40301.208333333336</v>
      </c>
      <c r="D89" s="80">
        <v>40301.22013888893</v>
      </c>
      <c r="E89" s="115" t="s">
        <v>1098</v>
      </c>
      <c r="F89" s="52" t="s">
        <v>1103</v>
      </c>
      <c r="G89" s="52"/>
      <c r="H89" s="52"/>
      <c r="I89" s="52"/>
      <c r="J89" s="115" t="s">
        <v>1559</v>
      </c>
      <c r="K89" s="52"/>
      <c r="L89" s="116" t="s">
        <v>1055</v>
      </c>
      <c r="M89" s="52"/>
      <c r="N89" s="52"/>
      <c r="O89" s="52"/>
      <c r="P89" s="52"/>
      <c r="Q89" s="60" t="s">
        <v>891</v>
      </c>
    </row>
    <row r="90" spans="1:17" s="60" customFormat="1" ht="36">
      <c r="A90" s="52"/>
      <c r="B90" s="53">
        <v>40301.208333333336</v>
      </c>
      <c r="C90" s="81">
        <v>40301.208333333336</v>
      </c>
      <c r="D90" s="80">
        <v>40301.220833333377</v>
      </c>
      <c r="E90" s="115" t="s">
        <v>1098</v>
      </c>
      <c r="F90" s="52" t="s">
        <v>1103</v>
      </c>
      <c r="G90" s="52"/>
      <c r="H90" s="52"/>
      <c r="I90" s="52"/>
      <c r="J90" s="115" t="s">
        <v>1559</v>
      </c>
      <c r="K90" s="52"/>
      <c r="L90" s="116" t="s">
        <v>1056</v>
      </c>
      <c r="M90" s="52"/>
      <c r="N90" s="52"/>
      <c r="O90" s="52"/>
      <c r="P90" s="52"/>
      <c r="Q90" s="60" t="s">
        <v>891</v>
      </c>
    </row>
    <row r="91" spans="1:17" s="60" customFormat="1" ht="36">
      <c r="A91" s="52"/>
      <c r="B91" s="53">
        <v>40301.208333333336</v>
      </c>
      <c r="C91" s="81">
        <v>40301.208333333336</v>
      </c>
      <c r="D91" s="80">
        <v>40301.221527777823</v>
      </c>
      <c r="E91" s="115" t="s">
        <v>1098</v>
      </c>
      <c r="F91" s="52" t="s">
        <v>1103</v>
      </c>
      <c r="G91" s="52"/>
      <c r="H91" s="52"/>
      <c r="I91" s="52"/>
      <c r="J91" s="115" t="s">
        <v>1559</v>
      </c>
      <c r="K91" s="52"/>
      <c r="L91" s="116" t="s">
        <v>1057</v>
      </c>
      <c r="M91" s="52"/>
      <c r="N91" s="52"/>
      <c r="O91" s="52"/>
      <c r="P91" s="52"/>
      <c r="Q91" s="60" t="s">
        <v>891</v>
      </c>
    </row>
    <row r="92" spans="1:17" s="60" customFormat="1" ht="36">
      <c r="A92" s="52"/>
      <c r="B92" s="53">
        <v>40301.208333333336</v>
      </c>
      <c r="C92" s="81">
        <v>40301.208333333336</v>
      </c>
      <c r="D92" s="80">
        <v>40301.22222222227</v>
      </c>
      <c r="E92" s="115" t="s">
        <v>1098</v>
      </c>
      <c r="F92" s="52" t="s">
        <v>1103</v>
      </c>
      <c r="G92" s="52"/>
      <c r="H92" s="52"/>
      <c r="I92" s="52"/>
      <c r="J92" s="115" t="s">
        <v>1559</v>
      </c>
      <c r="K92" s="52"/>
      <c r="L92" s="116" t="s">
        <v>1058</v>
      </c>
      <c r="M92" s="52"/>
      <c r="N92" s="52"/>
      <c r="O92" s="52"/>
      <c r="P92" s="52"/>
      <c r="Q92" s="60" t="s">
        <v>891</v>
      </c>
    </row>
    <row r="93" spans="1:17" s="60" customFormat="1" ht="96">
      <c r="A93" s="52"/>
      <c r="B93" s="53">
        <v>40301.208333333336</v>
      </c>
      <c r="C93" s="81">
        <v>40301.208333333336</v>
      </c>
      <c r="D93" s="80">
        <v>40301.222916666717</v>
      </c>
      <c r="E93" s="115" t="s">
        <v>1098</v>
      </c>
      <c r="F93" s="52" t="s">
        <v>1103</v>
      </c>
      <c r="G93" s="52"/>
      <c r="H93" s="52"/>
      <c r="I93" s="52"/>
      <c r="J93" s="115" t="s">
        <v>1559</v>
      </c>
      <c r="K93" s="52"/>
      <c r="L93" s="116" t="s">
        <v>1059</v>
      </c>
      <c r="M93" s="52"/>
      <c r="N93" s="52"/>
      <c r="O93" s="52"/>
      <c r="P93" s="52"/>
      <c r="Q93" s="60" t="s">
        <v>891</v>
      </c>
    </row>
    <row r="94" spans="1:17" s="60" customFormat="1" ht="36">
      <c r="A94" s="52"/>
      <c r="B94" s="53">
        <v>40301.208333333336</v>
      </c>
      <c r="C94" s="81">
        <v>40301.208333333336</v>
      </c>
      <c r="D94" s="80">
        <v>40301.223611111163</v>
      </c>
      <c r="E94" s="115" t="s">
        <v>1098</v>
      </c>
      <c r="F94" s="52" t="s">
        <v>1103</v>
      </c>
      <c r="G94" s="52"/>
      <c r="H94" s="52"/>
      <c r="I94" s="52"/>
      <c r="J94" s="115" t="s">
        <v>1559</v>
      </c>
      <c r="K94" s="52"/>
      <c r="L94" s="116" t="s">
        <v>1060</v>
      </c>
      <c r="M94" s="52"/>
      <c r="N94" s="52"/>
      <c r="O94" s="52"/>
      <c r="P94" s="52"/>
      <c r="Q94" s="60" t="s">
        <v>891</v>
      </c>
    </row>
    <row r="95" spans="1:17" s="60" customFormat="1" ht="36">
      <c r="A95" s="52"/>
      <c r="B95" s="53">
        <v>40301.208333333336</v>
      </c>
      <c r="C95" s="81">
        <v>40301.208333333336</v>
      </c>
      <c r="D95" s="80">
        <v>40301.22430555561</v>
      </c>
      <c r="E95" s="115" t="s">
        <v>1098</v>
      </c>
      <c r="F95" s="52" t="s">
        <v>1103</v>
      </c>
      <c r="G95" s="52"/>
      <c r="H95" s="52"/>
      <c r="I95" s="52"/>
      <c r="J95" s="115" t="s">
        <v>1559</v>
      </c>
      <c r="K95" s="52"/>
      <c r="L95" s="116" t="s">
        <v>1061</v>
      </c>
      <c r="M95" s="52"/>
      <c r="N95" s="52"/>
      <c r="O95" s="52"/>
      <c r="P95" s="52"/>
      <c r="Q95" s="60" t="s">
        <v>891</v>
      </c>
    </row>
    <row r="96" spans="1:17" s="60" customFormat="1" ht="36">
      <c r="A96" s="52"/>
      <c r="B96" s="53">
        <v>40301.208333333336</v>
      </c>
      <c r="C96" s="81">
        <v>40301.208333333336</v>
      </c>
      <c r="D96" s="80">
        <v>40301.225000000057</v>
      </c>
      <c r="E96" s="115" t="s">
        <v>1098</v>
      </c>
      <c r="F96" s="52" t="s">
        <v>1103</v>
      </c>
      <c r="G96" s="52"/>
      <c r="H96" s="52"/>
      <c r="I96" s="52"/>
      <c r="J96" s="115" t="s">
        <v>1559</v>
      </c>
      <c r="K96" s="52"/>
      <c r="L96" s="116" t="s">
        <v>1062</v>
      </c>
      <c r="M96" s="52"/>
      <c r="N96" s="52"/>
      <c r="O96" s="52"/>
      <c r="P96" s="52"/>
      <c r="Q96" s="60" t="s">
        <v>891</v>
      </c>
    </row>
    <row r="97" spans="1:17" s="60" customFormat="1" ht="24">
      <c r="A97" s="52"/>
      <c r="B97" s="53"/>
      <c r="C97" s="54"/>
      <c r="D97" s="80">
        <v>40301.291666666664</v>
      </c>
      <c r="E97" s="52" t="s">
        <v>1576</v>
      </c>
      <c r="F97" s="52" t="s">
        <v>1188</v>
      </c>
      <c r="G97" s="52" t="s">
        <v>1160</v>
      </c>
      <c r="H97" s="52"/>
      <c r="I97" s="52" t="s">
        <v>668</v>
      </c>
      <c r="J97" s="52"/>
      <c r="K97" s="52"/>
      <c r="L97" s="95" t="s">
        <v>1153</v>
      </c>
      <c r="M97" s="52"/>
      <c r="N97" s="52"/>
      <c r="O97" s="52" t="s">
        <v>1153</v>
      </c>
      <c r="P97" s="52"/>
      <c r="Q97" s="60" t="s">
        <v>427</v>
      </c>
    </row>
    <row r="98" spans="1:17" s="60" customFormat="1">
      <c r="A98" s="52"/>
      <c r="B98" s="53">
        <v>40301</v>
      </c>
      <c r="C98" s="54">
        <v>40301.291666666664</v>
      </c>
      <c r="D98" s="61">
        <v>40301.292361111111</v>
      </c>
      <c r="E98" s="65" t="s">
        <v>1101</v>
      </c>
      <c r="F98" s="52" t="s">
        <v>1188</v>
      </c>
      <c r="G98" s="62" t="s">
        <v>585</v>
      </c>
      <c r="H98" s="52"/>
      <c r="I98" s="62" t="s">
        <v>668</v>
      </c>
      <c r="J98" s="52"/>
      <c r="K98" s="62"/>
      <c r="L98" s="96" t="s">
        <v>1100</v>
      </c>
      <c r="M98" s="62"/>
      <c r="N98" s="52"/>
      <c r="O98" s="65" t="s">
        <v>1100</v>
      </c>
      <c r="P98" s="52"/>
      <c r="Q98" s="60" t="s">
        <v>427</v>
      </c>
    </row>
    <row r="99" spans="1:17" s="60" customFormat="1" ht="24">
      <c r="A99" s="52"/>
      <c r="B99" s="53"/>
      <c r="C99" s="54"/>
      <c r="D99" s="61">
        <v>40301.311805555553</v>
      </c>
      <c r="E99" s="52" t="s">
        <v>1576</v>
      </c>
      <c r="F99" s="52" t="s">
        <v>1188</v>
      </c>
      <c r="G99" s="52" t="s">
        <v>1160</v>
      </c>
      <c r="H99" s="52"/>
      <c r="I99" s="52" t="s">
        <v>668</v>
      </c>
      <c r="J99" s="52"/>
      <c r="K99" s="52"/>
      <c r="L99" s="95" t="s">
        <v>791</v>
      </c>
      <c r="M99" s="52"/>
      <c r="N99" s="52"/>
      <c r="O99" s="52" t="s">
        <v>791</v>
      </c>
      <c r="P99" s="52"/>
      <c r="Q99" s="60" t="s">
        <v>427</v>
      </c>
    </row>
    <row r="100" spans="1:17" s="60" customFormat="1">
      <c r="A100" s="52"/>
      <c r="B100" s="53"/>
      <c r="C100" s="54"/>
      <c r="D100" s="61">
        <v>40301.3125</v>
      </c>
      <c r="E100" s="52" t="s">
        <v>1576</v>
      </c>
      <c r="F100" s="52" t="s">
        <v>1188</v>
      </c>
      <c r="G100" s="52" t="s">
        <v>1160</v>
      </c>
      <c r="H100" s="52"/>
      <c r="I100" s="52" t="s">
        <v>668</v>
      </c>
      <c r="J100" s="52"/>
      <c r="K100" s="52"/>
      <c r="L100" s="95" t="s">
        <v>1150</v>
      </c>
      <c r="M100" s="52"/>
      <c r="N100" s="52"/>
      <c r="O100" s="52" t="s">
        <v>1150</v>
      </c>
      <c r="P100" s="52"/>
      <c r="Q100" s="60" t="s">
        <v>427</v>
      </c>
    </row>
    <row r="101" spans="1:17" s="60" customFormat="1" ht="48">
      <c r="A101" s="52"/>
      <c r="B101" s="53">
        <v>40301.3125</v>
      </c>
      <c r="C101" s="54">
        <v>40301.3125</v>
      </c>
      <c r="D101" s="61">
        <v>40301.313194444447</v>
      </c>
      <c r="E101" s="52" t="s">
        <v>1530</v>
      </c>
      <c r="F101" s="52" t="s">
        <v>793</v>
      </c>
      <c r="G101" s="62" t="s">
        <v>794</v>
      </c>
      <c r="H101" s="52" t="s">
        <v>795</v>
      </c>
      <c r="I101" s="62" t="s">
        <v>796</v>
      </c>
      <c r="J101" s="52" t="s">
        <v>797</v>
      </c>
      <c r="K101" s="62"/>
      <c r="L101" s="95" t="s">
        <v>892</v>
      </c>
      <c r="M101" s="62"/>
      <c r="N101" s="52"/>
      <c r="O101" s="52" t="s">
        <v>1446</v>
      </c>
      <c r="P101" s="52"/>
      <c r="Q101" s="60" t="s">
        <v>891</v>
      </c>
    </row>
    <row r="102" spans="1:17" s="60" customFormat="1">
      <c r="A102" s="52"/>
      <c r="B102" s="53"/>
      <c r="C102" s="54"/>
      <c r="D102" s="61">
        <v>40301.313888888886</v>
      </c>
      <c r="E102" s="52" t="s">
        <v>1161</v>
      </c>
      <c r="F102" s="52" t="s">
        <v>1188</v>
      </c>
      <c r="G102" s="52" t="s">
        <v>1164</v>
      </c>
      <c r="H102" s="52"/>
      <c r="I102" s="52" t="s">
        <v>668</v>
      </c>
      <c r="J102" s="52"/>
      <c r="K102" s="52">
        <v>5</v>
      </c>
      <c r="L102" s="95" t="s">
        <v>1147</v>
      </c>
      <c r="M102" s="52"/>
      <c r="N102" s="52"/>
      <c r="O102" s="52" t="s">
        <v>1147</v>
      </c>
      <c r="P102" s="52"/>
      <c r="Q102" s="60" t="s">
        <v>427</v>
      </c>
    </row>
    <row r="103" spans="1:17" s="60" customFormat="1" ht="48">
      <c r="A103" s="52"/>
      <c r="B103" s="53"/>
      <c r="C103" s="54"/>
      <c r="D103" s="61">
        <v>40301.322916666664</v>
      </c>
      <c r="E103" s="52" t="s">
        <v>1576</v>
      </c>
      <c r="F103" s="52" t="s">
        <v>1188</v>
      </c>
      <c r="G103" s="52" t="s">
        <v>1160</v>
      </c>
      <c r="H103" s="52"/>
      <c r="I103" s="52" t="s">
        <v>668</v>
      </c>
      <c r="J103" s="52"/>
      <c r="K103" s="52"/>
      <c r="L103" s="95" t="s">
        <v>1151</v>
      </c>
      <c r="M103" s="52"/>
      <c r="N103" s="52"/>
      <c r="O103" s="52" t="s">
        <v>1151</v>
      </c>
      <c r="P103" s="52"/>
      <c r="Q103" s="60" t="s">
        <v>427</v>
      </c>
    </row>
    <row r="104" spans="1:17" s="60" customFormat="1" ht="48">
      <c r="A104" s="52"/>
      <c r="B104" s="53"/>
      <c r="C104" s="54"/>
      <c r="D104" s="61">
        <v>40301.333333333336</v>
      </c>
      <c r="E104" s="65" t="s">
        <v>1186</v>
      </c>
      <c r="F104" s="52" t="s">
        <v>394</v>
      </c>
      <c r="G104" s="62" t="s">
        <v>593</v>
      </c>
      <c r="H104" s="52"/>
      <c r="I104" s="62" t="s">
        <v>1185</v>
      </c>
      <c r="J104" s="52"/>
      <c r="K104" s="62"/>
      <c r="L104" s="95" t="s">
        <v>1531</v>
      </c>
      <c r="M104" s="62"/>
      <c r="N104" s="52"/>
      <c r="O104" s="65" t="s">
        <v>1447</v>
      </c>
      <c r="P104" s="52"/>
      <c r="Q104" s="60" t="s">
        <v>427</v>
      </c>
    </row>
    <row r="105" spans="1:17" s="60" customFormat="1" ht="24">
      <c r="A105" s="52"/>
      <c r="B105" s="53">
        <v>40301</v>
      </c>
      <c r="C105" s="63">
        <v>0.33333333333333331</v>
      </c>
      <c r="D105" s="55">
        <v>40301.334027777775</v>
      </c>
      <c r="E105" s="52" t="s">
        <v>591</v>
      </c>
      <c r="F105" s="64" t="s">
        <v>425</v>
      </c>
      <c r="G105" s="64" t="s">
        <v>592</v>
      </c>
      <c r="H105" s="52" t="s">
        <v>593</v>
      </c>
      <c r="I105" s="52" t="s">
        <v>594</v>
      </c>
      <c r="J105" s="52"/>
      <c r="K105" s="52"/>
      <c r="L105" s="95" t="s">
        <v>595</v>
      </c>
      <c r="M105" s="52" t="s">
        <v>601</v>
      </c>
      <c r="N105" s="52"/>
      <c r="O105" s="52" t="s">
        <v>596</v>
      </c>
      <c r="P105" s="52"/>
      <c r="Q105" s="60" t="s">
        <v>597</v>
      </c>
    </row>
    <row r="106" spans="1:17" s="60" customFormat="1">
      <c r="A106" s="52"/>
      <c r="B106" s="53">
        <v>40301</v>
      </c>
      <c r="C106" s="63">
        <v>0.33333333333333331</v>
      </c>
      <c r="D106" s="55">
        <v>40301.334722222222</v>
      </c>
      <c r="E106" s="52" t="s">
        <v>1532</v>
      </c>
      <c r="F106" s="64" t="s">
        <v>425</v>
      </c>
      <c r="G106" s="64" t="s">
        <v>592</v>
      </c>
      <c r="H106" s="52" t="s">
        <v>593</v>
      </c>
      <c r="I106" s="52" t="s">
        <v>594</v>
      </c>
      <c r="J106" s="52" t="s">
        <v>598</v>
      </c>
      <c r="K106" s="52"/>
      <c r="L106" s="95" t="s">
        <v>599</v>
      </c>
      <c r="M106" s="52" t="s">
        <v>600</v>
      </c>
      <c r="N106" s="52"/>
      <c r="O106" s="52" t="s">
        <v>602</v>
      </c>
      <c r="P106" s="52"/>
      <c r="Q106" s="60" t="s">
        <v>597</v>
      </c>
    </row>
    <row r="107" spans="1:17" s="60" customFormat="1" ht="24">
      <c r="A107" s="52"/>
      <c r="B107" s="53">
        <v>40301</v>
      </c>
      <c r="C107" s="63">
        <v>0.33333333333333331</v>
      </c>
      <c r="D107" s="55">
        <v>40301.335416666669</v>
      </c>
      <c r="E107" s="52" t="s">
        <v>1533</v>
      </c>
      <c r="F107" s="64" t="s">
        <v>425</v>
      </c>
      <c r="G107" s="64" t="s">
        <v>592</v>
      </c>
      <c r="H107" s="52" t="s">
        <v>593</v>
      </c>
      <c r="I107" s="52" t="s">
        <v>594</v>
      </c>
      <c r="J107" s="52" t="s">
        <v>603</v>
      </c>
      <c r="K107" s="52"/>
      <c r="L107" s="95" t="s">
        <v>604</v>
      </c>
      <c r="M107" s="52" t="s">
        <v>600</v>
      </c>
      <c r="N107" s="52"/>
      <c r="O107" s="52" t="s">
        <v>605</v>
      </c>
      <c r="P107" s="52"/>
      <c r="Q107" s="60" t="s">
        <v>597</v>
      </c>
    </row>
    <row r="108" spans="1:17" s="60" customFormat="1" ht="36">
      <c r="A108" s="52"/>
      <c r="B108" s="53">
        <v>40301</v>
      </c>
      <c r="C108" s="63">
        <v>0.35416666666666669</v>
      </c>
      <c r="D108" s="55">
        <v>40301.354166666664</v>
      </c>
      <c r="E108" s="52" t="s">
        <v>1098</v>
      </c>
      <c r="F108" s="64" t="s">
        <v>394</v>
      </c>
      <c r="G108" s="64" t="s">
        <v>606</v>
      </c>
      <c r="H108" s="52" t="s">
        <v>607</v>
      </c>
      <c r="I108" s="52" t="s">
        <v>608</v>
      </c>
      <c r="J108" s="52" t="s">
        <v>612</v>
      </c>
      <c r="K108" s="52"/>
      <c r="L108" s="95" t="s">
        <v>609</v>
      </c>
      <c r="M108" s="52" t="s">
        <v>610</v>
      </c>
      <c r="N108" s="52"/>
      <c r="O108" s="52" t="s">
        <v>611</v>
      </c>
      <c r="P108" s="52"/>
      <c r="Q108" s="60" t="s">
        <v>597</v>
      </c>
    </row>
    <row r="109" spans="1:17" s="60" customFormat="1">
      <c r="A109" s="52"/>
      <c r="B109" s="53"/>
      <c r="C109" s="54"/>
      <c r="D109" s="80">
        <v>40301.375694444447</v>
      </c>
      <c r="E109" s="52" t="s">
        <v>1098</v>
      </c>
      <c r="F109" s="52" t="s">
        <v>425</v>
      </c>
      <c r="G109" s="62" t="s">
        <v>652</v>
      </c>
      <c r="H109" s="52" t="s">
        <v>649</v>
      </c>
      <c r="I109" s="62" t="s">
        <v>668</v>
      </c>
      <c r="J109" s="52" t="s">
        <v>1534</v>
      </c>
      <c r="K109" s="62"/>
      <c r="L109" s="95"/>
      <c r="M109" s="62"/>
      <c r="N109" s="52"/>
      <c r="O109" s="52"/>
      <c r="P109" s="52"/>
      <c r="Q109" s="60" t="s">
        <v>657</v>
      </c>
    </row>
    <row r="110" spans="1:17" s="60" customFormat="1" ht="24">
      <c r="A110" s="52"/>
      <c r="B110" s="53">
        <v>40301</v>
      </c>
      <c r="C110" s="63">
        <v>0.375</v>
      </c>
      <c r="D110" s="55">
        <v>40301.376388888893</v>
      </c>
      <c r="E110" s="52" t="s">
        <v>1098</v>
      </c>
      <c r="F110" s="64" t="s">
        <v>394</v>
      </c>
      <c r="G110" s="64" t="s">
        <v>582</v>
      </c>
      <c r="H110" s="52" t="s">
        <v>583</v>
      </c>
      <c r="I110" s="52" t="s">
        <v>594</v>
      </c>
      <c r="J110" s="52" t="s">
        <v>581</v>
      </c>
      <c r="K110" s="52"/>
      <c r="L110" s="95" t="s">
        <v>1535</v>
      </c>
      <c r="M110" s="52" t="s">
        <v>584</v>
      </c>
      <c r="N110" s="52"/>
      <c r="O110" s="52" t="s">
        <v>1492</v>
      </c>
      <c r="P110" s="52"/>
      <c r="Q110" s="60" t="s">
        <v>597</v>
      </c>
    </row>
    <row r="111" spans="1:17" s="60" customFormat="1">
      <c r="A111" s="52"/>
      <c r="B111" s="53"/>
      <c r="C111" s="54"/>
      <c r="D111" s="80">
        <v>40301.37708333334</v>
      </c>
      <c r="E111" s="52" t="s">
        <v>1098</v>
      </c>
      <c r="F111" s="52" t="s">
        <v>425</v>
      </c>
      <c r="G111" s="62" t="s">
        <v>649</v>
      </c>
      <c r="H111" s="52" t="s">
        <v>649</v>
      </c>
      <c r="I111" s="62" t="s">
        <v>668</v>
      </c>
      <c r="J111" s="52" t="s">
        <v>650</v>
      </c>
      <c r="K111" s="62"/>
      <c r="L111" s="95"/>
      <c r="M111" s="62"/>
      <c r="N111" s="52"/>
      <c r="O111" s="52"/>
      <c r="P111" s="52"/>
      <c r="Q111" s="60" t="s">
        <v>657</v>
      </c>
    </row>
    <row r="112" spans="1:17" s="60" customFormat="1">
      <c r="A112" s="52"/>
      <c r="B112" s="53"/>
      <c r="C112" s="54"/>
      <c r="D112" s="80">
        <v>40301.377777777787</v>
      </c>
      <c r="E112" s="52" t="s">
        <v>430</v>
      </c>
      <c r="F112" s="52" t="s">
        <v>652</v>
      </c>
      <c r="G112" s="62" t="s">
        <v>652</v>
      </c>
      <c r="H112" s="52" t="s">
        <v>649</v>
      </c>
      <c r="I112" s="62" t="s">
        <v>668</v>
      </c>
      <c r="J112" s="52" t="s">
        <v>653</v>
      </c>
      <c r="K112" s="62"/>
      <c r="L112" s="52" t="s">
        <v>651</v>
      </c>
      <c r="M112" s="62"/>
      <c r="N112" s="52"/>
      <c r="O112" s="52"/>
      <c r="P112" s="52"/>
      <c r="Q112" s="60" t="s">
        <v>657</v>
      </c>
    </row>
    <row r="113" spans="1:17" s="60" customFormat="1" ht="48">
      <c r="A113" s="52"/>
      <c r="B113" s="53">
        <v>40301</v>
      </c>
      <c r="C113" s="54"/>
      <c r="D113" s="68">
        <v>40301.378472222234</v>
      </c>
      <c r="E113" s="65" t="s">
        <v>1098</v>
      </c>
      <c r="F113" s="52"/>
      <c r="G113" s="62"/>
      <c r="H113" s="52"/>
      <c r="I113" s="62"/>
      <c r="J113" s="52"/>
      <c r="K113" s="62"/>
      <c r="L113" s="65" t="s">
        <v>1491</v>
      </c>
      <c r="M113" s="62"/>
      <c r="N113" s="52"/>
      <c r="O113" s="65" t="s">
        <v>1491</v>
      </c>
      <c r="P113" s="52"/>
      <c r="Q113" s="60" t="s">
        <v>427</v>
      </c>
    </row>
    <row r="114" spans="1:17" s="60" customFormat="1" ht="48">
      <c r="A114" s="52"/>
      <c r="B114" s="53">
        <v>40301</v>
      </c>
      <c r="C114" s="54">
        <v>40301.375</v>
      </c>
      <c r="D114" s="61">
        <v>40301.37916666668</v>
      </c>
      <c r="E114" s="52" t="s">
        <v>1161</v>
      </c>
      <c r="F114" s="52" t="s">
        <v>425</v>
      </c>
      <c r="G114" s="66" t="s">
        <v>1180</v>
      </c>
      <c r="H114" s="65"/>
      <c r="I114" s="65" t="s">
        <v>1178</v>
      </c>
      <c r="J114" s="65"/>
      <c r="K114" s="67"/>
      <c r="L114" s="76" t="s">
        <v>1176</v>
      </c>
      <c r="M114" s="67"/>
      <c r="N114" s="65"/>
      <c r="O114" s="76" t="s">
        <v>1176</v>
      </c>
      <c r="P114" s="67" t="s">
        <v>1179</v>
      </c>
      <c r="Q114" s="60" t="s">
        <v>427</v>
      </c>
    </row>
    <row r="115" spans="1:17" s="60" customFormat="1" ht="48">
      <c r="A115" s="52"/>
      <c r="B115" s="53">
        <v>40301</v>
      </c>
      <c r="C115" s="54">
        <v>40301.375</v>
      </c>
      <c r="D115" s="61">
        <v>40301.379861111127</v>
      </c>
      <c r="E115" s="52" t="s">
        <v>1161</v>
      </c>
      <c r="F115" s="52" t="s">
        <v>425</v>
      </c>
      <c r="G115" s="66" t="s">
        <v>1180</v>
      </c>
      <c r="H115" s="65"/>
      <c r="I115" s="65" t="s">
        <v>1178</v>
      </c>
      <c r="J115" s="65"/>
      <c r="K115" s="67"/>
      <c r="L115" s="76" t="s">
        <v>1177</v>
      </c>
      <c r="M115" s="67"/>
      <c r="N115" s="65"/>
      <c r="O115" s="76" t="s">
        <v>1177</v>
      </c>
      <c r="P115" s="67" t="s">
        <v>1179</v>
      </c>
      <c r="Q115" s="60" t="s">
        <v>427</v>
      </c>
    </row>
    <row r="116" spans="1:17" s="60" customFormat="1" ht="48">
      <c r="A116" s="52"/>
      <c r="B116" s="53">
        <v>40301</v>
      </c>
      <c r="C116" s="81"/>
      <c r="D116" s="68">
        <v>40301.380555555574</v>
      </c>
      <c r="E116" s="60" t="s">
        <v>1489</v>
      </c>
      <c r="F116" s="52"/>
      <c r="H116" s="52"/>
      <c r="I116" s="62"/>
      <c r="J116" s="52"/>
      <c r="K116" s="62"/>
      <c r="L116" s="65" t="s">
        <v>1460</v>
      </c>
      <c r="M116" s="62"/>
      <c r="N116" s="52"/>
      <c r="O116" s="65" t="s">
        <v>1461</v>
      </c>
      <c r="P116" s="52"/>
      <c r="Q116" s="60" t="s">
        <v>427</v>
      </c>
    </row>
    <row r="117" spans="1:17" s="60" customFormat="1" ht="36">
      <c r="A117" s="52"/>
      <c r="B117" s="53">
        <v>40301</v>
      </c>
      <c r="C117" s="54"/>
      <c r="D117" s="68">
        <v>40301.38125000002</v>
      </c>
      <c r="E117" s="52" t="s">
        <v>1098</v>
      </c>
      <c r="F117" s="52"/>
      <c r="G117" s="62"/>
      <c r="H117" s="52"/>
      <c r="I117" s="62"/>
      <c r="J117" s="52"/>
      <c r="K117" s="62"/>
      <c r="L117" s="65" t="s">
        <v>1560</v>
      </c>
      <c r="M117" s="62"/>
      <c r="N117" s="52"/>
      <c r="O117" s="65" t="s">
        <v>1560</v>
      </c>
      <c r="P117" s="52"/>
      <c r="Q117" s="60" t="s">
        <v>427</v>
      </c>
    </row>
    <row r="118" spans="1:17" s="60" customFormat="1" ht="24">
      <c r="A118" s="52"/>
      <c r="B118" s="53">
        <v>40301</v>
      </c>
      <c r="C118" s="54"/>
      <c r="D118" s="68">
        <v>40301.381944444467</v>
      </c>
      <c r="E118" s="52" t="s">
        <v>430</v>
      </c>
      <c r="F118" s="52"/>
      <c r="G118" s="62"/>
      <c r="H118" s="52"/>
      <c r="I118" s="62"/>
      <c r="J118" s="52" t="s">
        <v>1536</v>
      </c>
      <c r="K118" s="62"/>
      <c r="L118" s="65" t="s">
        <v>1561</v>
      </c>
      <c r="M118" s="62"/>
      <c r="N118" s="52"/>
      <c r="O118" s="65" t="s">
        <v>1561</v>
      </c>
      <c r="P118" s="52"/>
      <c r="Q118" s="60" t="s">
        <v>427</v>
      </c>
    </row>
    <row r="119" spans="1:17" s="60" customFormat="1" ht="36">
      <c r="A119" s="52"/>
      <c r="B119" s="53">
        <v>40301</v>
      </c>
      <c r="C119" s="54"/>
      <c r="D119" s="68">
        <v>40301.38333333336</v>
      </c>
      <c r="E119" s="52" t="s">
        <v>430</v>
      </c>
      <c r="F119" s="52"/>
      <c r="G119" s="62"/>
      <c r="H119" s="52"/>
      <c r="I119" s="62"/>
      <c r="J119" s="52" t="s">
        <v>1536</v>
      </c>
      <c r="K119" s="62"/>
      <c r="L119" s="65" t="s">
        <v>1142</v>
      </c>
      <c r="M119" s="62"/>
      <c r="N119" s="52"/>
      <c r="O119" s="65" t="s">
        <v>1142</v>
      </c>
      <c r="P119" s="52"/>
      <c r="Q119" s="60" t="s">
        <v>427</v>
      </c>
    </row>
    <row r="120" spans="1:17" s="60" customFormat="1" ht="24">
      <c r="A120" s="52"/>
      <c r="B120" s="53">
        <v>40301</v>
      </c>
      <c r="C120" s="54"/>
      <c r="D120" s="68">
        <v>40301.384027777807</v>
      </c>
      <c r="E120" s="52" t="s">
        <v>1576</v>
      </c>
      <c r="F120" s="52"/>
      <c r="G120" s="62"/>
      <c r="H120" s="52"/>
      <c r="I120" s="62"/>
      <c r="J120" s="52"/>
      <c r="K120" s="62"/>
      <c r="L120" s="65" t="s">
        <v>1537</v>
      </c>
      <c r="M120" s="62"/>
      <c r="N120" s="52"/>
      <c r="O120" s="65" t="s">
        <v>1143</v>
      </c>
      <c r="P120" s="52"/>
      <c r="Q120" s="60" t="s">
        <v>427</v>
      </c>
    </row>
    <row r="121" spans="1:17" s="60" customFormat="1" ht="24">
      <c r="A121" s="52"/>
      <c r="B121" s="53">
        <v>40301</v>
      </c>
      <c r="C121" s="54"/>
      <c r="D121" s="68">
        <v>40301.384722222254</v>
      </c>
      <c r="E121" s="52" t="s">
        <v>1576</v>
      </c>
      <c r="F121" s="52"/>
      <c r="G121" s="62"/>
      <c r="H121" s="52"/>
      <c r="I121" s="62"/>
      <c r="J121" s="52"/>
      <c r="K121" s="62"/>
      <c r="L121" s="65" t="s">
        <v>1144</v>
      </c>
      <c r="M121" s="62"/>
      <c r="N121" s="52"/>
      <c r="O121" s="65" t="s">
        <v>1144</v>
      </c>
      <c r="P121" s="52"/>
      <c r="Q121" s="60" t="s">
        <v>427</v>
      </c>
    </row>
    <row r="122" spans="1:17" s="60" customFormat="1" ht="24">
      <c r="A122" s="52"/>
      <c r="B122" s="53">
        <v>40301</v>
      </c>
      <c r="C122" s="54"/>
      <c r="D122" s="68">
        <v>40301.385416666701</v>
      </c>
      <c r="E122" s="52" t="s">
        <v>1161</v>
      </c>
      <c r="F122" s="52"/>
      <c r="G122" s="62"/>
      <c r="H122" s="52"/>
      <c r="I122" s="62"/>
      <c r="J122" s="52"/>
      <c r="K122" s="62"/>
      <c r="L122" s="65" t="s">
        <v>1145</v>
      </c>
      <c r="M122" s="62"/>
      <c r="N122" s="52"/>
      <c r="O122" s="65" t="s">
        <v>1145</v>
      </c>
      <c r="P122" s="52"/>
      <c r="Q122" s="60" t="s">
        <v>427</v>
      </c>
    </row>
    <row r="123" spans="1:17" s="60" customFormat="1" ht="24">
      <c r="A123" s="52"/>
      <c r="B123" s="53">
        <v>40301</v>
      </c>
      <c r="C123" s="54"/>
      <c r="D123" s="68">
        <v>40301.386111111147</v>
      </c>
      <c r="E123" s="52" t="s">
        <v>1576</v>
      </c>
      <c r="F123" s="52"/>
      <c r="G123" s="62"/>
      <c r="H123" s="52"/>
      <c r="I123" s="62"/>
      <c r="J123" s="52"/>
      <c r="K123" s="62"/>
      <c r="L123" s="65" t="s">
        <v>1538</v>
      </c>
      <c r="M123" s="62"/>
      <c r="N123" s="52"/>
      <c r="O123" s="65" t="s">
        <v>1230</v>
      </c>
      <c r="P123" s="52"/>
      <c r="Q123" s="60" t="s">
        <v>427</v>
      </c>
    </row>
    <row r="124" spans="1:17" s="60" customFormat="1">
      <c r="A124" s="52"/>
      <c r="B124" s="53">
        <v>40301</v>
      </c>
      <c r="C124" s="54"/>
      <c r="D124" s="68">
        <v>40301.386805555594</v>
      </c>
      <c r="E124" s="52" t="s">
        <v>1098</v>
      </c>
      <c r="F124" s="52"/>
      <c r="G124" s="62"/>
      <c r="H124" s="52"/>
      <c r="I124" s="62"/>
      <c r="J124" s="52"/>
      <c r="K124" s="62"/>
      <c r="L124" s="65" t="s">
        <v>1146</v>
      </c>
      <c r="M124" s="62"/>
      <c r="N124" s="52"/>
      <c r="O124" s="65" t="s">
        <v>1146</v>
      </c>
      <c r="P124" s="52"/>
      <c r="Q124" s="60" t="s">
        <v>427</v>
      </c>
    </row>
    <row r="125" spans="1:17" s="60" customFormat="1">
      <c r="A125" s="52"/>
      <c r="B125" s="53">
        <v>40301</v>
      </c>
      <c r="C125" s="54"/>
      <c r="D125" s="68">
        <v>40301.387500000041</v>
      </c>
      <c r="E125" s="52" t="s">
        <v>1161</v>
      </c>
      <c r="F125" s="52"/>
      <c r="G125" s="62"/>
      <c r="H125" s="52"/>
      <c r="I125" s="62"/>
      <c r="J125" s="52"/>
      <c r="K125" s="62"/>
      <c r="L125" s="65" t="s">
        <v>1147</v>
      </c>
      <c r="M125" s="62"/>
      <c r="N125" s="52"/>
      <c r="O125" s="65" t="s">
        <v>1147</v>
      </c>
      <c r="P125" s="52"/>
      <c r="Q125" s="60" t="s">
        <v>427</v>
      </c>
    </row>
    <row r="126" spans="1:17" s="60" customFormat="1">
      <c r="A126" s="52"/>
      <c r="B126" s="53">
        <v>40301</v>
      </c>
      <c r="C126" s="54"/>
      <c r="D126" s="68">
        <v>40301.388194444487</v>
      </c>
      <c r="E126" s="52" t="s">
        <v>1161</v>
      </c>
      <c r="F126" s="52"/>
      <c r="G126" s="62"/>
      <c r="H126" s="52"/>
      <c r="I126" s="62"/>
      <c r="J126" s="52"/>
      <c r="K126" s="62" t="s">
        <v>1156</v>
      </c>
      <c r="L126" s="65" t="s">
        <v>1148</v>
      </c>
      <c r="M126" s="62"/>
      <c r="N126" s="52"/>
      <c r="O126" s="65" t="s">
        <v>1148</v>
      </c>
      <c r="P126" s="52"/>
      <c r="Q126" s="60" t="s">
        <v>427</v>
      </c>
    </row>
    <row r="127" spans="1:17" s="60" customFormat="1">
      <c r="A127" s="52"/>
      <c r="B127" s="53">
        <v>40301</v>
      </c>
      <c r="C127" s="54"/>
      <c r="D127" s="68">
        <v>40301.388888888934</v>
      </c>
      <c r="E127" s="52" t="s">
        <v>1576</v>
      </c>
      <c r="F127" s="52"/>
      <c r="G127" s="62"/>
      <c r="H127" s="52"/>
      <c r="I127" s="62"/>
      <c r="J127" s="52"/>
      <c r="K127" s="62"/>
      <c r="L127" s="65" t="s">
        <v>1149</v>
      </c>
      <c r="M127" s="62"/>
      <c r="N127" s="52"/>
      <c r="O127" s="65" t="s">
        <v>1149</v>
      </c>
      <c r="P127" s="52"/>
      <c r="Q127" s="60" t="s">
        <v>427</v>
      </c>
    </row>
    <row r="128" spans="1:17" s="60" customFormat="1" ht="36">
      <c r="A128" s="52"/>
      <c r="B128" s="53">
        <v>40301</v>
      </c>
      <c r="C128" s="54"/>
      <c r="D128" s="68">
        <v>40301.389583333381</v>
      </c>
      <c r="E128" s="52" t="s">
        <v>1098</v>
      </c>
      <c r="F128" s="52"/>
      <c r="G128" s="62"/>
      <c r="H128" s="52"/>
      <c r="I128" s="62"/>
      <c r="J128" s="52"/>
      <c r="K128" s="62"/>
      <c r="L128" s="65" t="s">
        <v>1493</v>
      </c>
      <c r="M128" s="62"/>
      <c r="N128" s="52"/>
      <c r="O128" s="65" t="s">
        <v>1493</v>
      </c>
      <c r="P128" s="52"/>
      <c r="Q128" s="60" t="s">
        <v>427</v>
      </c>
    </row>
    <row r="129" spans="1:17" s="60" customFormat="1" ht="24">
      <c r="A129" s="52"/>
      <c r="B129" s="53">
        <v>40301</v>
      </c>
      <c r="C129" s="54"/>
      <c r="D129" s="68">
        <v>40301.390277777828</v>
      </c>
      <c r="E129" s="52" t="s">
        <v>1161</v>
      </c>
      <c r="F129" s="52"/>
      <c r="G129" s="62"/>
      <c r="H129" s="52"/>
      <c r="I129" s="62"/>
      <c r="J129" s="52"/>
      <c r="K129" s="62"/>
      <c r="L129" s="65" t="s">
        <v>1494</v>
      </c>
      <c r="M129" s="62"/>
      <c r="N129" s="52"/>
      <c r="O129" s="65" t="s">
        <v>1495</v>
      </c>
      <c r="P129" s="52"/>
      <c r="Q129" s="60" t="s">
        <v>427</v>
      </c>
    </row>
    <row r="130" spans="1:17" s="60" customFormat="1" ht="24">
      <c r="A130" s="52"/>
      <c r="B130" s="53">
        <v>40301</v>
      </c>
      <c r="C130" s="54"/>
      <c r="D130" s="68">
        <v>40301.390972222274</v>
      </c>
      <c r="E130" s="52" t="s">
        <v>1576</v>
      </c>
      <c r="F130" s="52"/>
      <c r="G130" s="62"/>
      <c r="H130" s="52"/>
      <c r="I130" s="62"/>
      <c r="J130" s="52"/>
      <c r="K130" s="62"/>
      <c r="L130" s="65" t="s">
        <v>791</v>
      </c>
      <c r="M130" s="62"/>
      <c r="N130" s="52"/>
      <c r="O130" s="65" t="s">
        <v>791</v>
      </c>
      <c r="P130" s="52"/>
      <c r="Q130" s="60" t="s">
        <v>427</v>
      </c>
    </row>
    <row r="131" spans="1:17" s="60" customFormat="1">
      <c r="A131" s="52"/>
      <c r="B131" s="53">
        <v>40301</v>
      </c>
      <c r="C131" s="54"/>
      <c r="D131" s="68">
        <v>40301.391666666721</v>
      </c>
      <c r="E131" s="52" t="s">
        <v>1576</v>
      </c>
      <c r="F131" s="52"/>
      <c r="G131" s="62"/>
      <c r="H131" s="52"/>
      <c r="I131" s="62"/>
      <c r="J131" s="52"/>
      <c r="K131" s="62"/>
      <c r="L131" s="65" t="s">
        <v>1150</v>
      </c>
      <c r="M131" s="62"/>
      <c r="N131" s="52"/>
      <c r="O131" s="65" t="s">
        <v>1150</v>
      </c>
      <c r="P131" s="52"/>
      <c r="Q131" s="60" t="s">
        <v>427</v>
      </c>
    </row>
    <row r="132" spans="1:17" s="60" customFormat="1" ht="24">
      <c r="A132" s="52"/>
      <c r="B132" s="53">
        <v>40301</v>
      </c>
      <c r="C132" s="54"/>
      <c r="D132" s="68">
        <v>40301.392361111168</v>
      </c>
      <c r="E132" s="52" t="s">
        <v>1576</v>
      </c>
      <c r="F132" s="52"/>
      <c r="G132" s="62"/>
      <c r="H132" s="52"/>
      <c r="I132" s="62"/>
      <c r="J132" s="52"/>
      <c r="K132" s="62"/>
      <c r="L132" s="65" t="s">
        <v>1539</v>
      </c>
      <c r="M132" s="62"/>
      <c r="N132" s="52"/>
      <c r="O132" s="65" t="s">
        <v>1151</v>
      </c>
      <c r="P132" s="52"/>
      <c r="Q132" s="60" t="s">
        <v>427</v>
      </c>
    </row>
    <row r="133" spans="1:17" s="60" customFormat="1" ht="48">
      <c r="A133" s="52"/>
      <c r="B133" s="53">
        <v>40301</v>
      </c>
      <c r="C133" s="54"/>
      <c r="D133" s="68">
        <v>40301.393055555614</v>
      </c>
      <c r="E133" s="52"/>
      <c r="F133" s="52"/>
      <c r="G133" s="62"/>
      <c r="H133" s="52"/>
      <c r="I133" s="62"/>
      <c r="J133" s="52"/>
      <c r="K133" s="62"/>
      <c r="L133" s="65" t="s">
        <v>1152</v>
      </c>
      <c r="M133" s="62"/>
      <c r="N133" s="52"/>
      <c r="O133" s="65" t="s">
        <v>1152</v>
      </c>
      <c r="P133" s="52"/>
      <c r="Q133" s="60" t="s">
        <v>427</v>
      </c>
    </row>
    <row r="134" spans="1:17" s="60" customFormat="1" ht="24">
      <c r="A134" s="52"/>
      <c r="B134" s="53">
        <v>40301</v>
      </c>
      <c r="C134" s="54"/>
      <c r="D134" s="68">
        <v>40301.393750000061</v>
      </c>
      <c r="E134" s="52" t="s">
        <v>1576</v>
      </c>
      <c r="F134" s="52"/>
      <c r="G134" s="62"/>
      <c r="H134" s="52"/>
      <c r="I134" s="62"/>
      <c r="J134" s="52"/>
      <c r="K134" s="62"/>
      <c r="L134" s="65" t="s">
        <v>1153</v>
      </c>
      <c r="M134" s="62"/>
      <c r="N134" s="52"/>
      <c r="O134" s="65" t="s">
        <v>1153</v>
      </c>
      <c r="P134" s="52"/>
      <c r="Q134" s="60" t="s">
        <v>427</v>
      </c>
    </row>
    <row r="135" spans="1:17" s="60" customFormat="1" ht="48">
      <c r="A135" s="52"/>
      <c r="B135" s="53">
        <v>40301</v>
      </c>
      <c r="C135" s="54"/>
      <c r="D135" s="68">
        <v>40301.394444444508</v>
      </c>
      <c r="E135" s="52" t="s">
        <v>430</v>
      </c>
      <c r="F135" s="52"/>
      <c r="G135" s="62"/>
      <c r="H135" s="52"/>
      <c r="I135" s="62"/>
      <c r="J135" s="52" t="s">
        <v>1540</v>
      </c>
      <c r="K135" s="62"/>
      <c r="L135" s="65" t="s">
        <v>1154</v>
      </c>
      <c r="M135" s="62"/>
      <c r="N135" s="52"/>
      <c r="O135" s="65" t="s">
        <v>1154</v>
      </c>
      <c r="P135" s="52"/>
      <c r="Q135" s="60" t="s">
        <v>427</v>
      </c>
    </row>
    <row r="136" spans="1:17" s="60" customFormat="1" ht="37.5" customHeight="1">
      <c r="A136" s="52"/>
      <c r="B136" s="53">
        <v>40301</v>
      </c>
      <c r="C136" s="54"/>
      <c r="D136" s="68">
        <v>40301.395138888955</v>
      </c>
      <c r="E136" s="52" t="s">
        <v>1098</v>
      </c>
      <c r="F136" s="52"/>
      <c r="G136" s="62"/>
      <c r="H136" s="52"/>
      <c r="I136" s="62"/>
      <c r="J136" s="52"/>
      <c r="K136" s="62"/>
      <c r="L136" s="65" t="s">
        <v>1155</v>
      </c>
      <c r="M136" s="62"/>
      <c r="N136" s="52"/>
      <c r="O136" s="65" t="s">
        <v>1155</v>
      </c>
      <c r="P136" s="52"/>
      <c r="Q136" s="60" t="s">
        <v>427</v>
      </c>
    </row>
    <row r="137" spans="1:17" s="60" customFormat="1" ht="48">
      <c r="A137" s="52"/>
      <c r="B137" s="53">
        <v>40301</v>
      </c>
      <c r="C137" s="54">
        <v>40301.381944444445</v>
      </c>
      <c r="D137" s="61">
        <v>40301.381944444445</v>
      </c>
      <c r="E137" s="65" t="s">
        <v>430</v>
      </c>
      <c r="F137" s="65" t="s">
        <v>1182</v>
      </c>
      <c r="G137" s="65" t="s">
        <v>1183</v>
      </c>
      <c r="H137" s="65"/>
      <c r="I137" s="65" t="s">
        <v>668</v>
      </c>
      <c r="J137" s="65" t="s">
        <v>1536</v>
      </c>
      <c r="K137" s="67"/>
      <c r="L137" s="65" t="s">
        <v>1181</v>
      </c>
      <c r="M137" s="67"/>
      <c r="N137" s="65"/>
      <c r="O137" s="65" t="s">
        <v>1181</v>
      </c>
      <c r="P137" s="67"/>
      <c r="Q137" s="60" t="s">
        <v>427</v>
      </c>
    </row>
    <row r="138" spans="1:17" s="101" customFormat="1" ht="36">
      <c r="B138" s="102"/>
      <c r="C138" s="103"/>
      <c r="D138" s="104">
        <v>40301.385416666664</v>
      </c>
      <c r="E138" s="117" t="s">
        <v>1098</v>
      </c>
      <c r="F138" s="117" t="s">
        <v>425</v>
      </c>
      <c r="G138" s="117" t="s">
        <v>1260</v>
      </c>
      <c r="I138" s="117" t="s">
        <v>1263</v>
      </c>
      <c r="J138" s="117" t="s">
        <v>1246</v>
      </c>
      <c r="L138" s="117" t="s">
        <v>1246</v>
      </c>
      <c r="O138" s="117" t="s">
        <v>1246</v>
      </c>
      <c r="Q138" s="117" t="s">
        <v>1267</v>
      </c>
    </row>
    <row r="139" spans="1:17" s="101" customFormat="1" ht="24">
      <c r="B139" s="102"/>
      <c r="C139" s="103"/>
      <c r="D139" s="104">
        <v>40301.386111111111</v>
      </c>
      <c r="E139" s="117" t="s">
        <v>1098</v>
      </c>
      <c r="F139" s="117" t="s">
        <v>425</v>
      </c>
      <c r="G139" s="117" t="s">
        <v>1260</v>
      </c>
      <c r="I139" s="117" t="s">
        <v>1263</v>
      </c>
      <c r="J139" s="117" t="s">
        <v>1255</v>
      </c>
      <c r="L139" s="117" t="s">
        <v>1255</v>
      </c>
      <c r="O139" s="117" t="s">
        <v>1255</v>
      </c>
      <c r="Q139" s="117" t="s">
        <v>1267</v>
      </c>
    </row>
    <row r="140" spans="1:17" s="60" customFormat="1" ht="36">
      <c r="A140" s="52"/>
      <c r="B140" s="53">
        <v>40301</v>
      </c>
      <c r="C140" s="63">
        <v>0.41666666666666669</v>
      </c>
      <c r="D140" s="55">
        <v>40301.416666666664</v>
      </c>
      <c r="E140" s="52" t="s">
        <v>1098</v>
      </c>
      <c r="F140" s="64" t="s">
        <v>425</v>
      </c>
      <c r="G140" s="64" t="s">
        <v>592</v>
      </c>
      <c r="H140" s="52" t="s">
        <v>593</v>
      </c>
      <c r="I140" s="52" t="s">
        <v>575</v>
      </c>
      <c r="J140" s="52"/>
      <c r="K140" s="52"/>
      <c r="L140" s="52" t="s">
        <v>577</v>
      </c>
      <c r="M140" s="52" t="s">
        <v>576</v>
      </c>
      <c r="N140" s="52"/>
      <c r="O140" s="52" t="s">
        <v>577</v>
      </c>
      <c r="P140" s="52"/>
      <c r="Q140" s="60" t="s">
        <v>597</v>
      </c>
    </row>
    <row r="141" spans="1:17" s="60" customFormat="1" ht="120">
      <c r="A141" s="52"/>
      <c r="B141" s="53">
        <v>40301</v>
      </c>
      <c r="C141" s="54">
        <v>40301.416666666664</v>
      </c>
      <c r="D141" s="61">
        <v>40301.417361111111</v>
      </c>
      <c r="E141" s="52" t="s">
        <v>1098</v>
      </c>
      <c r="F141" s="52" t="s">
        <v>425</v>
      </c>
      <c r="G141" s="62" t="s">
        <v>429</v>
      </c>
      <c r="H141" s="52"/>
      <c r="I141" s="62" t="s">
        <v>426</v>
      </c>
      <c r="J141" s="52" t="s">
        <v>379</v>
      </c>
      <c r="K141" s="62" t="s">
        <v>423</v>
      </c>
      <c r="L141" s="95" t="s">
        <v>379</v>
      </c>
      <c r="M141" s="62"/>
      <c r="N141" s="52"/>
      <c r="O141" s="52" t="s">
        <v>1448</v>
      </c>
      <c r="P141" s="52"/>
      <c r="Q141" s="60" t="s">
        <v>427</v>
      </c>
    </row>
    <row r="142" spans="1:17" s="101" customFormat="1" ht="36">
      <c r="B142" s="102"/>
      <c r="C142" s="103"/>
      <c r="D142" s="106">
        <v>40301.4375</v>
      </c>
      <c r="E142" s="101" t="s">
        <v>1161</v>
      </c>
      <c r="F142" s="101" t="s">
        <v>425</v>
      </c>
      <c r="H142" s="101" t="s">
        <v>1293</v>
      </c>
      <c r="L142" s="107" t="s">
        <v>1292</v>
      </c>
      <c r="O142" s="101" t="s">
        <v>1292</v>
      </c>
      <c r="Q142" s="101" t="s">
        <v>1294</v>
      </c>
    </row>
    <row r="143" spans="1:17" s="60" customFormat="1" ht="24">
      <c r="A143" s="52"/>
      <c r="B143" s="53">
        <v>40301</v>
      </c>
      <c r="C143" s="63">
        <v>0.5</v>
      </c>
      <c r="D143" s="55">
        <v>40301.5</v>
      </c>
      <c r="E143" s="52" t="s">
        <v>430</v>
      </c>
      <c r="F143" s="64" t="s">
        <v>425</v>
      </c>
      <c r="G143" s="64" t="s">
        <v>431</v>
      </c>
      <c r="H143" s="52" t="s">
        <v>432</v>
      </c>
      <c r="I143" s="52" t="s">
        <v>433</v>
      </c>
      <c r="J143" s="52"/>
      <c r="K143" s="52"/>
      <c r="L143" s="95" t="s">
        <v>434</v>
      </c>
      <c r="M143" s="52" t="s">
        <v>435</v>
      </c>
      <c r="N143" s="52"/>
      <c r="O143" s="52" t="s">
        <v>436</v>
      </c>
      <c r="P143" s="52"/>
      <c r="Q143" s="60" t="s">
        <v>437</v>
      </c>
    </row>
    <row r="144" spans="1:17" s="60" customFormat="1" ht="30.75" customHeight="1">
      <c r="A144" s="52"/>
      <c r="B144" s="53"/>
      <c r="C144" s="54"/>
      <c r="D144" s="80">
        <v>40301.541666666664</v>
      </c>
      <c r="E144" s="60" t="s">
        <v>430</v>
      </c>
      <c r="F144" s="52" t="s">
        <v>425</v>
      </c>
      <c r="G144" s="62"/>
      <c r="H144" s="52" t="s">
        <v>787</v>
      </c>
      <c r="I144" s="62"/>
      <c r="J144" s="52" t="s">
        <v>1541</v>
      </c>
      <c r="K144" s="62"/>
      <c r="L144" s="95"/>
      <c r="M144" s="62" t="s">
        <v>786</v>
      </c>
      <c r="N144" s="52"/>
      <c r="O144" s="60" t="s">
        <v>813</v>
      </c>
      <c r="P144" s="52"/>
      <c r="Q144" s="60" t="s">
        <v>810</v>
      </c>
    </row>
    <row r="145" spans="1:17" s="60" customFormat="1">
      <c r="A145" s="52"/>
      <c r="B145" s="53">
        <v>40301</v>
      </c>
      <c r="C145" s="63">
        <v>0.625</v>
      </c>
      <c r="D145" s="55">
        <v>40301.875</v>
      </c>
      <c r="E145" s="52" t="s">
        <v>1098</v>
      </c>
      <c r="F145" s="64" t="s">
        <v>579</v>
      </c>
      <c r="G145" s="64" t="s">
        <v>592</v>
      </c>
      <c r="H145" s="52" t="s">
        <v>593</v>
      </c>
      <c r="I145" s="52" t="s">
        <v>594</v>
      </c>
      <c r="J145" s="52" t="s">
        <v>1540</v>
      </c>
      <c r="K145" s="52"/>
      <c r="L145" s="52" t="s">
        <v>578</v>
      </c>
      <c r="M145" s="52" t="s">
        <v>580</v>
      </c>
      <c r="N145" s="52"/>
      <c r="O145" s="52" t="s">
        <v>1496</v>
      </c>
      <c r="P145" s="52"/>
      <c r="Q145" s="60" t="s">
        <v>597</v>
      </c>
    </row>
    <row r="146" spans="1:17" s="60" customFormat="1" ht="120">
      <c r="A146" s="52"/>
      <c r="B146" s="53">
        <v>40301</v>
      </c>
      <c r="C146" s="54">
        <v>40301.666666666664</v>
      </c>
      <c r="D146" s="61">
        <v>40301.666666666664</v>
      </c>
      <c r="E146" s="52" t="s">
        <v>1098</v>
      </c>
      <c r="F146" s="52" t="s">
        <v>425</v>
      </c>
      <c r="G146" s="62" t="s">
        <v>429</v>
      </c>
      <c r="H146" s="52"/>
      <c r="I146" s="62" t="s">
        <v>426</v>
      </c>
      <c r="J146" s="52" t="s">
        <v>380</v>
      </c>
      <c r="K146" s="62" t="s">
        <v>423</v>
      </c>
      <c r="L146" s="95" t="s">
        <v>380</v>
      </c>
      <c r="M146" s="62"/>
      <c r="N146" s="52"/>
      <c r="O146" s="52" t="s">
        <v>1435</v>
      </c>
      <c r="P146" s="52"/>
      <c r="Q146" s="60" t="s">
        <v>427</v>
      </c>
    </row>
    <row r="147" spans="1:17" s="60" customFormat="1">
      <c r="A147" s="52"/>
      <c r="B147" s="53"/>
      <c r="C147" s="54"/>
      <c r="D147" s="61">
        <v>40301.688194444447</v>
      </c>
      <c r="E147" s="52" t="s">
        <v>1161</v>
      </c>
      <c r="F147" s="52" t="s">
        <v>1188</v>
      </c>
      <c r="G147" s="52" t="s">
        <v>1162</v>
      </c>
      <c r="H147" s="52"/>
      <c r="I147" s="52" t="s">
        <v>668</v>
      </c>
      <c r="J147" s="52"/>
      <c r="K147" s="52">
        <v>7</v>
      </c>
      <c r="L147" s="95"/>
      <c r="M147" s="52"/>
      <c r="N147" s="52"/>
      <c r="O147" s="52" t="s">
        <v>1145</v>
      </c>
      <c r="P147" s="52"/>
      <c r="Q147" s="60" t="s">
        <v>427</v>
      </c>
    </row>
    <row r="148" spans="1:17" s="60" customFormat="1" ht="36">
      <c r="A148" s="52"/>
      <c r="B148" s="53"/>
      <c r="C148" s="54"/>
      <c r="D148" s="61">
        <v>40301.688888888886</v>
      </c>
      <c r="E148" s="52" t="s">
        <v>1576</v>
      </c>
      <c r="F148" s="52" t="s">
        <v>1188</v>
      </c>
      <c r="G148" s="52" t="s">
        <v>1163</v>
      </c>
      <c r="H148" s="52"/>
      <c r="I148" s="52" t="s">
        <v>1159</v>
      </c>
      <c r="J148" s="52"/>
      <c r="K148" s="52">
        <v>9</v>
      </c>
      <c r="L148" s="52" t="s">
        <v>1542</v>
      </c>
      <c r="M148" s="52"/>
      <c r="N148" s="52"/>
      <c r="O148" s="52" t="s">
        <v>1230</v>
      </c>
      <c r="P148" s="52"/>
      <c r="Q148" s="60" t="s">
        <v>427</v>
      </c>
    </row>
    <row r="149" spans="1:17" s="60" customFormat="1" ht="48">
      <c r="A149" s="52"/>
      <c r="B149" s="53">
        <v>40301.697916666664</v>
      </c>
      <c r="C149" s="54">
        <v>40301.697916666664</v>
      </c>
      <c r="D149" s="61">
        <v>40301.697916666664</v>
      </c>
      <c r="E149" s="52" t="s">
        <v>1544</v>
      </c>
      <c r="F149" s="52" t="s">
        <v>799</v>
      </c>
      <c r="G149" s="62" t="s">
        <v>800</v>
      </c>
      <c r="H149" s="52" t="s">
        <v>801</v>
      </c>
      <c r="I149" s="62" t="s">
        <v>802</v>
      </c>
      <c r="J149" s="52" t="s">
        <v>797</v>
      </c>
      <c r="K149" s="62"/>
      <c r="L149" s="52" t="s">
        <v>798</v>
      </c>
      <c r="M149" s="62"/>
      <c r="N149" s="52"/>
      <c r="O149" s="52" t="s">
        <v>1436</v>
      </c>
      <c r="P149" s="52"/>
      <c r="Q149" s="60" t="s">
        <v>891</v>
      </c>
    </row>
    <row r="150" spans="1:17" s="60" customFormat="1" ht="48">
      <c r="A150" s="52"/>
      <c r="B150" s="53">
        <v>40301.770833333336</v>
      </c>
      <c r="C150" s="54">
        <v>40301.770833333336</v>
      </c>
      <c r="D150" s="61">
        <v>40301.770833333336</v>
      </c>
      <c r="E150" s="52" t="s">
        <v>1544</v>
      </c>
      <c r="F150" s="52" t="s">
        <v>793</v>
      </c>
      <c r="G150" s="62" t="s">
        <v>801</v>
      </c>
      <c r="H150" s="52" t="s">
        <v>801</v>
      </c>
      <c r="I150" s="62" t="s">
        <v>804</v>
      </c>
      <c r="J150" s="52" t="s">
        <v>797</v>
      </c>
      <c r="K150" s="62"/>
      <c r="L150" s="95" t="s">
        <v>803</v>
      </c>
      <c r="M150" s="62"/>
      <c r="N150" s="52"/>
      <c r="O150" s="52" t="s">
        <v>1437</v>
      </c>
      <c r="P150" s="52"/>
      <c r="Q150" s="60" t="s">
        <v>891</v>
      </c>
    </row>
    <row r="151" spans="1:17" s="60" customFormat="1" ht="108">
      <c r="A151" s="52"/>
      <c r="B151" s="53">
        <v>40301</v>
      </c>
      <c r="C151" s="54">
        <v>40301.916666666664</v>
      </c>
      <c r="D151" s="61">
        <v>40301.916666666664</v>
      </c>
      <c r="E151" s="52" t="s">
        <v>1098</v>
      </c>
      <c r="F151" s="52" t="s">
        <v>425</v>
      </c>
      <c r="G151" s="62" t="s">
        <v>429</v>
      </c>
      <c r="H151" s="52"/>
      <c r="I151" s="62" t="s">
        <v>426</v>
      </c>
      <c r="J151" s="52" t="s">
        <v>381</v>
      </c>
      <c r="K151" s="62" t="s">
        <v>423</v>
      </c>
      <c r="L151" s="95" t="s">
        <v>381</v>
      </c>
      <c r="M151" s="62"/>
      <c r="N151" s="52"/>
      <c r="O151" s="52" t="s">
        <v>1438</v>
      </c>
      <c r="P151" s="52"/>
      <c r="Q151" s="60" t="s">
        <v>427</v>
      </c>
    </row>
    <row r="152" spans="1:17" s="60" customFormat="1" ht="48">
      <c r="A152" s="52"/>
      <c r="B152" s="53">
        <v>40302.083333333336</v>
      </c>
      <c r="C152" s="54">
        <v>40302.083333333336</v>
      </c>
      <c r="D152" s="61">
        <v>40302.302083333336</v>
      </c>
      <c r="E152" s="52" t="s">
        <v>1544</v>
      </c>
      <c r="F152" s="52" t="s">
        <v>799</v>
      </c>
      <c r="G152" s="62" t="s">
        <v>800</v>
      </c>
      <c r="H152" s="52" t="s">
        <v>801</v>
      </c>
      <c r="I152" s="62" t="s">
        <v>802</v>
      </c>
      <c r="J152" s="52" t="s">
        <v>797</v>
      </c>
      <c r="K152" s="62"/>
      <c r="L152" s="52" t="s">
        <v>805</v>
      </c>
      <c r="M152" s="62"/>
      <c r="N152" s="52"/>
      <c r="O152" s="52" t="s">
        <v>1439</v>
      </c>
      <c r="P152" s="52"/>
      <c r="Q152" s="60" t="s">
        <v>891</v>
      </c>
    </row>
    <row r="153" spans="1:17" s="60" customFormat="1" ht="108">
      <c r="A153" s="52"/>
      <c r="B153" s="53">
        <v>40302</v>
      </c>
      <c r="C153" s="54">
        <v>40302.166666666664</v>
      </c>
      <c r="D153" s="61">
        <v>40302.166666666664</v>
      </c>
      <c r="E153" s="52" t="s">
        <v>1098</v>
      </c>
      <c r="F153" s="52" t="s">
        <v>425</v>
      </c>
      <c r="G153" s="62" t="s">
        <v>429</v>
      </c>
      <c r="H153" s="52"/>
      <c r="I153" s="62" t="s">
        <v>426</v>
      </c>
      <c r="J153" s="52" t="s">
        <v>382</v>
      </c>
      <c r="K153" s="62" t="s">
        <v>423</v>
      </c>
      <c r="L153" s="95" t="s">
        <v>382</v>
      </c>
      <c r="M153" s="62"/>
      <c r="N153" s="52"/>
      <c r="O153" s="52" t="s">
        <v>1440</v>
      </c>
      <c r="P153" s="52"/>
      <c r="Q153" s="60" t="s">
        <v>427</v>
      </c>
    </row>
    <row r="154" spans="1:17" s="60" customFormat="1" ht="36">
      <c r="A154" s="52"/>
      <c r="B154" s="53">
        <v>40302.208333333336</v>
      </c>
      <c r="C154" s="81">
        <v>40302.208333333336</v>
      </c>
      <c r="D154" s="80">
        <v>40302.208333333336</v>
      </c>
      <c r="E154" s="115" t="s">
        <v>1098</v>
      </c>
      <c r="F154" s="52" t="s">
        <v>1103</v>
      </c>
      <c r="G154" s="52"/>
      <c r="H154" s="52"/>
      <c r="I154" s="52"/>
      <c r="J154" s="115" t="s">
        <v>1559</v>
      </c>
      <c r="K154" s="52"/>
      <c r="L154" s="116" t="s">
        <v>1064</v>
      </c>
      <c r="M154" s="52"/>
      <c r="N154" s="52"/>
      <c r="O154" s="52"/>
      <c r="P154" s="52"/>
      <c r="Q154" s="60" t="s">
        <v>891</v>
      </c>
    </row>
    <row r="155" spans="1:17" s="60" customFormat="1" ht="36">
      <c r="A155" s="52"/>
      <c r="B155" s="53">
        <v>40302.208333333336</v>
      </c>
      <c r="C155" s="81">
        <v>40302.208333333336</v>
      </c>
      <c r="D155" s="80">
        <v>40302.209027777775</v>
      </c>
      <c r="E155" s="115" t="s">
        <v>1098</v>
      </c>
      <c r="F155" s="52" t="s">
        <v>1103</v>
      </c>
      <c r="G155" s="52"/>
      <c r="H155" s="52"/>
      <c r="I155" s="52"/>
      <c r="J155" s="115" t="s">
        <v>1559</v>
      </c>
      <c r="K155" s="52"/>
      <c r="L155" s="116" t="s">
        <v>991</v>
      </c>
      <c r="M155" s="52"/>
      <c r="N155" s="52"/>
      <c r="O155" s="52"/>
      <c r="P155" s="52"/>
      <c r="Q155" s="60" t="s">
        <v>891</v>
      </c>
    </row>
    <row r="156" spans="1:17" s="60" customFormat="1" ht="36">
      <c r="A156" s="52"/>
      <c r="B156" s="53">
        <v>40302.208333333336</v>
      </c>
      <c r="C156" s="81">
        <v>40302.208333333336</v>
      </c>
      <c r="D156" s="80">
        <v>40302.209722222229</v>
      </c>
      <c r="E156" s="115" t="s">
        <v>1098</v>
      </c>
      <c r="F156" s="52" t="s">
        <v>1103</v>
      </c>
      <c r="G156" s="52"/>
      <c r="H156" s="52"/>
      <c r="I156" s="52"/>
      <c r="J156" s="115" t="s">
        <v>1559</v>
      </c>
      <c r="K156" s="52"/>
      <c r="L156" s="116" t="s">
        <v>1065</v>
      </c>
      <c r="M156" s="52"/>
      <c r="N156" s="52"/>
      <c r="O156" s="52"/>
      <c r="P156" s="52"/>
      <c r="Q156" s="60" t="s">
        <v>891</v>
      </c>
    </row>
    <row r="157" spans="1:17" s="60" customFormat="1" ht="36">
      <c r="A157" s="52"/>
      <c r="B157" s="53">
        <v>40302.208333333336</v>
      </c>
      <c r="C157" s="81">
        <v>40302.208333333336</v>
      </c>
      <c r="D157" s="80">
        <v>40302.210416666676</v>
      </c>
      <c r="E157" s="115" t="s">
        <v>1098</v>
      </c>
      <c r="F157" s="52" t="s">
        <v>1103</v>
      </c>
      <c r="G157" s="52"/>
      <c r="H157" s="52"/>
      <c r="I157" s="52"/>
      <c r="J157" s="115" t="s">
        <v>1559</v>
      </c>
      <c r="K157" s="52"/>
      <c r="L157" s="116" t="s">
        <v>1066</v>
      </c>
      <c r="M157" s="52"/>
      <c r="N157" s="52"/>
      <c r="O157" s="52"/>
      <c r="P157" s="52"/>
      <c r="Q157" s="60" t="s">
        <v>891</v>
      </c>
    </row>
    <row r="158" spans="1:17" s="60" customFormat="1" ht="48">
      <c r="A158" s="52"/>
      <c r="B158" s="53">
        <v>40302.208333333336</v>
      </c>
      <c r="C158" s="81">
        <v>40302.208333333336</v>
      </c>
      <c r="D158" s="80">
        <v>40302.211111111123</v>
      </c>
      <c r="E158" s="115" t="s">
        <v>1098</v>
      </c>
      <c r="F158" s="52" t="s">
        <v>1103</v>
      </c>
      <c r="G158" s="52"/>
      <c r="H158" s="52"/>
      <c r="I158" s="52"/>
      <c r="J158" s="115" t="s">
        <v>1559</v>
      </c>
      <c r="K158" s="52"/>
      <c r="L158" s="116" t="s">
        <v>1016</v>
      </c>
      <c r="M158" s="52"/>
      <c r="N158" s="52"/>
      <c r="O158" s="52"/>
      <c r="P158" s="52"/>
      <c r="Q158" s="60" t="s">
        <v>891</v>
      </c>
    </row>
    <row r="159" spans="1:17" s="60" customFormat="1" ht="36">
      <c r="A159" s="52"/>
      <c r="B159" s="53">
        <v>40302.208333333336</v>
      </c>
      <c r="C159" s="81">
        <v>40302.208333333336</v>
      </c>
      <c r="D159" s="80">
        <v>40302.211805555569</v>
      </c>
      <c r="E159" s="115" t="s">
        <v>1098</v>
      </c>
      <c r="F159" s="52" t="s">
        <v>1103</v>
      </c>
      <c r="G159" s="52"/>
      <c r="H159" s="52"/>
      <c r="I159" s="52"/>
      <c r="J159" s="115" t="s">
        <v>1559</v>
      </c>
      <c r="K159" s="52"/>
      <c r="L159" s="116" t="s">
        <v>1017</v>
      </c>
      <c r="M159" s="52"/>
      <c r="N159" s="52"/>
      <c r="O159" s="52"/>
      <c r="P159" s="52"/>
      <c r="Q159" s="60" t="s">
        <v>891</v>
      </c>
    </row>
    <row r="160" spans="1:17" s="60" customFormat="1" ht="36">
      <c r="A160" s="52"/>
      <c r="B160" s="53">
        <v>40302.208333333336</v>
      </c>
      <c r="C160" s="81">
        <v>40302.208333333336</v>
      </c>
      <c r="D160" s="80">
        <v>40302.212500000016</v>
      </c>
      <c r="E160" s="115" t="s">
        <v>1489</v>
      </c>
      <c r="F160" s="52" t="s">
        <v>1103</v>
      </c>
      <c r="G160" s="52"/>
      <c r="H160" s="52"/>
      <c r="I160" s="52"/>
      <c r="J160" s="115" t="s">
        <v>1559</v>
      </c>
      <c r="K160" s="52"/>
      <c r="L160" s="116" t="s">
        <v>1018</v>
      </c>
      <c r="M160" s="52"/>
      <c r="N160" s="52"/>
      <c r="O160" s="52"/>
      <c r="P160" s="52"/>
      <c r="Q160" s="60" t="s">
        <v>891</v>
      </c>
    </row>
    <row r="161" spans="1:17" s="60" customFormat="1" ht="36">
      <c r="A161" s="52"/>
      <c r="B161" s="53">
        <v>40302.208333333336</v>
      </c>
      <c r="C161" s="81">
        <v>40302.208333333336</v>
      </c>
      <c r="D161" s="80">
        <v>40302.213194444463</v>
      </c>
      <c r="E161" s="115" t="s">
        <v>1098</v>
      </c>
      <c r="F161" s="52" t="s">
        <v>1103</v>
      </c>
      <c r="G161" s="52"/>
      <c r="H161" s="52"/>
      <c r="I161" s="52"/>
      <c r="J161" s="115" t="s">
        <v>1559</v>
      </c>
      <c r="K161" s="52"/>
      <c r="L161" s="116" t="s">
        <v>1019</v>
      </c>
      <c r="M161" s="52"/>
      <c r="N161" s="52"/>
      <c r="O161" s="52"/>
      <c r="P161" s="52"/>
      <c r="Q161" s="60" t="s">
        <v>891</v>
      </c>
    </row>
    <row r="162" spans="1:17" s="60" customFormat="1" ht="36">
      <c r="A162" s="52"/>
      <c r="B162" s="53">
        <v>40302.208333333336</v>
      </c>
      <c r="C162" s="81">
        <v>40302.208333333336</v>
      </c>
      <c r="D162" s="80">
        <v>40302.213888888909</v>
      </c>
      <c r="E162" s="115" t="s">
        <v>1098</v>
      </c>
      <c r="F162" s="52" t="s">
        <v>1103</v>
      </c>
      <c r="G162" s="52"/>
      <c r="H162" s="52"/>
      <c r="I162" s="52"/>
      <c r="J162" s="115" t="s">
        <v>1559</v>
      </c>
      <c r="K162" s="52"/>
      <c r="L162" s="116" t="s">
        <v>1020</v>
      </c>
      <c r="M162" s="52"/>
      <c r="N162" s="52"/>
      <c r="O162" s="52"/>
      <c r="P162" s="52"/>
      <c r="Q162" s="60" t="s">
        <v>891</v>
      </c>
    </row>
    <row r="163" spans="1:17" s="60" customFormat="1" ht="36">
      <c r="A163" s="52"/>
      <c r="B163" s="53">
        <v>40302.208333333336</v>
      </c>
      <c r="C163" s="81">
        <v>40302.208333333336</v>
      </c>
      <c r="D163" s="80">
        <v>40302.214583333356</v>
      </c>
      <c r="E163" s="115" t="s">
        <v>1098</v>
      </c>
      <c r="F163" s="52" t="s">
        <v>1103</v>
      </c>
      <c r="G163" s="52"/>
      <c r="H163" s="52"/>
      <c r="I163" s="52"/>
      <c r="J163" s="115" t="s">
        <v>1559</v>
      </c>
      <c r="K163" s="52"/>
      <c r="L163" s="116" t="s">
        <v>1021</v>
      </c>
      <c r="M163" s="52"/>
      <c r="N163" s="52"/>
      <c r="O163" s="52"/>
      <c r="P163" s="52"/>
      <c r="Q163" s="60" t="s">
        <v>891</v>
      </c>
    </row>
    <row r="164" spans="1:17" s="60" customFormat="1" ht="36">
      <c r="A164" s="52"/>
      <c r="B164" s="53">
        <v>40302.208333333336</v>
      </c>
      <c r="C164" s="81">
        <v>40302.208333333336</v>
      </c>
      <c r="D164" s="80">
        <v>40302.215277777803</v>
      </c>
      <c r="E164" s="115" t="s">
        <v>1098</v>
      </c>
      <c r="F164" s="52" t="s">
        <v>1103</v>
      </c>
      <c r="G164" s="52"/>
      <c r="H164" s="52"/>
      <c r="I164" s="52"/>
      <c r="J164" s="115" t="s">
        <v>1559</v>
      </c>
      <c r="K164" s="52"/>
      <c r="L164" s="116" t="s">
        <v>1022</v>
      </c>
      <c r="M164" s="52"/>
      <c r="N164" s="52"/>
      <c r="O164" s="52"/>
      <c r="P164" s="52"/>
      <c r="Q164" s="60" t="s">
        <v>891</v>
      </c>
    </row>
    <row r="165" spans="1:17" s="60" customFormat="1" ht="36">
      <c r="A165" s="52"/>
      <c r="B165" s="53">
        <v>40302.208333333336</v>
      </c>
      <c r="C165" s="81">
        <v>40302.208333333336</v>
      </c>
      <c r="D165" s="80">
        <v>40302.21597222225</v>
      </c>
      <c r="E165" s="115" t="s">
        <v>1098</v>
      </c>
      <c r="F165" s="52" t="s">
        <v>1103</v>
      </c>
      <c r="G165" s="52"/>
      <c r="H165" s="52"/>
      <c r="I165" s="52"/>
      <c r="J165" s="115" t="s">
        <v>1559</v>
      </c>
      <c r="K165" s="52"/>
      <c r="L165" s="116" t="s">
        <v>1023</v>
      </c>
      <c r="M165" s="52"/>
      <c r="N165" s="52"/>
      <c r="O165" s="52"/>
      <c r="P165" s="52"/>
      <c r="Q165" s="60" t="s">
        <v>891</v>
      </c>
    </row>
    <row r="166" spans="1:17" s="60" customFormat="1" ht="36">
      <c r="A166" s="52"/>
      <c r="B166" s="53">
        <v>40302.208333333336</v>
      </c>
      <c r="C166" s="81">
        <v>40302.208333333336</v>
      </c>
      <c r="D166" s="80">
        <v>40302.216666666696</v>
      </c>
      <c r="E166" s="115" t="s">
        <v>1098</v>
      </c>
      <c r="F166" s="52" t="s">
        <v>1103</v>
      </c>
      <c r="G166" s="52"/>
      <c r="H166" s="52"/>
      <c r="I166" s="52"/>
      <c r="J166" s="115" t="s">
        <v>1559</v>
      </c>
      <c r="K166" s="52"/>
      <c r="L166" s="116" t="s">
        <v>1024</v>
      </c>
      <c r="M166" s="52"/>
      <c r="N166" s="52"/>
      <c r="O166" s="52"/>
      <c r="P166" s="52"/>
      <c r="Q166" s="60" t="s">
        <v>891</v>
      </c>
    </row>
    <row r="167" spans="1:17" s="60" customFormat="1" ht="36">
      <c r="A167" s="52"/>
      <c r="B167" s="53">
        <v>40302.208333333336</v>
      </c>
      <c r="C167" s="81">
        <v>40302.208333333336</v>
      </c>
      <c r="D167" s="80">
        <v>40302.217361111143</v>
      </c>
      <c r="E167" s="115" t="s">
        <v>1098</v>
      </c>
      <c r="F167" s="52" t="s">
        <v>1103</v>
      </c>
      <c r="G167" s="52"/>
      <c r="H167" s="52"/>
      <c r="I167" s="52"/>
      <c r="J167" s="115" t="s">
        <v>1559</v>
      </c>
      <c r="K167" s="52"/>
      <c r="L167" s="116" t="s">
        <v>1025</v>
      </c>
      <c r="M167" s="52"/>
      <c r="N167" s="52"/>
      <c r="O167" s="52"/>
      <c r="P167" s="52"/>
      <c r="Q167" s="60" t="s">
        <v>891</v>
      </c>
    </row>
    <row r="168" spans="1:17" s="60" customFormat="1" ht="36">
      <c r="A168" s="52"/>
      <c r="B168" s="53">
        <v>40302.208333333336</v>
      </c>
      <c r="C168" s="81">
        <v>40302.208333333336</v>
      </c>
      <c r="D168" s="80">
        <v>40302.21805555559</v>
      </c>
      <c r="E168" s="115" t="s">
        <v>1098</v>
      </c>
      <c r="F168" s="52" t="s">
        <v>1103</v>
      </c>
      <c r="G168" s="52"/>
      <c r="H168" s="52"/>
      <c r="I168" s="52"/>
      <c r="J168" s="115" t="s">
        <v>1559</v>
      </c>
      <c r="K168" s="52"/>
      <c r="L168" s="116" t="s">
        <v>1026</v>
      </c>
      <c r="M168" s="52"/>
      <c r="N168" s="52"/>
      <c r="O168" s="52"/>
      <c r="P168" s="52"/>
      <c r="Q168" s="60" t="s">
        <v>891</v>
      </c>
    </row>
    <row r="169" spans="1:17" s="60" customFormat="1" ht="36">
      <c r="A169" s="52"/>
      <c r="B169" s="53">
        <v>40302.208333333336</v>
      </c>
      <c r="C169" s="81">
        <v>40302.208333333336</v>
      </c>
      <c r="D169" s="80">
        <v>40302.218750000036</v>
      </c>
      <c r="E169" s="115" t="s">
        <v>1098</v>
      </c>
      <c r="F169" s="52" t="s">
        <v>1103</v>
      </c>
      <c r="G169" s="52"/>
      <c r="H169" s="52"/>
      <c r="I169" s="52"/>
      <c r="J169" s="115" t="s">
        <v>1559</v>
      </c>
      <c r="K169" s="52"/>
      <c r="L169" s="116" t="s">
        <v>1027</v>
      </c>
      <c r="M169" s="52"/>
      <c r="N169" s="52"/>
      <c r="O169" s="52"/>
      <c r="P169" s="52"/>
      <c r="Q169" s="60" t="s">
        <v>891</v>
      </c>
    </row>
    <row r="170" spans="1:17" s="60" customFormat="1" ht="36">
      <c r="A170" s="52"/>
      <c r="B170" s="53">
        <v>40302.208333333336</v>
      </c>
      <c r="C170" s="81">
        <v>40302.208333333336</v>
      </c>
      <c r="D170" s="80">
        <v>40302.219444444483</v>
      </c>
      <c r="E170" s="115" t="s">
        <v>1098</v>
      </c>
      <c r="F170" s="52" t="s">
        <v>1103</v>
      </c>
      <c r="G170" s="52"/>
      <c r="H170" s="52"/>
      <c r="I170" s="52"/>
      <c r="J170" s="115" t="s">
        <v>1559</v>
      </c>
      <c r="K170" s="52"/>
      <c r="L170" s="116" t="s">
        <v>1028</v>
      </c>
      <c r="M170" s="52"/>
      <c r="N170" s="52"/>
      <c r="O170" s="52"/>
      <c r="P170" s="52"/>
      <c r="Q170" s="60" t="s">
        <v>891</v>
      </c>
    </row>
    <row r="171" spans="1:17" s="60" customFormat="1" ht="36">
      <c r="A171" s="52"/>
      <c r="B171" s="53">
        <v>40302.208333333336</v>
      </c>
      <c r="C171" s="81">
        <v>40302.208333333336</v>
      </c>
      <c r="D171" s="80">
        <v>40302.22013888893</v>
      </c>
      <c r="E171" s="115" t="s">
        <v>1098</v>
      </c>
      <c r="F171" s="52" t="s">
        <v>1103</v>
      </c>
      <c r="G171" s="52"/>
      <c r="H171" s="52"/>
      <c r="I171" s="52"/>
      <c r="J171" s="115" t="s">
        <v>1559</v>
      </c>
      <c r="K171" s="52"/>
      <c r="L171" s="116" t="s">
        <v>1029</v>
      </c>
      <c r="M171" s="52"/>
      <c r="N171" s="52"/>
      <c r="O171" s="52"/>
      <c r="P171" s="52"/>
      <c r="Q171" s="60" t="s">
        <v>891</v>
      </c>
    </row>
    <row r="172" spans="1:17" s="60" customFormat="1" ht="36">
      <c r="A172" s="52"/>
      <c r="B172" s="53">
        <v>40302.208333333336</v>
      </c>
      <c r="C172" s="81">
        <v>40302.208333333336</v>
      </c>
      <c r="D172" s="80">
        <v>40302.220833333377</v>
      </c>
      <c r="E172" s="115" t="s">
        <v>1098</v>
      </c>
      <c r="F172" s="52" t="s">
        <v>1103</v>
      </c>
      <c r="G172" s="52"/>
      <c r="H172" s="52"/>
      <c r="I172" s="52"/>
      <c r="J172" s="115" t="s">
        <v>1559</v>
      </c>
      <c r="K172" s="52"/>
      <c r="L172" s="116" t="s">
        <v>1030</v>
      </c>
      <c r="M172" s="52"/>
      <c r="N172" s="52"/>
      <c r="O172" s="52"/>
      <c r="P172" s="52"/>
      <c r="Q172" s="60" t="s">
        <v>891</v>
      </c>
    </row>
    <row r="173" spans="1:17" s="60" customFormat="1" ht="36">
      <c r="A173" s="52"/>
      <c r="B173" s="53">
        <v>40302.208333333336</v>
      </c>
      <c r="C173" s="81">
        <v>40302.208333333336</v>
      </c>
      <c r="D173" s="80">
        <v>40302.221527777823</v>
      </c>
      <c r="E173" s="115" t="s">
        <v>1098</v>
      </c>
      <c r="F173" s="52" t="s">
        <v>1103</v>
      </c>
      <c r="G173" s="52"/>
      <c r="H173" s="52"/>
      <c r="I173" s="52"/>
      <c r="J173" s="115" t="s">
        <v>1559</v>
      </c>
      <c r="K173" s="52"/>
      <c r="L173" s="116" t="s">
        <v>1031</v>
      </c>
      <c r="M173" s="52"/>
      <c r="N173" s="52"/>
      <c r="O173" s="52"/>
      <c r="P173" s="52"/>
      <c r="Q173" s="60" t="s">
        <v>891</v>
      </c>
    </row>
    <row r="174" spans="1:17" s="60" customFormat="1" ht="36">
      <c r="A174" s="52"/>
      <c r="B174" s="53">
        <v>40302.208333333336</v>
      </c>
      <c r="C174" s="81">
        <v>40302.208333333336</v>
      </c>
      <c r="D174" s="80">
        <v>40302.22222222227</v>
      </c>
      <c r="E174" s="115" t="s">
        <v>1098</v>
      </c>
      <c r="F174" s="52" t="s">
        <v>1103</v>
      </c>
      <c r="G174" s="52"/>
      <c r="H174" s="52"/>
      <c r="I174" s="52"/>
      <c r="J174" s="115" t="s">
        <v>1559</v>
      </c>
      <c r="K174" s="52"/>
      <c r="L174" s="116" t="s">
        <v>1032</v>
      </c>
      <c r="M174" s="52"/>
      <c r="N174" s="52"/>
      <c r="O174" s="52"/>
      <c r="P174" s="52"/>
      <c r="Q174" s="60" t="s">
        <v>891</v>
      </c>
    </row>
    <row r="175" spans="1:17" s="60" customFormat="1" ht="36">
      <c r="A175" s="52"/>
      <c r="B175" s="53">
        <v>40302.208333333336</v>
      </c>
      <c r="C175" s="81">
        <v>40302.208333333336</v>
      </c>
      <c r="D175" s="80">
        <v>40302.222916666717</v>
      </c>
      <c r="E175" s="115" t="s">
        <v>1098</v>
      </c>
      <c r="F175" s="52" t="s">
        <v>1103</v>
      </c>
      <c r="G175" s="52"/>
      <c r="H175" s="52"/>
      <c r="I175" s="52"/>
      <c r="J175" s="115" t="s">
        <v>1559</v>
      </c>
      <c r="K175" s="52"/>
      <c r="L175" s="116" t="s">
        <v>1033</v>
      </c>
      <c r="M175" s="52"/>
      <c r="N175" s="52"/>
      <c r="O175" s="52"/>
      <c r="P175" s="52"/>
      <c r="Q175" s="60" t="s">
        <v>891</v>
      </c>
    </row>
    <row r="176" spans="1:17" s="60" customFormat="1" ht="36">
      <c r="A176" s="52"/>
      <c r="B176" s="53">
        <v>40302.208333333336</v>
      </c>
      <c r="C176" s="81">
        <v>40302.208333333336</v>
      </c>
      <c r="D176" s="80">
        <v>40302.223611111163</v>
      </c>
      <c r="E176" s="115" t="s">
        <v>1098</v>
      </c>
      <c r="F176" s="52" t="s">
        <v>1103</v>
      </c>
      <c r="G176" s="52"/>
      <c r="H176" s="52"/>
      <c r="I176" s="52"/>
      <c r="J176" s="115" t="s">
        <v>1559</v>
      </c>
      <c r="K176" s="52"/>
      <c r="L176" s="116" t="s">
        <v>1034</v>
      </c>
      <c r="M176" s="52"/>
      <c r="N176" s="52"/>
      <c r="O176" s="52"/>
      <c r="P176" s="52"/>
      <c r="Q176" s="60" t="s">
        <v>891</v>
      </c>
    </row>
    <row r="177" spans="1:17" s="60" customFormat="1" ht="48">
      <c r="A177" s="52"/>
      <c r="B177" s="53">
        <v>40302.208333333336</v>
      </c>
      <c r="C177" s="81">
        <v>40302.208333333336</v>
      </c>
      <c r="D177" s="80">
        <v>40302.22430555561</v>
      </c>
      <c r="E177" s="115" t="s">
        <v>1098</v>
      </c>
      <c r="F177" s="52" t="s">
        <v>1103</v>
      </c>
      <c r="G177" s="52"/>
      <c r="H177" s="52"/>
      <c r="I177" s="52"/>
      <c r="J177" s="115" t="s">
        <v>1559</v>
      </c>
      <c r="K177" s="52"/>
      <c r="L177" s="116" t="s">
        <v>1035</v>
      </c>
      <c r="M177" s="52"/>
      <c r="N177" s="52"/>
      <c r="O177" s="52"/>
      <c r="P177" s="52"/>
      <c r="Q177" s="60" t="s">
        <v>891</v>
      </c>
    </row>
    <row r="178" spans="1:17" s="60" customFormat="1" ht="48">
      <c r="A178" s="52"/>
      <c r="B178" s="53">
        <v>40302.208333333336</v>
      </c>
      <c r="C178" s="81">
        <v>40302.208333333336</v>
      </c>
      <c r="D178" s="80">
        <v>40302.225000000057</v>
      </c>
      <c r="E178" s="115" t="s">
        <v>1098</v>
      </c>
      <c r="F178" s="52" t="s">
        <v>1103</v>
      </c>
      <c r="G178" s="52"/>
      <c r="H178" s="52"/>
      <c r="I178" s="52"/>
      <c r="J178" s="115" t="s">
        <v>1559</v>
      </c>
      <c r="K178" s="52"/>
      <c r="L178" s="116" t="s">
        <v>1036</v>
      </c>
      <c r="M178" s="52"/>
      <c r="N178" s="52"/>
      <c r="O178" s="52"/>
      <c r="P178" s="52"/>
      <c r="Q178" s="60" t="s">
        <v>891</v>
      </c>
    </row>
    <row r="179" spans="1:17" s="60" customFormat="1" ht="36">
      <c r="A179" s="52"/>
      <c r="B179" s="53">
        <v>40302.208333333336</v>
      </c>
      <c r="C179" s="81">
        <v>40302.208333333336</v>
      </c>
      <c r="D179" s="80">
        <v>40302.225694444503</v>
      </c>
      <c r="E179" s="115" t="s">
        <v>1098</v>
      </c>
      <c r="F179" s="52" t="s">
        <v>1103</v>
      </c>
      <c r="G179" s="52"/>
      <c r="H179" s="52"/>
      <c r="I179" s="52"/>
      <c r="J179" s="115" t="s">
        <v>1559</v>
      </c>
      <c r="K179" s="52"/>
      <c r="L179" s="116" t="s">
        <v>1037</v>
      </c>
      <c r="M179" s="52"/>
      <c r="N179" s="52"/>
      <c r="O179" s="52"/>
      <c r="P179" s="52"/>
      <c r="Q179" s="60" t="s">
        <v>891</v>
      </c>
    </row>
    <row r="180" spans="1:17" s="60" customFormat="1" ht="36">
      <c r="A180" s="52"/>
      <c r="B180" s="53">
        <v>40302.208333333336</v>
      </c>
      <c r="C180" s="81">
        <v>40302.208333333336</v>
      </c>
      <c r="D180" s="80">
        <v>40302.22638888895</v>
      </c>
      <c r="E180" s="115" t="s">
        <v>1098</v>
      </c>
      <c r="F180" s="52" t="s">
        <v>1103</v>
      </c>
      <c r="G180" s="52"/>
      <c r="H180" s="52"/>
      <c r="I180" s="52"/>
      <c r="J180" s="115" t="s">
        <v>1559</v>
      </c>
      <c r="K180" s="52"/>
      <c r="L180" s="116" t="s">
        <v>1038</v>
      </c>
      <c r="M180" s="52"/>
      <c r="N180" s="52"/>
      <c r="O180" s="52"/>
      <c r="P180" s="52"/>
      <c r="Q180" s="60" t="s">
        <v>891</v>
      </c>
    </row>
    <row r="181" spans="1:17" s="60" customFormat="1" ht="84">
      <c r="A181" s="52"/>
      <c r="B181" s="53">
        <v>40302.208333333336</v>
      </c>
      <c r="C181" s="81">
        <v>40302.208333333336</v>
      </c>
      <c r="D181" s="80">
        <v>40302.227083333397</v>
      </c>
      <c r="E181" s="115" t="s">
        <v>1098</v>
      </c>
      <c r="F181" s="52" t="s">
        <v>1103</v>
      </c>
      <c r="G181" s="52"/>
      <c r="H181" s="52"/>
      <c r="I181" s="52"/>
      <c r="J181" s="115" t="s">
        <v>1559</v>
      </c>
      <c r="K181" s="52"/>
      <c r="L181" s="116" t="s">
        <v>1039</v>
      </c>
      <c r="M181" s="52"/>
      <c r="N181" s="52"/>
      <c r="O181" s="52"/>
      <c r="P181" s="52"/>
      <c r="Q181" s="60" t="s">
        <v>891</v>
      </c>
    </row>
    <row r="182" spans="1:17" s="60" customFormat="1" ht="36">
      <c r="A182" s="52"/>
      <c r="B182" s="53">
        <v>40302.208333333336</v>
      </c>
      <c r="C182" s="81">
        <v>40302.208333333336</v>
      </c>
      <c r="D182" s="80">
        <v>40302.227777777844</v>
      </c>
      <c r="E182" s="115" t="s">
        <v>1098</v>
      </c>
      <c r="F182" s="52" t="s">
        <v>1103</v>
      </c>
      <c r="G182" s="52"/>
      <c r="H182" s="52"/>
      <c r="I182" s="52"/>
      <c r="J182" s="115" t="s">
        <v>1559</v>
      </c>
      <c r="K182" s="52"/>
      <c r="L182" s="116" t="s">
        <v>990</v>
      </c>
      <c r="M182" s="52"/>
      <c r="N182" s="52"/>
      <c r="O182" s="52"/>
      <c r="P182" s="52"/>
      <c r="Q182" s="60" t="s">
        <v>891</v>
      </c>
    </row>
    <row r="183" spans="1:17" s="60" customFormat="1" ht="36">
      <c r="A183" s="52"/>
      <c r="B183" s="53"/>
      <c r="C183" s="54"/>
      <c r="D183" s="61">
        <v>40302.291666666664</v>
      </c>
      <c r="E183" s="52"/>
      <c r="F183" s="52" t="s">
        <v>1188</v>
      </c>
      <c r="G183" s="52" t="s">
        <v>1165</v>
      </c>
      <c r="H183" s="52"/>
      <c r="I183" s="52" t="s">
        <v>668</v>
      </c>
      <c r="J183" s="52"/>
      <c r="K183" s="52"/>
      <c r="L183" s="95"/>
      <c r="M183" s="52"/>
      <c r="N183" s="52"/>
      <c r="O183" s="52" t="s">
        <v>1457</v>
      </c>
      <c r="P183" s="52"/>
      <c r="Q183" s="60" t="s">
        <v>427</v>
      </c>
    </row>
    <row r="184" spans="1:17" s="60" customFormat="1" ht="48">
      <c r="A184" s="52"/>
      <c r="B184" s="53">
        <v>40302.354166666664</v>
      </c>
      <c r="C184" s="54">
        <v>40302.354166666664</v>
      </c>
      <c r="D184" s="61">
        <v>40302.354166666664</v>
      </c>
      <c r="E184" s="52" t="s">
        <v>1530</v>
      </c>
      <c r="F184" s="52" t="s">
        <v>1188</v>
      </c>
      <c r="G184" s="62" t="s">
        <v>585</v>
      </c>
      <c r="H184" s="52" t="s">
        <v>585</v>
      </c>
      <c r="I184" s="62" t="s">
        <v>802</v>
      </c>
      <c r="J184" s="52" t="s">
        <v>797</v>
      </c>
      <c r="K184" s="62"/>
      <c r="L184" s="95" t="s">
        <v>806</v>
      </c>
      <c r="M184" s="62"/>
      <c r="N184" s="52"/>
      <c r="O184" s="52" t="s">
        <v>1441</v>
      </c>
      <c r="P184" s="52"/>
      <c r="Q184" s="60" t="s">
        <v>891</v>
      </c>
    </row>
    <row r="185" spans="1:17" s="101" customFormat="1" ht="24">
      <c r="B185" s="102"/>
      <c r="C185" s="103"/>
      <c r="D185" s="106">
        <v>40302.354861111111</v>
      </c>
      <c r="E185" s="101" t="s">
        <v>1576</v>
      </c>
      <c r="F185" s="101" t="s">
        <v>425</v>
      </c>
      <c r="H185" s="101" t="s">
        <v>1293</v>
      </c>
      <c r="J185" s="101" t="s">
        <v>1288</v>
      </c>
      <c r="L185" s="107"/>
      <c r="O185" s="101" t="s">
        <v>1288</v>
      </c>
      <c r="Q185" s="101" t="s">
        <v>1294</v>
      </c>
    </row>
    <row r="186" spans="1:17" s="60" customFormat="1" ht="36">
      <c r="A186" s="52"/>
      <c r="B186" s="53"/>
      <c r="C186" s="54"/>
      <c r="D186" s="80">
        <v>40302.375</v>
      </c>
      <c r="E186" s="52" t="s">
        <v>1098</v>
      </c>
      <c r="F186" s="52" t="s">
        <v>394</v>
      </c>
      <c r="G186" s="62" t="s">
        <v>678</v>
      </c>
      <c r="H186" s="52" t="s">
        <v>672</v>
      </c>
      <c r="I186" s="62" t="s">
        <v>680</v>
      </c>
      <c r="J186" s="52"/>
      <c r="K186" s="62"/>
      <c r="L186" s="52" t="s">
        <v>1459</v>
      </c>
      <c r="M186" s="62"/>
      <c r="N186" s="52"/>
      <c r="O186" s="52"/>
      <c r="P186" s="52" t="s">
        <v>627</v>
      </c>
      <c r="Q186" s="60" t="s">
        <v>657</v>
      </c>
    </row>
    <row r="187" spans="1:17" s="60" customFormat="1" ht="24">
      <c r="A187" s="52"/>
      <c r="B187" s="53">
        <v>40302</v>
      </c>
      <c r="C187" s="63">
        <v>0.375</v>
      </c>
      <c r="D187" s="68">
        <v>40303.376388888886</v>
      </c>
      <c r="E187" s="52" t="s">
        <v>1098</v>
      </c>
      <c r="F187" s="64" t="s">
        <v>394</v>
      </c>
      <c r="G187" s="64" t="s">
        <v>614</v>
      </c>
      <c r="H187" s="52" t="s">
        <v>615</v>
      </c>
      <c r="I187" s="52" t="s">
        <v>616</v>
      </c>
      <c r="J187" s="52" t="s">
        <v>1546</v>
      </c>
      <c r="K187" s="52"/>
      <c r="L187" s="52" t="s">
        <v>613</v>
      </c>
      <c r="M187" s="52" t="s">
        <v>617</v>
      </c>
      <c r="N187" s="52"/>
      <c r="O187" s="52" t="s">
        <v>618</v>
      </c>
      <c r="P187" s="52"/>
      <c r="Q187" s="60" t="s">
        <v>619</v>
      </c>
    </row>
    <row r="188" spans="1:17" s="60" customFormat="1" ht="84">
      <c r="A188" s="52"/>
      <c r="B188" s="53">
        <v>40302.395833333336</v>
      </c>
      <c r="C188" s="54">
        <v>0.39583333333333331</v>
      </c>
      <c r="D188" s="61">
        <v>40302.395833333336</v>
      </c>
      <c r="E188" s="52" t="s">
        <v>1577</v>
      </c>
      <c r="F188" s="52" t="s">
        <v>1269</v>
      </c>
      <c r="G188" s="52" t="s">
        <v>1270</v>
      </c>
      <c r="H188" s="52" t="s">
        <v>795</v>
      </c>
      <c r="I188" s="52" t="s">
        <v>1159</v>
      </c>
      <c r="J188" s="52" t="s">
        <v>1235</v>
      </c>
      <c r="K188" s="52"/>
      <c r="L188" s="95" t="s">
        <v>1268</v>
      </c>
      <c r="M188" s="52" t="s">
        <v>1236</v>
      </c>
      <c r="N188" s="52" t="s">
        <v>1428</v>
      </c>
      <c r="O188" s="52" t="s">
        <v>1429</v>
      </c>
      <c r="P188" s="52"/>
      <c r="Q188" s="60" t="s">
        <v>891</v>
      </c>
    </row>
    <row r="189" spans="1:17" s="60" customFormat="1" ht="84">
      <c r="A189" s="52"/>
      <c r="B189" s="53">
        <v>40302.395833333336</v>
      </c>
      <c r="C189" s="54">
        <v>0.40625</v>
      </c>
      <c r="D189" s="61">
        <v>40302.40625</v>
      </c>
      <c r="E189" s="52" t="s">
        <v>1526</v>
      </c>
      <c r="F189" s="52" t="s">
        <v>1240</v>
      </c>
      <c r="G189" s="52" t="s">
        <v>801</v>
      </c>
      <c r="H189" s="52" t="s">
        <v>801</v>
      </c>
      <c r="I189" s="52" t="s">
        <v>1241</v>
      </c>
      <c r="J189" s="52" t="s">
        <v>1235</v>
      </c>
      <c r="K189" s="52"/>
      <c r="L189" s="95" t="s">
        <v>1239</v>
      </c>
      <c r="M189" s="52" t="s">
        <v>1242</v>
      </c>
      <c r="N189" s="52" t="s">
        <v>1428</v>
      </c>
      <c r="O189" s="52" t="s">
        <v>1430</v>
      </c>
      <c r="P189" s="52"/>
      <c r="Q189" s="60" t="s">
        <v>891</v>
      </c>
    </row>
    <row r="190" spans="1:17" s="60" customFormat="1" ht="120">
      <c r="A190" s="52"/>
      <c r="B190" s="53">
        <v>40302</v>
      </c>
      <c r="C190" s="54">
        <v>40302.416666666664</v>
      </c>
      <c r="D190" s="61">
        <v>40302.416666666664</v>
      </c>
      <c r="E190" s="52" t="s">
        <v>1098</v>
      </c>
      <c r="F190" s="52" t="s">
        <v>425</v>
      </c>
      <c r="G190" s="62" t="s">
        <v>429</v>
      </c>
      <c r="H190" s="52"/>
      <c r="I190" s="62" t="s">
        <v>426</v>
      </c>
      <c r="J190" s="52" t="s">
        <v>383</v>
      </c>
      <c r="K190" s="62" t="s">
        <v>423</v>
      </c>
      <c r="L190" s="52" t="s">
        <v>383</v>
      </c>
      <c r="M190" s="62"/>
      <c r="N190" s="52"/>
      <c r="O190" s="52" t="s">
        <v>1431</v>
      </c>
      <c r="P190" s="52"/>
      <c r="Q190" s="60" t="s">
        <v>427</v>
      </c>
    </row>
    <row r="191" spans="1:17" s="108" customFormat="1">
      <c r="B191" s="109"/>
      <c r="C191" s="110"/>
      <c r="D191" s="111">
        <v>40302.417361111111</v>
      </c>
      <c r="F191" s="108" t="s">
        <v>425</v>
      </c>
      <c r="H191" s="108" t="s">
        <v>1293</v>
      </c>
      <c r="J191" s="108" t="s">
        <v>1284</v>
      </c>
      <c r="L191" s="112"/>
      <c r="O191" s="108" t="s">
        <v>1284</v>
      </c>
      <c r="Q191" s="108" t="s">
        <v>1294</v>
      </c>
    </row>
    <row r="192" spans="1:17" s="108" customFormat="1" ht="24">
      <c r="B192" s="109"/>
      <c r="C192" s="110"/>
      <c r="D192" s="111">
        <v>40302.4375</v>
      </c>
      <c r="E192" s="108" t="s">
        <v>430</v>
      </c>
      <c r="F192" s="108" t="s">
        <v>425</v>
      </c>
      <c r="H192" s="108" t="s">
        <v>1293</v>
      </c>
      <c r="L192" s="108" t="s">
        <v>1289</v>
      </c>
      <c r="O192" s="108" t="s">
        <v>1289</v>
      </c>
      <c r="Q192" s="108" t="s">
        <v>1294</v>
      </c>
    </row>
    <row r="193" spans="1:17" s="60" customFormat="1" ht="84">
      <c r="A193" s="52"/>
      <c r="B193" s="53">
        <v>40302.395833333336</v>
      </c>
      <c r="C193" s="54">
        <v>0.44791666666666669</v>
      </c>
      <c r="D193" s="61">
        <v>40302.447916666664</v>
      </c>
      <c r="E193" s="52" t="s">
        <v>1577</v>
      </c>
      <c r="F193" s="52" t="s">
        <v>1188</v>
      </c>
      <c r="G193" s="52" t="s">
        <v>1245</v>
      </c>
      <c r="H193" s="52" t="s">
        <v>1188</v>
      </c>
      <c r="I193" s="52" t="s">
        <v>802</v>
      </c>
      <c r="J193" s="52" t="s">
        <v>1235</v>
      </c>
      <c r="K193" s="52"/>
      <c r="L193" s="95" t="s">
        <v>1244</v>
      </c>
      <c r="M193" s="52" t="s">
        <v>1242</v>
      </c>
      <c r="N193" s="52" t="s">
        <v>1428</v>
      </c>
      <c r="O193" s="52" t="s">
        <v>1432</v>
      </c>
      <c r="P193" s="52"/>
      <c r="Q193" s="60" t="s">
        <v>891</v>
      </c>
    </row>
    <row r="194" spans="1:17" s="60" customFormat="1" ht="24">
      <c r="A194" s="52"/>
      <c r="B194" s="53"/>
      <c r="C194" s="54"/>
      <c r="D194" s="68">
        <v>40301.916666666664</v>
      </c>
      <c r="E194" s="52" t="s">
        <v>1489</v>
      </c>
      <c r="F194" s="52" t="s">
        <v>425</v>
      </c>
      <c r="G194" s="62"/>
      <c r="H194" s="52"/>
      <c r="I194" s="62"/>
      <c r="J194" s="52" t="s">
        <v>1547</v>
      </c>
      <c r="K194" s="62"/>
      <c r="L194" s="65" t="s">
        <v>1157</v>
      </c>
      <c r="M194" s="62"/>
      <c r="N194" s="52"/>
      <c r="O194" s="65" t="s">
        <v>1157</v>
      </c>
      <c r="P194" s="52"/>
      <c r="Q194" s="60" t="s">
        <v>427</v>
      </c>
    </row>
    <row r="195" spans="1:17" s="60" customFormat="1" ht="24">
      <c r="A195" s="52"/>
      <c r="B195" s="53">
        <v>40302</v>
      </c>
      <c r="C195" s="63">
        <v>0.45833333333333331</v>
      </c>
      <c r="D195" s="68">
        <v>40302.459027777775</v>
      </c>
      <c r="E195" s="52" t="s">
        <v>1098</v>
      </c>
      <c r="F195" s="64" t="s">
        <v>394</v>
      </c>
      <c r="G195" s="64" t="s">
        <v>620</v>
      </c>
      <c r="H195" s="52" t="s">
        <v>615</v>
      </c>
      <c r="I195" s="52" t="s">
        <v>616</v>
      </c>
      <c r="J195" s="52" t="s">
        <v>1546</v>
      </c>
      <c r="K195" s="52"/>
      <c r="L195" s="95" t="s">
        <v>1548</v>
      </c>
      <c r="M195" s="52" t="s">
        <v>622</v>
      </c>
      <c r="N195" s="52"/>
      <c r="O195" s="52" t="s">
        <v>621</v>
      </c>
      <c r="P195" s="52"/>
      <c r="Q195" s="60" t="s">
        <v>597</v>
      </c>
    </row>
    <row r="196" spans="1:17" s="60" customFormat="1" ht="36">
      <c r="A196" s="52"/>
      <c r="B196" s="53"/>
      <c r="C196" s="54"/>
      <c r="D196" s="80">
        <v>40302.459722222222</v>
      </c>
      <c r="E196" s="52" t="s">
        <v>430</v>
      </c>
      <c r="F196" s="52" t="s">
        <v>425</v>
      </c>
      <c r="G196" s="52"/>
      <c r="H196" s="52" t="s">
        <v>1293</v>
      </c>
      <c r="I196" s="52"/>
      <c r="K196" s="52"/>
      <c r="L196" s="60" t="s">
        <v>1285</v>
      </c>
      <c r="M196" s="52"/>
      <c r="N196" s="52"/>
      <c r="O196" s="60" t="s">
        <v>1285</v>
      </c>
      <c r="P196" s="52"/>
      <c r="Q196" s="60" t="s">
        <v>1294</v>
      </c>
    </row>
    <row r="197" spans="1:17" s="60" customFormat="1" ht="24">
      <c r="A197" s="52"/>
      <c r="B197" s="53">
        <v>40302</v>
      </c>
      <c r="C197" s="63">
        <v>0.5</v>
      </c>
      <c r="D197" s="55">
        <v>40302.5</v>
      </c>
      <c r="E197" s="52" t="s">
        <v>430</v>
      </c>
      <c r="F197" s="64" t="s">
        <v>425</v>
      </c>
      <c r="G197" s="64" t="s">
        <v>431</v>
      </c>
      <c r="H197" s="52" t="s">
        <v>432</v>
      </c>
      <c r="I197" s="52" t="s">
        <v>433</v>
      </c>
      <c r="J197" s="52"/>
      <c r="K197" s="52"/>
      <c r="L197" s="95" t="s">
        <v>434</v>
      </c>
      <c r="M197" s="52" t="s">
        <v>435</v>
      </c>
      <c r="N197" s="52"/>
      <c r="O197" s="52" t="s">
        <v>436</v>
      </c>
      <c r="P197" s="52"/>
      <c r="Q197" s="60" t="s">
        <v>437</v>
      </c>
    </row>
    <row r="198" spans="1:17" s="60" customFormat="1" ht="36">
      <c r="A198" s="52"/>
      <c r="B198" s="53">
        <v>40302</v>
      </c>
      <c r="C198" s="63">
        <v>0.54166666666666663</v>
      </c>
      <c r="D198" s="55">
        <v>40302.541666666664</v>
      </c>
      <c r="E198" s="52" t="s">
        <v>430</v>
      </c>
      <c r="F198" s="52" t="s">
        <v>425</v>
      </c>
      <c r="G198" s="64"/>
      <c r="H198" s="52"/>
      <c r="I198" s="52" t="s">
        <v>1342</v>
      </c>
      <c r="J198" s="60" t="s">
        <v>1335</v>
      </c>
      <c r="K198" s="52"/>
      <c r="L198" s="95" t="s">
        <v>1340</v>
      </c>
      <c r="M198" s="52"/>
      <c r="N198" s="52"/>
      <c r="O198" s="60" t="s">
        <v>1335</v>
      </c>
      <c r="P198" s="52"/>
      <c r="Q198" s="60" t="s">
        <v>1341</v>
      </c>
    </row>
    <row r="199" spans="1:17" s="60" customFormat="1" ht="84">
      <c r="A199" s="52"/>
      <c r="B199" s="53">
        <v>40302.395833333336</v>
      </c>
      <c r="C199" s="54">
        <v>0.54166666666666663</v>
      </c>
      <c r="D199" s="80">
        <v>40302.542361111111</v>
      </c>
      <c r="E199" s="52" t="s">
        <v>1526</v>
      </c>
      <c r="F199" s="52" t="s">
        <v>1269</v>
      </c>
      <c r="G199" s="52" t="s">
        <v>1245</v>
      </c>
      <c r="H199" s="52" t="s">
        <v>394</v>
      </c>
      <c r="I199" s="52" t="s">
        <v>802</v>
      </c>
      <c r="J199" s="52" t="s">
        <v>1235</v>
      </c>
      <c r="K199" s="52"/>
      <c r="L199" s="95" t="s">
        <v>1233</v>
      </c>
      <c r="M199" s="52" t="s">
        <v>1242</v>
      </c>
      <c r="N199" s="52" t="s">
        <v>1428</v>
      </c>
      <c r="O199" s="52" t="s">
        <v>1433</v>
      </c>
      <c r="P199" s="52"/>
      <c r="Q199" s="60" t="s">
        <v>891</v>
      </c>
    </row>
    <row r="200" spans="1:17" s="60" customFormat="1" ht="36">
      <c r="A200" s="52"/>
      <c r="B200" s="53"/>
      <c r="C200" s="54"/>
      <c r="D200" s="80">
        <v>40302.543055555558</v>
      </c>
      <c r="E200" s="52" t="s">
        <v>1098</v>
      </c>
      <c r="F200" s="52" t="s">
        <v>425</v>
      </c>
      <c r="G200" s="52"/>
      <c r="H200" s="52" t="s">
        <v>1293</v>
      </c>
      <c r="I200" s="52"/>
      <c r="K200" s="52"/>
      <c r="L200" s="60" t="s">
        <v>1287</v>
      </c>
      <c r="M200" s="52"/>
      <c r="N200" s="52"/>
      <c r="O200" s="60" t="s">
        <v>1287</v>
      </c>
      <c r="P200" s="52"/>
      <c r="Q200" s="60" t="s">
        <v>1294</v>
      </c>
    </row>
    <row r="201" spans="1:17" s="101" customFormat="1" ht="48">
      <c r="B201" s="102">
        <v>40302</v>
      </c>
      <c r="C201" s="113">
        <v>0.5625</v>
      </c>
      <c r="D201" s="104">
        <v>40302.5625</v>
      </c>
      <c r="E201" s="101" t="s">
        <v>1098</v>
      </c>
      <c r="F201" s="101" t="s">
        <v>425</v>
      </c>
      <c r="G201" s="114"/>
      <c r="I201" s="101" t="s">
        <v>1342</v>
      </c>
      <c r="L201" s="101" t="s">
        <v>1336</v>
      </c>
      <c r="O201" s="101" t="s">
        <v>1336</v>
      </c>
      <c r="Q201" s="101" t="s">
        <v>1341</v>
      </c>
    </row>
    <row r="202" spans="1:17" s="60" customFormat="1" ht="96">
      <c r="A202" s="52"/>
      <c r="B202" s="53">
        <v>40302.395833333336</v>
      </c>
      <c r="C202" s="54">
        <v>0.58333333333333337</v>
      </c>
      <c r="D202" s="61">
        <v>40302.583333333336</v>
      </c>
      <c r="E202" s="52" t="s">
        <v>1577</v>
      </c>
      <c r="F202" s="52" t="s">
        <v>1188</v>
      </c>
      <c r="G202" s="52" t="s">
        <v>1245</v>
      </c>
      <c r="H202" s="52" t="s">
        <v>1188</v>
      </c>
      <c r="I202" s="52" t="s">
        <v>802</v>
      </c>
      <c r="J202" s="52" t="s">
        <v>1235</v>
      </c>
      <c r="K202" s="52"/>
      <c r="L202" s="95" t="s">
        <v>1244</v>
      </c>
      <c r="M202" s="52" t="s">
        <v>1242</v>
      </c>
      <c r="N202" s="52" t="s">
        <v>1434</v>
      </c>
      <c r="O202" s="52" t="s">
        <v>1421</v>
      </c>
      <c r="P202" s="52"/>
      <c r="Q202" s="60" t="s">
        <v>891</v>
      </c>
    </row>
    <row r="203" spans="1:17" s="60" customFormat="1" ht="24">
      <c r="A203" s="52"/>
      <c r="B203" s="53">
        <v>40302</v>
      </c>
      <c r="C203" s="63">
        <v>0.58333333333333337</v>
      </c>
      <c r="D203" s="55">
        <v>40302.584027777775</v>
      </c>
      <c r="E203" s="52" t="s">
        <v>430</v>
      </c>
      <c r="F203" s="52" t="s">
        <v>425</v>
      </c>
      <c r="G203" s="64"/>
      <c r="H203" s="52"/>
      <c r="I203" s="52" t="s">
        <v>1342</v>
      </c>
      <c r="J203" s="60" t="s">
        <v>1337</v>
      </c>
      <c r="K203" s="52"/>
      <c r="L203" s="95" t="s">
        <v>1340</v>
      </c>
      <c r="M203" s="52"/>
      <c r="N203" s="52"/>
      <c r="O203" s="60" t="s">
        <v>1337</v>
      </c>
      <c r="P203" s="52"/>
      <c r="Q203" s="60" t="s">
        <v>1341</v>
      </c>
    </row>
    <row r="204" spans="1:17" s="60" customFormat="1" ht="48">
      <c r="A204" s="52"/>
      <c r="B204" s="53"/>
      <c r="C204" s="54"/>
      <c r="D204" s="61">
        <v>40302.625</v>
      </c>
      <c r="E204" s="60" t="s">
        <v>430</v>
      </c>
      <c r="F204" s="52" t="s">
        <v>1211</v>
      </c>
      <c r="G204" s="52"/>
      <c r="H204" s="52"/>
      <c r="I204" s="52" t="s">
        <v>1349</v>
      </c>
      <c r="J204" s="52" t="s">
        <v>1549</v>
      </c>
      <c r="K204" s="52"/>
      <c r="L204" s="97" t="s">
        <v>1212</v>
      </c>
      <c r="M204" s="60" t="s">
        <v>1213</v>
      </c>
      <c r="N204" s="52"/>
      <c r="O204" s="60" t="s">
        <v>1422</v>
      </c>
      <c r="P204" s="52"/>
      <c r="Q204" s="60" t="s">
        <v>1314</v>
      </c>
    </row>
    <row r="205" spans="1:17" s="60" customFormat="1" ht="24">
      <c r="A205" s="52"/>
      <c r="B205" s="53">
        <v>40302</v>
      </c>
      <c r="C205" s="63">
        <v>0.625</v>
      </c>
      <c r="D205" s="55">
        <v>40302.625694444447</v>
      </c>
      <c r="E205" s="52" t="s">
        <v>1576</v>
      </c>
      <c r="F205" s="52" t="s">
        <v>425</v>
      </c>
      <c r="G205" s="64"/>
      <c r="H205" s="52"/>
      <c r="I205" s="52" t="s">
        <v>1342</v>
      </c>
      <c r="K205" s="52"/>
      <c r="L205" s="60" t="s">
        <v>1338</v>
      </c>
      <c r="M205" s="52"/>
      <c r="N205" s="52"/>
      <c r="O205" s="60" t="s">
        <v>1338</v>
      </c>
      <c r="P205" s="52"/>
      <c r="Q205" s="60" t="s">
        <v>1341</v>
      </c>
    </row>
    <row r="206" spans="1:17" s="60" customFormat="1" ht="48">
      <c r="A206" s="52"/>
      <c r="B206" s="53"/>
      <c r="C206" s="54"/>
      <c r="D206" s="55">
        <v>40302.635416666664</v>
      </c>
      <c r="E206" s="52" t="s">
        <v>1098</v>
      </c>
      <c r="F206" s="52" t="s">
        <v>394</v>
      </c>
      <c r="G206" s="52" t="s">
        <v>1299</v>
      </c>
      <c r="H206" s="52" t="s">
        <v>1300</v>
      </c>
      <c r="I206" s="52" t="s">
        <v>668</v>
      </c>
      <c r="J206" s="65"/>
      <c r="K206" s="52"/>
      <c r="L206" s="65" t="s">
        <v>1216</v>
      </c>
      <c r="M206" s="52"/>
      <c r="N206" s="52"/>
      <c r="O206" s="65" t="s">
        <v>1423</v>
      </c>
      <c r="P206" s="52" t="s">
        <v>1218</v>
      </c>
      <c r="Q206" s="60" t="s">
        <v>1298</v>
      </c>
    </row>
    <row r="207" spans="1:17" s="60" customFormat="1" ht="24">
      <c r="A207" s="52"/>
      <c r="B207" s="53">
        <v>40302</v>
      </c>
      <c r="C207" s="63">
        <v>0.64583333333333337</v>
      </c>
      <c r="D207" s="55">
        <v>40302.645833333336</v>
      </c>
      <c r="E207" s="52" t="s">
        <v>430</v>
      </c>
      <c r="F207" s="52" t="s">
        <v>425</v>
      </c>
      <c r="G207" s="64"/>
      <c r="H207" s="52"/>
      <c r="I207" s="52" t="s">
        <v>1342</v>
      </c>
      <c r="J207" s="83"/>
      <c r="K207" s="52"/>
      <c r="L207" s="83" t="s">
        <v>1339</v>
      </c>
      <c r="M207" s="52"/>
      <c r="N207" s="52"/>
      <c r="O207" s="83" t="s">
        <v>1339</v>
      </c>
      <c r="P207" s="52"/>
      <c r="Q207" s="60" t="s">
        <v>1341</v>
      </c>
    </row>
    <row r="208" spans="1:17" s="60" customFormat="1" ht="36">
      <c r="A208" s="52"/>
      <c r="B208" s="53"/>
      <c r="C208" s="54"/>
      <c r="D208" s="74">
        <v>40302.666666666664</v>
      </c>
      <c r="E208" s="52" t="s">
        <v>1576</v>
      </c>
      <c r="F208" s="52" t="s">
        <v>1188</v>
      </c>
      <c r="G208" s="52" t="s">
        <v>1171</v>
      </c>
      <c r="H208" s="52"/>
      <c r="I208" s="52" t="s">
        <v>593</v>
      </c>
      <c r="J208" s="52"/>
      <c r="K208" s="52"/>
      <c r="L208" s="52" t="s">
        <v>1170</v>
      </c>
      <c r="M208" s="52"/>
      <c r="N208" s="52"/>
      <c r="O208" s="52" t="s">
        <v>1424</v>
      </c>
      <c r="P208" s="52"/>
      <c r="Q208" s="60" t="s">
        <v>427</v>
      </c>
    </row>
    <row r="209" spans="1:17" s="60" customFormat="1" ht="24">
      <c r="A209" s="52"/>
      <c r="B209" s="53"/>
      <c r="C209" s="54"/>
      <c r="D209" s="74">
        <v>40302.667361111111</v>
      </c>
      <c r="E209" s="52" t="s">
        <v>1098</v>
      </c>
      <c r="F209" s="52" t="s">
        <v>1188</v>
      </c>
      <c r="G209" s="52" t="s">
        <v>585</v>
      </c>
      <c r="H209" s="52"/>
      <c r="I209" s="52" t="s">
        <v>668</v>
      </c>
      <c r="J209" s="52"/>
      <c r="K209" s="52"/>
      <c r="L209" s="52" t="s">
        <v>1187</v>
      </c>
      <c r="M209" s="52"/>
      <c r="N209" s="52"/>
      <c r="O209" s="52" t="s">
        <v>1187</v>
      </c>
      <c r="P209" s="52"/>
      <c r="Q209" s="60" t="s">
        <v>427</v>
      </c>
    </row>
    <row r="210" spans="1:17" s="60" customFormat="1" ht="24">
      <c r="A210" s="52"/>
      <c r="B210" s="53"/>
      <c r="C210" s="54"/>
      <c r="D210" s="74">
        <v>40302.670138888891</v>
      </c>
      <c r="E210" s="62" t="s">
        <v>1161</v>
      </c>
      <c r="F210" s="52" t="s">
        <v>1188</v>
      </c>
      <c r="G210" s="62" t="s">
        <v>593</v>
      </c>
      <c r="H210" s="52"/>
      <c r="I210" s="62" t="s">
        <v>668</v>
      </c>
      <c r="J210" s="52"/>
      <c r="K210" s="52"/>
      <c r="L210" s="62" t="s">
        <v>1462</v>
      </c>
      <c r="M210" s="52"/>
      <c r="N210" s="52"/>
      <c r="O210" s="62" t="s">
        <v>1167</v>
      </c>
      <c r="P210" s="52"/>
      <c r="Q210" s="60" t="s">
        <v>427</v>
      </c>
    </row>
    <row r="211" spans="1:17" s="60" customFormat="1" ht="48">
      <c r="A211" s="52"/>
      <c r="B211" s="53"/>
      <c r="C211" s="54"/>
      <c r="D211" s="74">
        <v>40304.333333333336</v>
      </c>
      <c r="E211" s="52" t="s">
        <v>1098</v>
      </c>
      <c r="F211" s="52" t="s">
        <v>1188</v>
      </c>
      <c r="G211" s="52" t="s">
        <v>593</v>
      </c>
      <c r="H211" s="52"/>
      <c r="I211" s="52" t="s">
        <v>1134</v>
      </c>
      <c r="J211" s="52"/>
      <c r="K211" s="52"/>
      <c r="L211" s="52" t="s">
        <v>1133</v>
      </c>
      <c r="M211" s="52"/>
      <c r="N211" s="52"/>
      <c r="O211" s="52" t="s">
        <v>1425</v>
      </c>
      <c r="P211" s="52"/>
      <c r="Q211" s="60" t="s">
        <v>427</v>
      </c>
    </row>
    <row r="212" spans="1:17" s="60" customFormat="1" ht="24">
      <c r="A212" s="52"/>
      <c r="B212" s="53"/>
      <c r="C212" s="54"/>
      <c r="D212" s="74">
        <v>40302.671527777777</v>
      </c>
      <c r="E212" s="52" t="s">
        <v>1098</v>
      </c>
      <c r="F212" s="52" t="s">
        <v>1188</v>
      </c>
      <c r="G212" s="52" t="s">
        <v>1160</v>
      </c>
      <c r="H212" s="52"/>
      <c r="I212" s="52" t="s">
        <v>593</v>
      </c>
      <c r="J212" s="52"/>
      <c r="K212" s="52"/>
      <c r="L212" s="52" t="s">
        <v>1189</v>
      </c>
      <c r="M212" s="52"/>
      <c r="N212" s="52"/>
      <c r="O212" s="52" t="s">
        <v>890</v>
      </c>
      <c r="P212" s="52"/>
      <c r="Q212" s="60" t="s">
        <v>427</v>
      </c>
    </row>
    <row r="213" spans="1:17" s="60" customFormat="1" ht="24">
      <c r="A213" s="52"/>
      <c r="B213" s="53">
        <v>40302</v>
      </c>
      <c r="C213" s="54">
        <v>40302.666666666664</v>
      </c>
      <c r="D213" s="61">
        <v>40302.672222222223</v>
      </c>
      <c r="E213" s="52" t="s">
        <v>1098</v>
      </c>
      <c r="F213" s="52" t="s">
        <v>425</v>
      </c>
      <c r="G213" s="62" t="s">
        <v>429</v>
      </c>
      <c r="H213" s="52"/>
      <c r="I213" s="62" t="s">
        <v>426</v>
      </c>
      <c r="J213" s="52" t="s">
        <v>384</v>
      </c>
      <c r="K213" s="62" t="s">
        <v>423</v>
      </c>
      <c r="L213" s="95" t="s">
        <v>384</v>
      </c>
      <c r="M213" s="62"/>
      <c r="N213" s="52"/>
      <c r="P213" s="52"/>
      <c r="Q213" s="60" t="s">
        <v>427</v>
      </c>
    </row>
    <row r="214" spans="1:17" s="60" customFormat="1">
      <c r="B214" s="53"/>
      <c r="C214" s="54"/>
      <c r="D214" s="68">
        <v>40302.67291666667</v>
      </c>
      <c r="E214" s="52"/>
      <c r="F214" s="52" t="s">
        <v>425</v>
      </c>
      <c r="G214" s="62" t="s">
        <v>1159</v>
      </c>
      <c r="H214" s="52"/>
      <c r="I214" s="62" t="s">
        <v>426</v>
      </c>
      <c r="K214" s="62"/>
      <c r="L214" s="95"/>
      <c r="M214" s="62"/>
      <c r="N214" s="52"/>
      <c r="P214" s="52"/>
      <c r="Q214" s="60" t="s">
        <v>427</v>
      </c>
    </row>
    <row r="215" spans="1:17" s="60" customFormat="1" ht="36">
      <c r="A215" s="52"/>
      <c r="B215" s="53">
        <v>40302.708333333336</v>
      </c>
      <c r="C215" s="81">
        <v>40302.708333333336</v>
      </c>
      <c r="D215" s="80">
        <v>40302.708333333336</v>
      </c>
      <c r="E215" s="115" t="s">
        <v>1098</v>
      </c>
      <c r="F215" s="52" t="s">
        <v>1103</v>
      </c>
      <c r="G215" s="52"/>
      <c r="H215" s="52"/>
      <c r="I215" s="52"/>
      <c r="J215" s="115" t="s">
        <v>1559</v>
      </c>
      <c r="K215" s="52"/>
      <c r="L215" s="116" t="s">
        <v>992</v>
      </c>
      <c r="M215" s="52"/>
      <c r="N215" s="52"/>
      <c r="O215" s="52"/>
      <c r="P215" s="52"/>
      <c r="Q215" s="60" t="s">
        <v>891</v>
      </c>
    </row>
    <row r="216" spans="1:17" s="60" customFormat="1" ht="36">
      <c r="A216" s="52"/>
      <c r="B216" s="53">
        <v>40302.708333333336</v>
      </c>
      <c r="C216" s="81">
        <v>40302.708333333336</v>
      </c>
      <c r="D216" s="80">
        <f t="shared" ref="D216:D223" si="0">D215+(1/24)/60</f>
        <v>40302.709027777782</v>
      </c>
      <c r="E216" s="115" t="s">
        <v>1098</v>
      </c>
      <c r="F216" s="52" t="s">
        <v>1103</v>
      </c>
      <c r="G216" s="52"/>
      <c r="H216" s="52"/>
      <c r="I216" s="52"/>
      <c r="J216" s="115" t="s">
        <v>1559</v>
      </c>
      <c r="K216" s="52"/>
      <c r="L216" s="116" t="s">
        <v>993</v>
      </c>
      <c r="M216" s="52"/>
      <c r="N216" s="52"/>
      <c r="O216" s="52"/>
      <c r="P216" s="52"/>
      <c r="Q216" s="60" t="s">
        <v>891</v>
      </c>
    </row>
    <row r="217" spans="1:17" s="60" customFormat="1" ht="48">
      <c r="A217" s="52"/>
      <c r="B217" s="53">
        <v>40302.708333333336</v>
      </c>
      <c r="C217" s="81">
        <v>40302.708333333336</v>
      </c>
      <c r="D217" s="80">
        <f t="shared" si="0"/>
        <v>40302.709722222229</v>
      </c>
      <c r="E217" s="115" t="s">
        <v>1098</v>
      </c>
      <c r="F217" s="52" t="s">
        <v>1103</v>
      </c>
      <c r="G217" s="52"/>
      <c r="H217" s="52"/>
      <c r="I217" s="52"/>
      <c r="J217" s="115" t="s">
        <v>1559</v>
      </c>
      <c r="K217" s="52"/>
      <c r="L217" s="116" t="s">
        <v>994</v>
      </c>
      <c r="M217" s="52"/>
      <c r="N217" s="52"/>
      <c r="O217" s="52"/>
      <c r="P217" s="52"/>
      <c r="Q217" s="60" t="s">
        <v>891</v>
      </c>
    </row>
    <row r="218" spans="1:17" s="60" customFormat="1" ht="84">
      <c r="A218" s="52"/>
      <c r="B218" s="53">
        <v>40302.395833333336</v>
      </c>
      <c r="C218" s="54">
        <v>0.70833333333333337</v>
      </c>
      <c r="D218" s="80">
        <f t="shared" si="0"/>
        <v>40302.710416666676</v>
      </c>
      <c r="E218" s="52" t="s">
        <v>1527</v>
      </c>
      <c r="F218" s="52" t="s">
        <v>1188</v>
      </c>
      <c r="G218" s="52" t="s">
        <v>1245</v>
      </c>
      <c r="H218" s="52" t="s">
        <v>1188</v>
      </c>
      <c r="I218" s="52" t="s">
        <v>802</v>
      </c>
      <c r="J218" s="52" t="s">
        <v>1235</v>
      </c>
      <c r="K218" s="52"/>
      <c r="L218" s="95" t="s">
        <v>1244</v>
      </c>
      <c r="M218" s="52"/>
      <c r="N218" s="52" t="s">
        <v>1426</v>
      </c>
      <c r="O218" s="52" t="s">
        <v>1427</v>
      </c>
      <c r="P218" s="52" t="s">
        <v>1414</v>
      </c>
      <c r="Q218" s="60" t="s">
        <v>891</v>
      </c>
    </row>
    <row r="219" spans="1:17" s="60" customFormat="1" ht="36">
      <c r="A219" s="52"/>
      <c r="B219" s="53">
        <v>40302.708333333336</v>
      </c>
      <c r="C219" s="81">
        <v>40302.708333333336</v>
      </c>
      <c r="D219" s="80">
        <f t="shared" si="0"/>
        <v>40302.711111111123</v>
      </c>
      <c r="E219" s="115" t="s">
        <v>1098</v>
      </c>
      <c r="F219" s="52" t="s">
        <v>1103</v>
      </c>
      <c r="G219" s="52"/>
      <c r="H219" s="52"/>
      <c r="I219" s="52"/>
      <c r="J219" s="115" t="s">
        <v>1559</v>
      </c>
      <c r="K219" s="52"/>
      <c r="L219" s="116" t="s">
        <v>995</v>
      </c>
      <c r="M219" s="52"/>
      <c r="N219" s="52"/>
      <c r="O219" s="52"/>
      <c r="P219" s="52"/>
      <c r="Q219" s="60" t="s">
        <v>891</v>
      </c>
    </row>
    <row r="220" spans="1:17" s="60" customFormat="1" ht="36">
      <c r="A220" s="52"/>
      <c r="B220" s="53">
        <v>40302.708333333336</v>
      </c>
      <c r="C220" s="81">
        <v>40302.708333333336</v>
      </c>
      <c r="D220" s="80">
        <f t="shared" si="0"/>
        <v>40302.711805555569</v>
      </c>
      <c r="E220" s="115" t="s">
        <v>1098</v>
      </c>
      <c r="F220" s="52" t="s">
        <v>1103</v>
      </c>
      <c r="G220" s="52"/>
      <c r="H220" s="52"/>
      <c r="I220" s="52"/>
      <c r="J220" s="115" t="s">
        <v>1559</v>
      </c>
      <c r="K220" s="52"/>
      <c r="L220" s="116" t="s">
        <v>996</v>
      </c>
      <c r="M220" s="52"/>
      <c r="N220" s="52"/>
      <c r="O220" s="52"/>
      <c r="P220" s="52"/>
      <c r="Q220" s="60" t="s">
        <v>891</v>
      </c>
    </row>
    <row r="221" spans="1:17" s="60" customFormat="1" ht="36">
      <c r="A221" s="52"/>
      <c r="B221" s="53">
        <v>40302.708333333336</v>
      </c>
      <c r="C221" s="81">
        <v>40302.708333333336</v>
      </c>
      <c r="D221" s="80">
        <f t="shared" si="0"/>
        <v>40302.712500000016</v>
      </c>
      <c r="E221" s="115" t="s">
        <v>1098</v>
      </c>
      <c r="F221" s="52" t="s">
        <v>1103</v>
      </c>
      <c r="G221" s="52"/>
      <c r="H221" s="52"/>
      <c r="I221" s="52"/>
      <c r="J221" s="115" t="s">
        <v>1559</v>
      </c>
      <c r="K221" s="52"/>
      <c r="L221" s="116" t="s">
        <v>997</v>
      </c>
      <c r="M221" s="52"/>
      <c r="N221" s="52"/>
      <c r="O221" s="52"/>
      <c r="P221" s="52"/>
      <c r="Q221" s="60" t="s">
        <v>891</v>
      </c>
    </row>
    <row r="222" spans="1:17" s="60" customFormat="1" ht="36">
      <c r="A222" s="52"/>
      <c r="B222" s="53">
        <v>40302.708333333336</v>
      </c>
      <c r="C222" s="81">
        <v>40302.708333333336</v>
      </c>
      <c r="D222" s="80">
        <f t="shared" si="0"/>
        <v>40302.713194444463</v>
      </c>
      <c r="E222" s="115" t="s">
        <v>1098</v>
      </c>
      <c r="F222" s="52" t="s">
        <v>1103</v>
      </c>
      <c r="G222" s="52"/>
      <c r="H222" s="52"/>
      <c r="I222" s="52"/>
      <c r="J222" s="115" t="s">
        <v>1559</v>
      </c>
      <c r="K222" s="52"/>
      <c r="L222" s="116" t="s">
        <v>998</v>
      </c>
      <c r="M222" s="52"/>
      <c r="N222" s="52"/>
      <c r="O222" s="52"/>
      <c r="P222" s="52"/>
      <c r="Q222" s="60" t="s">
        <v>891</v>
      </c>
    </row>
    <row r="223" spans="1:17" s="60" customFormat="1" ht="36">
      <c r="A223" s="52"/>
      <c r="B223" s="53">
        <v>40302.708333333336</v>
      </c>
      <c r="C223" s="81">
        <v>40302.708333333336</v>
      </c>
      <c r="D223" s="80">
        <f t="shared" si="0"/>
        <v>40302.713888888909</v>
      </c>
      <c r="E223" s="115" t="s">
        <v>1098</v>
      </c>
      <c r="F223" s="52" t="s">
        <v>1103</v>
      </c>
      <c r="G223" s="52"/>
      <c r="H223" s="52"/>
      <c r="I223" s="52"/>
      <c r="J223" s="115" t="s">
        <v>1559</v>
      </c>
      <c r="K223" s="52"/>
      <c r="L223" s="116" t="s">
        <v>999</v>
      </c>
      <c r="M223" s="52"/>
      <c r="N223" s="52"/>
      <c r="O223" s="52"/>
      <c r="P223" s="52"/>
      <c r="Q223" s="60" t="s">
        <v>891</v>
      </c>
    </row>
    <row r="224" spans="1:17" s="60" customFormat="1" ht="36">
      <c r="A224" s="52"/>
      <c r="B224" s="53"/>
      <c r="C224" s="54"/>
      <c r="D224" s="55">
        <v>40302.71875</v>
      </c>
      <c r="E224" s="118" t="s">
        <v>1098</v>
      </c>
      <c r="F224" s="118" t="s">
        <v>425</v>
      </c>
      <c r="G224" s="118" t="s">
        <v>1259</v>
      </c>
      <c r="H224" s="52"/>
      <c r="I224" s="118" t="s">
        <v>1262</v>
      </c>
      <c r="J224" s="118"/>
      <c r="K224" s="52"/>
      <c r="L224" s="95" t="s">
        <v>1550</v>
      </c>
      <c r="M224" s="52"/>
      <c r="N224" s="52"/>
      <c r="O224" s="118" t="s">
        <v>1282</v>
      </c>
      <c r="P224" s="52"/>
      <c r="Q224" s="118" t="s">
        <v>1267</v>
      </c>
    </row>
    <row r="225" spans="1:17" s="60" customFormat="1" ht="24">
      <c r="A225" s="52"/>
      <c r="B225" s="53"/>
      <c r="C225" s="54"/>
      <c r="D225" s="55">
        <v>40302.78125</v>
      </c>
      <c r="E225" s="52" t="s">
        <v>430</v>
      </c>
      <c r="F225" s="52" t="s">
        <v>683</v>
      </c>
      <c r="G225" s="62" t="s">
        <v>678</v>
      </c>
      <c r="H225" s="52" t="s">
        <v>628</v>
      </c>
      <c r="I225" s="62" t="s">
        <v>668</v>
      </c>
      <c r="K225" s="62"/>
      <c r="L225" s="52" t="s">
        <v>1497</v>
      </c>
      <c r="M225" s="62"/>
      <c r="N225" s="52"/>
      <c r="O225" s="52" t="s">
        <v>1219</v>
      </c>
      <c r="P225" s="52"/>
      <c r="Q225" s="60" t="s">
        <v>1298</v>
      </c>
    </row>
    <row r="226" spans="1:17" s="60" customFormat="1" ht="36">
      <c r="A226" s="52"/>
      <c r="B226" s="53"/>
      <c r="C226" s="54"/>
      <c r="D226" s="55">
        <v>40302.781944444447</v>
      </c>
      <c r="E226" s="118" t="s">
        <v>430</v>
      </c>
      <c r="F226" s="118" t="s">
        <v>425</v>
      </c>
      <c r="G226" s="118" t="s">
        <v>1260</v>
      </c>
      <c r="H226" s="52"/>
      <c r="I226" s="118" t="s">
        <v>1264</v>
      </c>
      <c r="J226" s="118"/>
      <c r="K226" s="52"/>
      <c r="L226" s="118" t="s">
        <v>1498</v>
      </c>
      <c r="M226" s="52"/>
      <c r="N226" s="52"/>
      <c r="O226" s="118" t="s">
        <v>1248</v>
      </c>
      <c r="P226" s="52"/>
      <c r="Q226" s="118" t="s">
        <v>1267</v>
      </c>
    </row>
    <row r="227" spans="1:17" s="60" customFormat="1" ht="108">
      <c r="A227" s="52"/>
      <c r="B227" s="53">
        <v>40302</v>
      </c>
      <c r="C227" s="54">
        <v>40302.916666666664</v>
      </c>
      <c r="D227" s="61">
        <v>40302.916666666664</v>
      </c>
      <c r="E227" s="52" t="s">
        <v>1098</v>
      </c>
      <c r="F227" s="52" t="s">
        <v>425</v>
      </c>
      <c r="G227" s="62" t="s">
        <v>429</v>
      </c>
      <c r="H227" s="52"/>
      <c r="I227" s="62" t="s">
        <v>426</v>
      </c>
      <c r="J227" s="52" t="s">
        <v>385</v>
      </c>
      <c r="K227" s="62" t="s">
        <v>423</v>
      </c>
      <c r="L227" s="95" t="s">
        <v>385</v>
      </c>
      <c r="M227" s="62"/>
      <c r="N227" s="52"/>
      <c r="O227" s="52" t="s">
        <v>1415</v>
      </c>
      <c r="P227" s="52"/>
      <c r="Q227" s="60" t="s">
        <v>427</v>
      </c>
    </row>
    <row r="228" spans="1:17" s="60" customFormat="1" ht="108">
      <c r="A228" s="52"/>
      <c r="B228" s="53">
        <v>40303</v>
      </c>
      <c r="C228" s="54">
        <v>40303.166666666664</v>
      </c>
      <c r="D228" s="61">
        <v>40303.166666666664</v>
      </c>
      <c r="E228" s="52" t="s">
        <v>1098</v>
      </c>
      <c r="F228" s="52" t="s">
        <v>425</v>
      </c>
      <c r="G228" s="62" t="s">
        <v>429</v>
      </c>
      <c r="H228" s="52"/>
      <c r="I228" s="62" t="s">
        <v>426</v>
      </c>
      <c r="J228" s="52" t="s">
        <v>386</v>
      </c>
      <c r="K228" s="62" t="s">
        <v>423</v>
      </c>
      <c r="L228" s="95" t="s">
        <v>386</v>
      </c>
      <c r="M228" s="62"/>
      <c r="N228" s="52"/>
      <c r="O228" s="52" t="s">
        <v>1416</v>
      </c>
      <c r="P228" s="52"/>
      <c r="Q228" s="60" t="s">
        <v>427</v>
      </c>
    </row>
    <row r="229" spans="1:17" s="60" customFormat="1" ht="36">
      <c r="A229" s="52"/>
      <c r="B229" s="53">
        <v>40303.208333333336</v>
      </c>
      <c r="C229" s="81">
        <v>40303.208333333336</v>
      </c>
      <c r="D229" s="80">
        <v>40303.208333333336</v>
      </c>
      <c r="E229" s="115" t="s">
        <v>1098</v>
      </c>
      <c r="F229" s="52" t="s">
        <v>1103</v>
      </c>
      <c r="G229" s="52"/>
      <c r="H229" s="52"/>
      <c r="I229" s="52"/>
      <c r="J229" s="115" t="s">
        <v>1559</v>
      </c>
      <c r="K229" s="52"/>
      <c r="L229" s="116" t="s">
        <v>1000</v>
      </c>
      <c r="M229" s="52"/>
      <c r="N229" s="52"/>
      <c r="O229" s="52"/>
      <c r="P229" s="52"/>
      <c r="Q229" s="60" t="s">
        <v>891</v>
      </c>
    </row>
    <row r="230" spans="1:17" s="60" customFormat="1" ht="36">
      <c r="A230" s="52"/>
      <c r="B230" s="53">
        <v>40303.208333333336</v>
      </c>
      <c r="C230" s="81">
        <v>40303.208333333336</v>
      </c>
      <c r="D230" s="80">
        <v>40303.209027777782</v>
      </c>
      <c r="E230" s="115" t="s">
        <v>1098</v>
      </c>
      <c r="F230" s="52" t="s">
        <v>1103</v>
      </c>
      <c r="G230" s="52"/>
      <c r="H230" s="52"/>
      <c r="I230" s="52"/>
      <c r="J230" s="115" t="s">
        <v>1559</v>
      </c>
      <c r="K230" s="52"/>
      <c r="L230" s="116" t="s">
        <v>1015</v>
      </c>
      <c r="M230" s="52"/>
      <c r="N230" s="52"/>
      <c r="O230" s="52"/>
      <c r="P230" s="52"/>
      <c r="Q230" s="60" t="s">
        <v>891</v>
      </c>
    </row>
    <row r="231" spans="1:17" s="60" customFormat="1" ht="36">
      <c r="A231" s="52"/>
      <c r="B231" s="53">
        <v>40303.208333333336</v>
      </c>
      <c r="C231" s="81">
        <v>40303.208333333336</v>
      </c>
      <c r="D231" s="80">
        <v>40303.209722222229</v>
      </c>
      <c r="E231" s="115" t="s">
        <v>1098</v>
      </c>
      <c r="F231" s="52" t="s">
        <v>1103</v>
      </c>
      <c r="G231" s="52"/>
      <c r="H231" s="52"/>
      <c r="I231" s="52"/>
      <c r="J231" s="115" t="s">
        <v>1559</v>
      </c>
      <c r="K231" s="52"/>
      <c r="L231" s="116" t="s">
        <v>1001</v>
      </c>
      <c r="M231" s="52"/>
      <c r="N231" s="52"/>
      <c r="O231" s="52"/>
      <c r="P231" s="52"/>
      <c r="Q231" s="60" t="s">
        <v>891</v>
      </c>
    </row>
    <row r="232" spans="1:17" s="60" customFormat="1" ht="36">
      <c r="A232" s="52"/>
      <c r="B232" s="53">
        <v>40303.208333333336</v>
      </c>
      <c r="C232" s="81">
        <v>40303.208333333336</v>
      </c>
      <c r="D232" s="80">
        <v>40303.210416666676</v>
      </c>
      <c r="E232" s="115" t="s">
        <v>1098</v>
      </c>
      <c r="F232" s="52" t="s">
        <v>1103</v>
      </c>
      <c r="G232" s="52"/>
      <c r="H232" s="52"/>
      <c r="I232" s="52"/>
      <c r="J232" s="115" t="s">
        <v>1559</v>
      </c>
      <c r="K232" s="52"/>
      <c r="L232" s="116" t="s">
        <v>1002</v>
      </c>
      <c r="M232" s="52"/>
      <c r="N232" s="52"/>
      <c r="O232" s="52"/>
      <c r="P232" s="52"/>
      <c r="Q232" s="60" t="s">
        <v>891</v>
      </c>
    </row>
    <row r="233" spans="1:17" s="60" customFormat="1" ht="36">
      <c r="A233" s="52"/>
      <c r="B233" s="53">
        <v>40303.208333333336</v>
      </c>
      <c r="C233" s="81">
        <v>40303.208333333336</v>
      </c>
      <c r="D233" s="80">
        <v>40303.211111111123</v>
      </c>
      <c r="E233" s="115" t="s">
        <v>1098</v>
      </c>
      <c r="F233" s="52" t="s">
        <v>1103</v>
      </c>
      <c r="G233" s="52"/>
      <c r="H233" s="52"/>
      <c r="I233" s="52"/>
      <c r="J233" s="115" t="s">
        <v>1559</v>
      </c>
      <c r="K233" s="52"/>
      <c r="L233" s="116" t="s">
        <v>1003</v>
      </c>
      <c r="M233" s="52"/>
      <c r="N233" s="52"/>
      <c r="O233" s="52"/>
      <c r="P233" s="52"/>
      <c r="Q233" s="60" t="s">
        <v>891</v>
      </c>
    </row>
    <row r="234" spans="1:17" s="60" customFormat="1" ht="36">
      <c r="A234" s="52"/>
      <c r="B234" s="53">
        <v>40303.208333333336</v>
      </c>
      <c r="C234" s="81">
        <v>40303.208333333336</v>
      </c>
      <c r="D234" s="80">
        <v>40303.211805555569</v>
      </c>
      <c r="E234" s="115" t="s">
        <v>1489</v>
      </c>
      <c r="F234" s="52" t="s">
        <v>1103</v>
      </c>
      <c r="G234" s="52"/>
      <c r="H234" s="52"/>
      <c r="I234" s="52"/>
      <c r="J234" s="115" t="s">
        <v>1559</v>
      </c>
      <c r="K234" s="52"/>
      <c r="L234" s="116" t="s">
        <v>1004</v>
      </c>
      <c r="M234" s="52"/>
      <c r="N234" s="52"/>
      <c r="O234" s="52"/>
      <c r="P234" s="52"/>
      <c r="Q234" s="60" t="s">
        <v>891</v>
      </c>
    </row>
    <row r="235" spans="1:17" s="60" customFormat="1" ht="36">
      <c r="A235" s="52"/>
      <c r="B235" s="53">
        <v>40303.208333333336</v>
      </c>
      <c r="C235" s="81">
        <v>40303.208333333336</v>
      </c>
      <c r="D235" s="80">
        <v>40303.212500000016</v>
      </c>
      <c r="E235" s="115" t="s">
        <v>1098</v>
      </c>
      <c r="F235" s="52" t="s">
        <v>1103</v>
      </c>
      <c r="G235" s="52"/>
      <c r="H235" s="52"/>
      <c r="I235" s="52"/>
      <c r="J235" s="115" t="s">
        <v>1559</v>
      </c>
      <c r="K235" s="52"/>
      <c r="L235" s="116" t="s">
        <v>1005</v>
      </c>
      <c r="M235" s="52"/>
      <c r="N235" s="52"/>
      <c r="O235" s="52"/>
      <c r="P235" s="52"/>
      <c r="Q235" s="60" t="s">
        <v>891</v>
      </c>
    </row>
    <row r="236" spans="1:17" s="60" customFormat="1" ht="36">
      <c r="A236" s="52"/>
      <c r="B236" s="53">
        <v>40303.208333333336</v>
      </c>
      <c r="C236" s="81">
        <v>40303.208333333336</v>
      </c>
      <c r="D236" s="80">
        <v>40303.213194444463</v>
      </c>
      <c r="E236" s="115" t="s">
        <v>1098</v>
      </c>
      <c r="F236" s="52" t="s">
        <v>1103</v>
      </c>
      <c r="G236" s="52"/>
      <c r="H236" s="52"/>
      <c r="I236" s="52"/>
      <c r="J236" s="115" t="s">
        <v>1559</v>
      </c>
      <c r="K236" s="52"/>
      <c r="L236" s="116" t="s">
        <v>1006</v>
      </c>
      <c r="M236" s="52"/>
      <c r="N236" s="52"/>
      <c r="O236" s="52"/>
      <c r="P236" s="52"/>
      <c r="Q236" s="60" t="s">
        <v>891</v>
      </c>
    </row>
    <row r="237" spans="1:17" s="60" customFormat="1" ht="36">
      <c r="A237" s="52"/>
      <c r="B237" s="53">
        <v>40303.208333333336</v>
      </c>
      <c r="C237" s="81">
        <v>40303.208333333336</v>
      </c>
      <c r="D237" s="80">
        <v>40303.213888888909</v>
      </c>
      <c r="E237" s="115" t="s">
        <v>1098</v>
      </c>
      <c r="F237" s="52" t="s">
        <v>1103</v>
      </c>
      <c r="G237" s="52"/>
      <c r="H237" s="52"/>
      <c r="I237" s="52"/>
      <c r="J237" s="115" t="s">
        <v>1559</v>
      </c>
      <c r="K237" s="52"/>
      <c r="L237" s="116" t="s">
        <v>1007</v>
      </c>
      <c r="M237" s="52"/>
      <c r="N237" s="52"/>
      <c r="O237" s="52"/>
      <c r="P237" s="52"/>
      <c r="Q237" s="60" t="s">
        <v>891</v>
      </c>
    </row>
    <row r="238" spans="1:17" s="60" customFormat="1" ht="36">
      <c r="A238" s="52"/>
      <c r="B238" s="53">
        <v>40303.208333333336</v>
      </c>
      <c r="C238" s="81">
        <v>40303.208333333336</v>
      </c>
      <c r="D238" s="80">
        <v>40303.214583333356</v>
      </c>
      <c r="E238" s="115" t="s">
        <v>1098</v>
      </c>
      <c r="F238" s="52" t="s">
        <v>1103</v>
      </c>
      <c r="G238" s="52"/>
      <c r="H238" s="52"/>
      <c r="I238" s="52"/>
      <c r="J238" s="115" t="s">
        <v>1559</v>
      </c>
      <c r="K238" s="52"/>
      <c r="L238" s="116" t="s">
        <v>1008</v>
      </c>
      <c r="M238" s="52"/>
      <c r="N238" s="52"/>
      <c r="O238" s="52"/>
      <c r="P238" s="52"/>
      <c r="Q238" s="60" t="s">
        <v>891</v>
      </c>
    </row>
    <row r="239" spans="1:17" s="60" customFormat="1" ht="36">
      <c r="A239" s="52"/>
      <c r="B239" s="53">
        <v>40303.208333333336</v>
      </c>
      <c r="C239" s="81">
        <v>40303.208333333336</v>
      </c>
      <c r="D239" s="80">
        <v>40303.215277777803</v>
      </c>
      <c r="E239" s="115" t="s">
        <v>1098</v>
      </c>
      <c r="F239" s="52" t="s">
        <v>1103</v>
      </c>
      <c r="G239" s="52"/>
      <c r="H239" s="52"/>
      <c r="I239" s="52"/>
      <c r="J239" s="115" t="s">
        <v>1559</v>
      </c>
      <c r="K239" s="52"/>
      <c r="L239" s="116" t="s">
        <v>1009</v>
      </c>
      <c r="M239" s="52"/>
      <c r="N239" s="52"/>
      <c r="O239" s="52"/>
      <c r="P239" s="52"/>
      <c r="Q239" s="60" t="s">
        <v>891</v>
      </c>
    </row>
    <row r="240" spans="1:17" s="60" customFormat="1" ht="36">
      <c r="A240" s="52"/>
      <c r="B240" s="53">
        <v>40303.208333333336</v>
      </c>
      <c r="C240" s="81">
        <v>40303.208333333336</v>
      </c>
      <c r="D240" s="80">
        <v>40303.21597222225</v>
      </c>
      <c r="E240" s="115" t="s">
        <v>1098</v>
      </c>
      <c r="F240" s="52" t="s">
        <v>1103</v>
      </c>
      <c r="G240" s="52"/>
      <c r="H240" s="52"/>
      <c r="I240" s="52"/>
      <c r="J240" s="115" t="s">
        <v>1559</v>
      </c>
      <c r="K240" s="52"/>
      <c r="L240" s="116" t="s">
        <v>996</v>
      </c>
      <c r="M240" s="52"/>
      <c r="N240" s="52"/>
      <c r="O240" s="52"/>
      <c r="P240" s="52"/>
      <c r="Q240" s="60" t="s">
        <v>891</v>
      </c>
    </row>
    <row r="241" spans="1:17" s="60" customFormat="1" ht="36">
      <c r="A241" s="52"/>
      <c r="B241" s="53">
        <v>40303.208333333336</v>
      </c>
      <c r="C241" s="81">
        <v>40303.208333333336</v>
      </c>
      <c r="D241" s="80">
        <v>40303.216666666696</v>
      </c>
      <c r="E241" s="115" t="s">
        <v>1098</v>
      </c>
      <c r="F241" s="52" t="s">
        <v>1103</v>
      </c>
      <c r="G241" s="52"/>
      <c r="H241" s="52"/>
      <c r="I241" s="52"/>
      <c r="J241" s="115" t="s">
        <v>1559</v>
      </c>
      <c r="K241" s="52"/>
      <c r="L241" s="116" t="s">
        <v>1010</v>
      </c>
      <c r="M241" s="52"/>
      <c r="N241" s="52"/>
      <c r="O241" s="52"/>
      <c r="P241" s="52"/>
      <c r="Q241" s="60" t="s">
        <v>891</v>
      </c>
    </row>
    <row r="242" spans="1:17" s="60" customFormat="1" ht="48">
      <c r="A242" s="52"/>
      <c r="B242" s="53">
        <v>40303.208333333336</v>
      </c>
      <c r="C242" s="81">
        <v>40303.208333333336</v>
      </c>
      <c r="D242" s="80">
        <v>40303.217361111143</v>
      </c>
      <c r="E242" s="115" t="s">
        <v>1098</v>
      </c>
      <c r="F242" s="52" t="s">
        <v>1103</v>
      </c>
      <c r="G242" s="52"/>
      <c r="H242" s="52"/>
      <c r="I242" s="52"/>
      <c r="J242" s="115" t="s">
        <v>1559</v>
      </c>
      <c r="K242" s="52"/>
      <c r="L242" s="116" t="s">
        <v>1011</v>
      </c>
      <c r="M242" s="52"/>
      <c r="N242" s="52"/>
      <c r="O242" s="52"/>
      <c r="P242" s="52"/>
      <c r="Q242" s="60" t="s">
        <v>891</v>
      </c>
    </row>
    <row r="243" spans="1:17" s="60" customFormat="1" ht="48">
      <c r="A243" s="52"/>
      <c r="B243" s="53">
        <v>40303.208333333336</v>
      </c>
      <c r="C243" s="81">
        <v>40303.208333333336</v>
      </c>
      <c r="D243" s="80">
        <v>40303.21805555559</v>
      </c>
      <c r="E243" s="115" t="s">
        <v>1098</v>
      </c>
      <c r="F243" s="52" t="s">
        <v>1103</v>
      </c>
      <c r="G243" s="52"/>
      <c r="H243" s="52"/>
      <c r="I243" s="52"/>
      <c r="J243" s="115" t="s">
        <v>1559</v>
      </c>
      <c r="K243" s="52"/>
      <c r="L243" s="116" t="s">
        <v>1012</v>
      </c>
      <c r="M243" s="52"/>
      <c r="N243" s="52"/>
      <c r="O243" s="52"/>
      <c r="P243" s="52"/>
      <c r="Q243" s="60" t="s">
        <v>891</v>
      </c>
    </row>
    <row r="244" spans="1:17" s="60" customFormat="1" ht="36">
      <c r="A244" s="52"/>
      <c r="B244" s="53">
        <v>40303.208333333336</v>
      </c>
      <c r="C244" s="81">
        <v>40303.208333333336</v>
      </c>
      <c r="D244" s="80">
        <v>40303.218750000036</v>
      </c>
      <c r="E244" s="115" t="s">
        <v>1098</v>
      </c>
      <c r="F244" s="52" t="s">
        <v>1103</v>
      </c>
      <c r="G244" s="52"/>
      <c r="H244" s="52"/>
      <c r="I244" s="52"/>
      <c r="J244" s="115" t="s">
        <v>1559</v>
      </c>
      <c r="K244" s="52"/>
      <c r="L244" s="116" t="s">
        <v>1013</v>
      </c>
      <c r="M244" s="52"/>
      <c r="N244" s="52"/>
      <c r="O244" s="52"/>
      <c r="P244" s="52"/>
      <c r="Q244" s="60" t="s">
        <v>891</v>
      </c>
    </row>
    <row r="245" spans="1:17" s="60" customFormat="1" ht="84">
      <c r="A245" s="52"/>
      <c r="B245" s="53">
        <v>40303.208333333336</v>
      </c>
      <c r="C245" s="81">
        <v>40303.208333333336</v>
      </c>
      <c r="D245" s="80">
        <v>40303.219444444483</v>
      </c>
      <c r="E245" s="115" t="s">
        <v>1098</v>
      </c>
      <c r="F245" s="52" t="s">
        <v>1103</v>
      </c>
      <c r="G245" s="52"/>
      <c r="H245" s="52"/>
      <c r="I245" s="52"/>
      <c r="J245" s="115" t="s">
        <v>1559</v>
      </c>
      <c r="K245" s="52"/>
      <c r="L245" s="116" t="s">
        <v>1014</v>
      </c>
      <c r="M245" s="52"/>
      <c r="N245" s="52"/>
      <c r="O245" s="52"/>
      <c r="P245" s="52"/>
      <c r="Q245" s="60" t="s">
        <v>891</v>
      </c>
    </row>
    <row r="246" spans="1:17" s="60" customFormat="1" ht="24">
      <c r="A246" s="52"/>
      <c r="B246" s="53"/>
      <c r="C246" s="54"/>
      <c r="D246" s="61">
        <v>40303.291666666664</v>
      </c>
      <c r="E246" s="62" t="s">
        <v>1161</v>
      </c>
      <c r="F246" s="52" t="s">
        <v>1188</v>
      </c>
      <c r="G246" s="62" t="s">
        <v>593</v>
      </c>
      <c r="H246" s="52"/>
      <c r="I246" s="62" t="s">
        <v>668</v>
      </c>
      <c r="J246" s="52"/>
      <c r="K246" s="52"/>
      <c r="L246" s="62" t="s">
        <v>1499</v>
      </c>
      <c r="M246" s="52"/>
      <c r="N246" s="52"/>
      <c r="O246" s="62" t="s">
        <v>1140</v>
      </c>
      <c r="P246" s="52"/>
      <c r="Q246" s="60" t="s">
        <v>427</v>
      </c>
    </row>
    <row r="247" spans="1:17" s="60" customFormat="1" ht="48">
      <c r="A247" s="52"/>
      <c r="B247" s="53">
        <v>40303.3125</v>
      </c>
      <c r="C247" s="54">
        <v>40303.3125</v>
      </c>
      <c r="D247" s="61">
        <v>40303.3125</v>
      </c>
      <c r="E247" s="52" t="s">
        <v>1500</v>
      </c>
      <c r="F247" s="52" t="s">
        <v>1188</v>
      </c>
      <c r="G247" s="62" t="s">
        <v>585</v>
      </c>
      <c r="H247" s="52" t="s">
        <v>585</v>
      </c>
      <c r="I247" s="62" t="s">
        <v>802</v>
      </c>
      <c r="J247" s="52" t="s">
        <v>797</v>
      </c>
      <c r="K247" s="62"/>
      <c r="L247" s="95" t="s">
        <v>807</v>
      </c>
      <c r="M247" s="62"/>
      <c r="N247" s="52"/>
      <c r="O247" s="52" t="s">
        <v>1417</v>
      </c>
      <c r="P247" s="52"/>
      <c r="Q247" s="60" t="s">
        <v>891</v>
      </c>
    </row>
    <row r="248" spans="1:17" s="60" customFormat="1" ht="36">
      <c r="A248" s="52"/>
      <c r="B248" s="53"/>
      <c r="C248" s="54"/>
      <c r="D248" s="55">
        <v>40303.364583333336</v>
      </c>
      <c r="E248" s="52" t="s">
        <v>1490</v>
      </c>
      <c r="F248" s="52" t="s">
        <v>394</v>
      </c>
      <c r="G248" s="62" t="s">
        <v>1295</v>
      </c>
      <c r="H248" s="52" t="s">
        <v>1296</v>
      </c>
      <c r="I248" s="62" t="s">
        <v>668</v>
      </c>
      <c r="J248" s="52" t="s">
        <v>1547</v>
      </c>
      <c r="K248" s="62"/>
      <c r="L248" s="52" t="s">
        <v>1297</v>
      </c>
      <c r="M248" s="62"/>
      <c r="N248" s="52"/>
      <c r="O248" s="52" t="s">
        <v>1297</v>
      </c>
      <c r="P248" s="52" t="s">
        <v>1217</v>
      </c>
      <c r="Q248" s="60" t="s">
        <v>1298</v>
      </c>
    </row>
    <row r="249" spans="1:17" s="60" customFormat="1" ht="24">
      <c r="A249" s="52"/>
      <c r="B249" s="53"/>
      <c r="C249" s="54"/>
      <c r="D249" s="80">
        <v>40303.375</v>
      </c>
      <c r="E249" s="52" t="s">
        <v>430</v>
      </c>
      <c r="F249" s="52" t="s">
        <v>683</v>
      </c>
      <c r="G249" s="62" t="s">
        <v>678</v>
      </c>
      <c r="H249" s="52" t="s">
        <v>684</v>
      </c>
      <c r="I249" s="62" t="s">
        <v>680</v>
      </c>
      <c r="J249" s="52"/>
      <c r="K249" s="62"/>
      <c r="L249" s="95" t="s">
        <v>1501</v>
      </c>
      <c r="M249" s="62"/>
      <c r="N249" s="52"/>
      <c r="O249" s="52" t="s">
        <v>685</v>
      </c>
      <c r="P249" s="52" t="s">
        <v>686</v>
      </c>
      <c r="Q249" s="60" t="s">
        <v>657</v>
      </c>
    </row>
    <row r="250" spans="1:17" s="60" customFormat="1" ht="36">
      <c r="A250" s="52"/>
      <c r="B250" s="53"/>
      <c r="C250" s="54"/>
      <c r="D250" s="80">
        <v>40303.375694444447</v>
      </c>
      <c r="E250" s="60" t="s">
        <v>430</v>
      </c>
      <c r="F250" s="52" t="s">
        <v>425</v>
      </c>
      <c r="G250" s="62"/>
      <c r="H250" s="52" t="s">
        <v>787</v>
      </c>
      <c r="I250" s="62"/>
      <c r="J250" s="52" t="s">
        <v>1541</v>
      </c>
      <c r="K250" s="62"/>
      <c r="L250" s="95" t="s">
        <v>1502</v>
      </c>
      <c r="M250" s="62" t="s">
        <v>778</v>
      </c>
      <c r="N250" s="52"/>
      <c r="O250" s="60" t="s">
        <v>773</v>
      </c>
      <c r="P250" s="52"/>
      <c r="Q250" s="60" t="s">
        <v>810</v>
      </c>
    </row>
    <row r="251" spans="1:17" s="60" customFormat="1" ht="36">
      <c r="A251" s="52"/>
      <c r="B251" s="53"/>
      <c r="C251" s="54"/>
      <c r="D251" s="61">
        <v>40303.376388888886</v>
      </c>
      <c r="E251" s="52" t="s">
        <v>1161</v>
      </c>
      <c r="F251" s="52" t="s">
        <v>1188</v>
      </c>
      <c r="G251" s="52" t="s">
        <v>1138</v>
      </c>
      <c r="H251" s="52"/>
      <c r="I251" s="52" t="s">
        <v>593</v>
      </c>
      <c r="J251" s="52"/>
      <c r="K251" s="52"/>
      <c r="L251" s="95" t="s">
        <v>1503</v>
      </c>
      <c r="M251" s="52"/>
      <c r="N251" s="52"/>
      <c r="O251" s="52" t="s">
        <v>1139</v>
      </c>
      <c r="P251" s="52"/>
      <c r="Q251" s="60" t="s">
        <v>427</v>
      </c>
    </row>
    <row r="252" spans="1:17" s="60" customFormat="1" ht="24">
      <c r="A252" s="52"/>
      <c r="B252" s="53"/>
      <c r="C252" s="54"/>
      <c r="D252" s="61">
        <v>40303.377083333333</v>
      </c>
      <c r="E252" s="52" t="s">
        <v>1161</v>
      </c>
      <c r="F252" s="52" t="s">
        <v>1188</v>
      </c>
      <c r="G252" s="52" t="s">
        <v>593</v>
      </c>
      <c r="H252" s="52"/>
      <c r="I252" s="52" t="s">
        <v>668</v>
      </c>
      <c r="J252" s="52"/>
      <c r="K252" s="52"/>
      <c r="L252" s="52" t="s">
        <v>1504</v>
      </c>
      <c r="M252" s="52"/>
      <c r="N252" s="52"/>
      <c r="O252" s="52" t="s">
        <v>789</v>
      </c>
      <c r="P252" s="52"/>
      <c r="Q252" s="60" t="s">
        <v>427</v>
      </c>
    </row>
    <row r="253" spans="1:17" s="60" customFormat="1" ht="24">
      <c r="A253" s="52"/>
      <c r="B253" s="53"/>
      <c r="C253" s="54"/>
      <c r="D253" s="80">
        <v>40303.37777777778</v>
      </c>
      <c r="E253" s="52" t="s">
        <v>430</v>
      </c>
      <c r="F253" s="52" t="s">
        <v>683</v>
      </c>
      <c r="G253" s="62" t="s">
        <v>678</v>
      </c>
      <c r="H253" s="52" t="s">
        <v>684</v>
      </c>
      <c r="I253" s="62" t="s">
        <v>680</v>
      </c>
      <c r="J253" s="52" t="s">
        <v>688</v>
      </c>
      <c r="K253" s="62"/>
      <c r="L253" s="52" t="s">
        <v>687</v>
      </c>
      <c r="M253" s="62"/>
      <c r="N253" s="52"/>
      <c r="O253" s="52" t="s">
        <v>688</v>
      </c>
      <c r="P253" s="52" t="s">
        <v>689</v>
      </c>
      <c r="Q253" s="60" t="s">
        <v>657</v>
      </c>
    </row>
    <row r="254" spans="1:17" s="60" customFormat="1" ht="36">
      <c r="A254" s="52"/>
      <c r="B254" s="53"/>
      <c r="C254" s="54"/>
      <c r="D254" s="80">
        <v>40303.378472222219</v>
      </c>
      <c r="E254" s="60" t="s">
        <v>430</v>
      </c>
      <c r="F254" s="52" t="s">
        <v>425</v>
      </c>
      <c r="G254" s="62"/>
      <c r="H254" s="52" t="s">
        <v>787</v>
      </c>
      <c r="I254" s="62"/>
      <c r="J254" s="52" t="s">
        <v>1541</v>
      </c>
      <c r="K254" s="62"/>
      <c r="L254" s="60" t="s">
        <v>811</v>
      </c>
      <c r="M254" s="52" t="s">
        <v>783</v>
      </c>
      <c r="N254" s="52"/>
      <c r="O254" s="60" t="s">
        <v>816</v>
      </c>
      <c r="P254" s="52"/>
      <c r="Q254" s="60" t="s">
        <v>810</v>
      </c>
    </row>
    <row r="255" spans="1:17" s="60" customFormat="1" ht="84">
      <c r="A255" s="52"/>
      <c r="B255" s="53">
        <v>40303.395833333336</v>
      </c>
      <c r="C255" s="54">
        <v>0.39583333333333331</v>
      </c>
      <c r="D255" s="61">
        <v>40303.395833333336</v>
      </c>
      <c r="E255" s="52" t="s">
        <v>1526</v>
      </c>
      <c r="F255" s="52" t="s">
        <v>1269</v>
      </c>
      <c r="G255" s="52" t="s">
        <v>1270</v>
      </c>
      <c r="H255" s="52" t="s">
        <v>795</v>
      </c>
      <c r="I255" s="52" t="s">
        <v>1159</v>
      </c>
      <c r="J255" s="52" t="s">
        <v>1235</v>
      </c>
      <c r="K255" s="52"/>
      <c r="L255" s="95" t="s">
        <v>1268</v>
      </c>
      <c r="M255" s="52" t="s">
        <v>1236</v>
      </c>
      <c r="N255" s="52" t="s">
        <v>1428</v>
      </c>
      <c r="O255" s="52" t="s">
        <v>1429</v>
      </c>
      <c r="P255" s="52"/>
      <c r="Q255" s="60" t="s">
        <v>891</v>
      </c>
    </row>
    <row r="256" spans="1:17" s="60" customFormat="1" ht="24">
      <c r="A256" s="52"/>
      <c r="B256" s="53"/>
      <c r="C256" s="54"/>
      <c r="D256" s="61">
        <v>40303.396527777775</v>
      </c>
      <c r="E256" s="52" t="s">
        <v>1161</v>
      </c>
      <c r="F256" s="52" t="s">
        <v>1188</v>
      </c>
      <c r="G256" s="52" t="s">
        <v>279</v>
      </c>
      <c r="H256" s="52"/>
      <c r="I256" s="52" t="s">
        <v>1159</v>
      </c>
      <c r="J256" s="52"/>
      <c r="K256" s="52">
        <v>13</v>
      </c>
      <c r="L256" s="52" t="s">
        <v>1505</v>
      </c>
      <c r="M256" s="52"/>
      <c r="N256" s="52"/>
      <c r="O256" s="52" t="s">
        <v>1169</v>
      </c>
      <c r="P256" s="52"/>
      <c r="Q256" s="60" t="s">
        <v>427</v>
      </c>
    </row>
    <row r="257" spans="1:17" s="60" customFormat="1" ht="24">
      <c r="A257" s="52"/>
      <c r="B257" s="53">
        <v>40303</v>
      </c>
      <c r="C257" s="63">
        <v>0.39583333333333331</v>
      </c>
      <c r="D257" s="68">
        <v>40303.397222222222</v>
      </c>
      <c r="E257" s="52" t="s">
        <v>430</v>
      </c>
      <c r="F257" s="64" t="s">
        <v>394</v>
      </c>
      <c r="G257" s="64" t="s">
        <v>624</v>
      </c>
      <c r="H257" s="52" t="s">
        <v>625</v>
      </c>
      <c r="I257" s="52" t="s">
        <v>623</v>
      </c>
      <c r="J257" s="52"/>
      <c r="K257" s="52"/>
      <c r="L257" s="95" t="s">
        <v>1506</v>
      </c>
      <c r="M257" s="52" t="s">
        <v>626</v>
      </c>
      <c r="N257" s="52"/>
      <c r="O257" s="52" t="s">
        <v>574</v>
      </c>
      <c r="P257" s="52"/>
      <c r="Q257" s="60" t="s">
        <v>619</v>
      </c>
    </row>
    <row r="258" spans="1:17" s="60" customFormat="1" ht="36">
      <c r="A258" s="52"/>
      <c r="B258" s="53"/>
      <c r="C258" s="54"/>
      <c r="D258" s="55">
        <v>40303.40625</v>
      </c>
      <c r="E258" s="52" t="s">
        <v>430</v>
      </c>
      <c r="F258" s="52" t="s">
        <v>394</v>
      </c>
      <c r="G258" s="52" t="s">
        <v>1302</v>
      </c>
      <c r="H258" s="52" t="s">
        <v>679</v>
      </c>
      <c r="I258" s="52" t="s">
        <v>680</v>
      </c>
      <c r="J258" s="65"/>
      <c r="K258" s="52"/>
      <c r="L258" s="95" t="s">
        <v>1507</v>
      </c>
      <c r="M258" s="52"/>
      <c r="N258" s="52"/>
      <c r="O258" s="65" t="s">
        <v>1271</v>
      </c>
      <c r="P258" s="52"/>
      <c r="Q258" s="60" t="s">
        <v>1298</v>
      </c>
    </row>
    <row r="259" spans="1:17" s="60" customFormat="1">
      <c r="A259" s="52"/>
      <c r="B259" s="53"/>
      <c r="C259" s="54"/>
      <c r="D259" s="80">
        <v>40303.416666666664</v>
      </c>
      <c r="E259" s="52" t="s">
        <v>430</v>
      </c>
      <c r="F259" s="52" t="s">
        <v>394</v>
      </c>
      <c r="G259" s="52" t="s">
        <v>327</v>
      </c>
      <c r="H259" s="52" t="s">
        <v>667</v>
      </c>
      <c r="I259" s="62" t="s">
        <v>668</v>
      </c>
      <c r="J259" s="52" t="s">
        <v>669</v>
      </c>
      <c r="K259" s="62"/>
      <c r="L259" s="95" t="s">
        <v>1507</v>
      </c>
      <c r="M259" s="62"/>
      <c r="N259" s="52"/>
      <c r="O259" s="52" t="s">
        <v>669</v>
      </c>
      <c r="P259" s="52" t="s">
        <v>670</v>
      </c>
      <c r="Q259" s="60" t="s">
        <v>657</v>
      </c>
    </row>
    <row r="260" spans="1:17" s="60" customFormat="1" ht="120">
      <c r="A260" s="52"/>
      <c r="B260" s="53">
        <v>40303</v>
      </c>
      <c r="C260" s="54">
        <v>40303.416666666664</v>
      </c>
      <c r="D260" s="61">
        <v>40303.417361111111</v>
      </c>
      <c r="E260" s="52" t="s">
        <v>1098</v>
      </c>
      <c r="F260" s="52" t="s">
        <v>425</v>
      </c>
      <c r="G260" s="62" t="s">
        <v>429</v>
      </c>
      <c r="H260" s="52"/>
      <c r="I260" s="62" t="s">
        <v>426</v>
      </c>
      <c r="J260" s="52" t="s">
        <v>387</v>
      </c>
      <c r="K260" s="62" t="s">
        <v>423</v>
      </c>
      <c r="L260" s="95" t="s">
        <v>387</v>
      </c>
      <c r="M260" s="62"/>
      <c r="N260" s="52"/>
      <c r="O260" s="52" t="s">
        <v>1418</v>
      </c>
      <c r="P260" s="52"/>
      <c r="Q260" s="60" t="s">
        <v>427</v>
      </c>
    </row>
    <row r="261" spans="1:17" s="60" customFormat="1" ht="24">
      <c r="A261" s="52"/>
      <c r="B261" s="53"/>
      <c r="C261" s="54"/>
      <c r="D261" s="80">
        <v>40303.4375</v>
      </c>
      <c r="E261" s="52" t="s">
        <v>430</v>
      </c>
      <c r="F261" s="52" t="s">
        <v>425</v>
      </c>
      <c r="G261" s="52"/>
      <c r="H261" s="52" t="s">
        <v>1293</v>
      </c>
      <c r="I261" s="52"/>
      <c r="K261" s="52"/>
      <c r="L261" s="95" t="s">
        <v>1508</v>
      </c>
      <c r="M261" s="52"/>
      <c r="N261" s="52"/>
      <c r="O261" s="60" t="s">
        <v>1290</v>
      </c>
      <c r="P261" s="52"/>
      <c r="Q261" s="60" t="s">
        <v>1294</v>
      </c>
    </row>
    <row r="262" spans="1:17" s="60" customFormat="1" ht="24">
      <c r="A262" s="52"/>
      <c r="B262" s="53">
        <v>40303</v>
      </c>
      <c r="C262" s="63">
        <v>0.5</v>
      </c>
      <c r="D262" s="55">
        <v>40303.5</v>
      </c>
      <c r="E262" s="52" t="s">
        <v>430</v>
      </c>
      <c r="F262" s="64" t="s">
        <v>425</v>
      </c>
      <c r="G262" s="64" t="s">
        <v>431</v>
      </c>
      <c r="H262" s="52" t="s">
        <v>432</v>
      </c>
      <c r="I262" s="52" t="s">
        <v>433</v>
      </c>
      <c r="J262" s="52"/>
      <c r="K262" s="52"/>
      <c r="L262" s="95" t="s">
        <v>434</v>
      </c>
      <c r="M262" s="52" t="s">
        <v>435</v>
      </c>
      <c r="N262" s="52"/>
      <c r="O262" s="52" t="s">
        <v>436</v>
      </c>
      <c r="P262" s="52"/>
      <c r="Q262" s="60" t="s">
        <v>437</v>
      </c>
    </row>
    <row r="263" spans="1:17" s="60" customFormat="1" ht="36">
      <c r="A263" s="52"/>
      <c r="B263" s="53">
        <v>40303</v>
      </c>
      <c r="C263" s="63">
        <v>0.5</v>
      </c>
      <c r="D263" s="55">
        <v>40303.500694444447</v>
      </c>
      <c r="E263" s="52" t="s">
        <v>430</v>
      </c>
      <c r="F263" s="64" t="s">
        <v>425</v>
      </c>
      <c r="G263" s="64" t="s">
        <v>431</v>
      </c>
      <c r="H263" s="52" t="s">
        <v>432</v>
      </c>
      <c r="I263" s="52" t="s">
        <v>433</v>
      </c>
      <c r="J263" s="52"/>
      <c r="K263" s="52"/>
      <c r="L263" s="95" t="s">
        <v>438</v>
      </c>
      <c r="M263" s="52" t="s">
        <v>367</v>
      </c>
      <c r="N263" s="52"/>
      <c r="O263" s="52" t="s">
        <v>368</v>
      </c>
      <c r="P263" s="52"/>
      <c r="Q263" s="60" t="s">
        <v>437</v>
      </c>
    </row>
    <row r="264" spans="1:17" s="60" customFormat="1" ht="24">
      <c r="A264" s="52"/>
      <c r="B264" s="53"/>
      <c r="C264" s="54"/>
      <c r="D264" s="80">
        <v>40303.541666666664</v>
      </c>
      <c r="E264" s="60" t="s">
        <v>430</v>
      </c>
      <c r="F264" s="52" t="s">
        <v>425</v>
      </c>
      <c r="G264" s="62"/>
      <c r="H264" s="52" t="s">
        <v>787</v>
      </c>
      <c r="I264" s="62"/>
      <c r="J264" s="52" t="s">
        <v>1541</v>
      </c>
      <c r="K264" s="62"/>
      <c r="L264" s="95"/>
      <c r="M264" s="62" t="s">
        <v>785</v>
      </c>
      <c r="N264" s="52"/>
      <c r="O264" s="60" t="s">
        <v>814</v>
      </c>
      <c r="P264" s="52"/>
      <c r="Q264" s="60" t="s">
        <v>810</v>
      </c>
    </row>
    <row r="265" spans="1:17" s="60" customFormat="1" ht="108">
      <c r="A265" s="52"/>
      <c r="B265" s="53"/>
      <c r="C265" s="54"/>
      <c r="D265" s="55">
        <v>40303.552083333336</v>
      </c>
      <c r="E265" s="60" t="s">
        <v>430</v>
      </c>
      <c r="F265" s="52" t="s">
        <v>1319</v>
      </c>
      <c r="G265" s="56" t="s">
        <v>593</v>
      </c>
      <c r="H265" s="52" t="s">
        <v>1318</v>
      </c>
      <c r="I265" s="52" t="s">
        <v>1317</v>
      </c>
      <c r="J265" s="60" t="s">
        <v>1510</v>
      </c>
      <c r="K265" s="52"/>
      <c r="L265" s="97" t="s">
        <v>1509</v>
      </c>
      <c r="M265" s="60" t="s">
        <v>1320</v>
      </c>
      <c r="N265" s="60" t="s">
        <v>1321</v>
      </c>
      <c r="O265" s="60" t="s">
        <v>1419</v>
      </c>
      <c r="P265" s="60" t="s">
        <v>1419</v>
      </c>
      <c r="Q265" s="60" t="s">
        <v>1314</v>
      </c>
    </row>
    <row r="266" spans="1:17" s="60" customFormat="1" ht="24">
      <c r="A266" s="52"/>
      <c r="B266" s="53"/>
      <c r="C266" s="54"/>
      <c r="D266" s="55">
        <v>40303.552777777775</v>
      </c>
      <c r="E266" s="52" t="s">
        <v>430</v>
      </c>
      <c r="F266" s="52"/>
      <c r="G266" s="52"/>
      <c r="H266" s="52"/>
      <c r="I266" s="52"/>
      <c r="J266" s="52"/>
      <c r="K266" s="52"/>
      <c r="L266" s="95" t="s">
        <v>1511</v>
      </c>
      <c r="M266" s="52"/>
      <c r="N266" s="52"/>
      <c r="O266" s="52" t="s">
        <v>1272</v>
      </c>
      <c r="P266" s="52"/>
    </row>
    <row r="267" spans="1:17" s="60" customFormat="1" ht="24">
      <c r="A267" s="52"/>
      <c r="B267" s="53"/>
      <c r="C267" s="54"/>
      <c r="D267" s="55">
        <v>40303.59375</v>
      </c>
      <c r="E267" s="52" t="s">
        <v>430</v>
      </c>
      <c r="F267" s="52" t="s">
        <v>683</v>
      </c>
      <c r="G267" s="62" t="s">
        <v>678</v>
      </c>
      <c r="H267" s="52" t="s">
        <v>628</v>
      </c>
      <c r="I267" s="62" t="s">
        <v>668</v>
      </c>
      <c r="J267" s="52"/>
      <c r="K267" s="62"/>
      <c r="L267" s="52" t="s">
        <v>1281</v>
      </c>
      <c r="M267" s="62"/>
      <c r="N267" s="52"/>
      <c r="O267" s="52" t="s">
        <v>1281</v>
      </c>
      <c r="P267" s="52"/>
      <c r="Q267" s="60" t="s">
        <v>1298</v>
      </c>
    </row>
    <row r="268" spans="1:17" s="60" customFormat="1" ht="36">
      <c r="A268" s="52"/>
      <c r="B268" s="53"/>
      <c r="C268" s="54"/>
      <c r="D268" s="55">
        <v>40303.594444444447</v>
      </c>
      <c r="E268" s="118" t="s">
        <v>1098</v>
      </c>
      <c r="F268" s="118" t="s">
        <v>425</v>
      </c>
      <c r="G268" s="118" t="s">
        <v>1260</v>
      </c>
      <c r="H268" s="52"/>
      <c r="I268" s="118" t="s">
        <v>623</v>
      </c>
      <c r="K268" s="52"/>
      <c r="L268" s="118" t="s">
        <v>1253</v>
      </c>
      <c r="M268" s="52"/>
      <c r="N268" s="52"/>
      <c r="O268" s="118" t="s">
        <v>1253</v>
      </c>
      <c r="P268" s="52"/>
      <c r="Q268" s="118" t="s">
        <v>1267</v>
      </c>
    </row>
    <row r="269" spans="1:17" s="60" customFormat="1" ht="24">
      <c r="A269" s="52"/>
      <c r="B269" s="53"/>
      <c r="C269" s="54"/>
      <c r="D269" s="61">
        <v>40303.604166666664</v>
      </c>
      <c r="E269" s="52" t="s">
        <v>1161</v>
      </c>
      <c r="F269" s="52" t="s">
        <v>1188</v>
      </c>
      <c r="G269" s="52" t="s">
        <v>279</v>
      </c>
      <c r="H269" s="52"/>
      <c r="I269" s="52" t="s">
        <v>1159</v>
      </c>
      <c r="J269" s="52"/>
      <c r="K269" s="52">
        <v>13</v>
      </c>
      <c r="L269" s="52" t="s">
        <v>1512</v>
      </c>
      <c r="M269" s="52"/>
      <c r="N269" s="52"/>
      <c r="O269" s="52" t="s">
        <v>1168</v>
      </c>
      <c r="P269" s="52"/>
      <c r="Q269" s="60" t="s">
        <v>427</v>
      </c>
    </row>
    <row r="270" spans="1:17" s="60" customFormat="1" ht="24">
      <c r="A270" s="52"/>
      <c r="B270" s="53"/>
      <c r="C270" s="54"/>
      <c r="D270" s="80">
        <v>40303.625</v>
      </c>
      <c r="E270" s="60" t="s">
        <v>430</v>
      </c>
      <c r="F270" s="52" t="s">
        <v>425</v>
      </c>
      <c r="G270" s="62"/>
      <c r="H270" s="52" t="s">
        <v>787</v>
      </c>
      <c r="I270" s="62"/>
      <c r="J270" s="52" t="s">
        <v>1541</v>
      </c>
      <c r="K270" s="62"/>
      <c r="L270" s="95"/>
      <c r="M270" s="62" t="s">
        <v>779</v>
      </c>
      <c r="N270" s="52"/>
      <c r="O270" s="60" t="s">
        <v>772</v>
      </c>
      <c r="P270" s="52"/>
      <c r="Q270" s="60" t="s">
        <v>810</v>
      </c>
    </row>
    <row r="271" spans="1:17" s="60" customFormat="1" ht="72">
      <c r="A271" s="52"/>
      <c r="B271" s="53"/>
      <c r="C271" s="54"/>
      <c r="D271" s="61">
        <v>40303.625694444447</v>
      </c>
      <c r="E271" s="52" t="s">
        <v>1528</v>
      </c>
      <c r="F271" s="52" t="s">
        <v>1188</v>
      </c>
      <c r="G271" s="52" t="s">
        <v>1162</v>
      </c>
      <c r="H271" s="52"/>
      <c r="I271" s="52" t="s">
        <v>668</v>
      </c>
      <c r="J271" s="52" t="s">
        <v>1529</v>
      </c>
      <c r="K271" s="52">
        <v>7</v>
      </c>
      <c r="L271" s="95" t="s">
        <v>1513</v>
      </c>
      <c r="M271" s="52"/>
      <c r="N271" s="52"/>
      <c r="O271" s="52" t="s">
        <v>1420</v>
      </c>
      <c r="P271" s="52"/>
      <c r="Q271" s="60" t="s">
        <v>427</v>
      </c>
    </row>
    <row r="272" spans="1:17" s="60" customFormat="1" ht="72">
      <c r="A272" s="52"/>
      <c r="B272" s="53"/>
      <c r="C272" s="54"/>
      <c r="D272" s="61">
        <v>40303.626388888886</v>
      </c>
      <c r="E272" s="52" t="s">
        <v>1528</v>
      </c>
      <c r="F272" s="52" t="s">
        <v>1188</v>
      </c>
      <c r="G272" s="52" t="s">
        <v>1162</v>
      </c>
      <c r="H272" s="52"/>
      <c r="I272" s="52" t="s">
        <v>668</v>
      </c>
      <c r="J272" s="52" t="s">
        <v>1529</v>
      </c>
      <c r="K272" s="52">
        <v>7</v>
      </c>
      <c r="L272" s="95" t="s">
        <v>1514</v>
      </c>
      <c r="M272" s="52"/>
      <c r="N272" s="52"/>
      <c r="O272" s="52" t="s">
        <v>1407</v>
      </c>
      <c r="P272" s="52"/>
      <c r="Q272" s="60" t="s">
        <v>427</v>
      </c>
    </row>
    <row r="273" spans="1:17" s="60" customFormat="1" ht="72">
      <c r="A273" s="52"/>
      <c r="B273" s="53"/>
      <c r="C273" s="54"/>
      <c r="D273" s="61">
        <v>40303.627083333333</v>
      </c>
      <c r="E273" s="52" t="s">
        <v>1528</v>
      </c>
      <c r="F273" s="52" t="s">
        <v>1188</v>
      </c>
      <c r="G273" s="52" t="s">
        <v>1162</v>
      </c>
      <c r="H273" s="52"/>
      <c r="I273" s="52" t="s">
        <v>668</v>
      </c>
      <c r="J273" s="52" t="s">
        <v>1529</v>
      </c>
      <c r="K273" s="52">
        <v>7</v>
      </c>
      <c r="L273" s="95" t="s">
        <v>1515</v>
      </c>
      <c r="M273" s="52"/>
      <c r="N273" s="52"/>
      <c r="O273" s="52" t="s">
        <v>1408</v>
      </c>
      <c r="P273" s="52"/>
      <c r="Q273" s="60" t="s">
        <v>427</v>
      </c>
    </row>
    <row r="274" spans="1:17" s="60" customFormat="1" ht="84">
      <c r="A274" s="52"/>
      <c r="B274" s="53"/>
      <c r="C274" s="54"/>
      <c r="D274" s="61">
        <v>40303.62777777778</v>
      </c>
      <c r="E274" s="52" t="s">
        <v>1528</v>
      </c>
      <c r="F274" s="52" t="s">
        <v>1188</v>
      </c>
      <c r="G274" s="52" t="s">
        <v>1162</v>
      </c>
      <c r="H274" s="52"/>
      <c r="I274" s="52" t="s">
        <v>668</v>
      </c>
      <c r="J274" s="52" t="s">
        <v>1529</v>
      </c>
      <c r="K274" s="52">
        <v>7</v>
      </c>
      <c r="L274" s="95" t="s">
        <v>1516</v>
      </c>
      <c r="M274" s="52"/>
      <c r="N274" s="52"/>
      <c r="O274" s="52" t="s">
        <v>1409</v>
      </c>
      <c r="P274" s="52"/>
      <c r="Q274" s="60" t="s">
        <v>427</v>
      </c>
    </row>
    <row r="275" spans="1:17" s="60" customFormat="1" ht="84">
      <c r="A275" s="52"/>
      <c r="B275" s="53"/>
      <c r="C275" s="54"/>
      <c r="D275" s="61">
        <v>40303.628472222219</v>
      </c>
      <c r="E275" s="52" t="s">
        <v>1528</v>
      </c>
      <c r="F275" s="52" t="s">
        <v>1188</v>
      </c>
      <c r="G275" s="52" t="s">
        <v>1162</v>
      </c>
      <c r="H275" s="52"/>
      <c r="I275" s="52" t="s">
        <v>668</v>
      </c>
      <c r="J275" s="52" t="s">
        <v>1529</v>
      </c>
      <c r="K275" s="52">
        <v>7</v>
      </c>
      <c r="L275" s="95" t="s">
        <v>1517</v>
      </c>
      <c r="M275" s="52"/>
      <c r="N275" s="52"/>
      <c r="O275" s="52" t="s">
        <v>1410</v>
      </c>
      <c r="P275" s="52"/>
      <c r="Q275" s="60" t="s">
        <v>427</v>
      </c>
    </row>
    <row r="276" spans="1:17" s="60" customFormat="1" ht="72">
      <c r="A276" s="52"/>
      <c r="B276" s="53"/>
      <c r="C276" s="54"/>
      <c r="D276" s="61">
        <v>40303.629166666666</v>
      </c>
      <c r="E276" s="52" t="s">
        <v>1528</v>
      </c>
      <c r="F276" s="52" t="s">
        <v>1188</v>
      </c>
      <c r="G276" s="52" t="s">
        <v>1162</v>
      </c>
      <c r="H276" s="52"/>
      <c r="I276" s="52" t="s">
        <v>668</v>
      </c>
      <c r="J276" s="52" t="s">
        <v>1529</v>
      </c>
      <c r="K276" s="52">
        <v>7</v>
      </c>
      <c r="L276" s="95" t="s">
        <v>1518</v>
      </c>
      <c r="M276" s="52"/>
      <c r="N276" s="52"/>
      <c r="O276" s="52" t="s">
        <v>1411</v>
      </c>
      <c r="P276" s="52"/>
      <c r="Q276" s="60" t="s">
        <v>427</v>
      </c>
    </row>
    <row r="277" spans="1:17" s="60" customFormat="1" ht="72">
      <c r="A277" s="52"/>
      <c r="B277" s="53"/>
      <c r="C277" s="54"/>
      <c r="D277" s="61">
        <v>40303.629861111112</v>
      </c>
      <c r="E277" s="52" t="s">
        <v>1528</v>
      </c>
      <c r="F277" s="52" t="s">
        <v>1188</v>
      </c>
      <c r="G277" s="52" t="s">
        <v>1162</v>
      </c>
      <c r="H277" s="52"/>
      <c r="I277" s="52" t="s">
        <v>668</v>
      </c>
      <c r="J277" s="52" t="s">
        <v>1529</v>
      </c>
      <c r="K277" s="52">
        <v>7</v>
      </c>
      <c r="L277" s="95" t="s">
        <v>1519</v>
      </c>
      <c r="M277" s="52"/>
      <c r="N277" s="52"/>
      <c r="O277" s="52" t="s">
        <v>1412</v>
      </c>
      <c r="P277" s="52"/>
      <c r="Q277" s="60" t="s">
        <v>427</v>
      </c>
    </row>
    <row r="278" spans="1:17" s="60" customFormat="1" ht="24">
      <c r="A278" s="52"/>
      <c r="B278" s="53"/>
      <c r="C278" s="54"/>
      <c r="D278" s="55">
        <v>40303.635416666664</v>
      </c>
      <c r="E278" s="118" t="s">
        <v>1098</v>
      </c>
      <c r="F278" s="118" t="s">
        <v>425</v>
      </c>
      <c r="G278" s="118" t="s">
        <v>1260</v>
      </c>
      <c r="H278" s="52"/>
      <c r="I278" s="118" t="s">
        <v>1262</v>
      </c>
      <c r="J278" s="118"/>
      <c r="K278" s="52"/>
      <c r="L278" s="118" t="s">
        <v>1252</v>
      </c>
      <c r="M278" s="52"/>
      <c r="N278" s="52"/>
      <c r="O278" s="118" t="s">
        <v>1252</v>
      </c>
      <c r="P278" s="52"/>
      <c r="Q278" s="118" t="s">
        <v>1267</v>
      </c>
    </row>
    <row r="279" spans="1:17" s="60" customFormat="1">
      <c r="A279" s="52"/>
      <c r="B279" s="53"/>
      <c r="C279" s="54"/>
      <c r="D279" s="61">
        <v>40303.645833333336</v>
      </c>
      <c r="E279" s="52" t="s">
        <v>1576</v>
      </c>
      <c r="F279" s="52" t="s">
        <v>1188</v>
      </c>
      <c r="G279" s="52" t="s">
        <v>1160</v>
      </c>
      <c r="H279" s="52"/>
      <c r="I279" s="52" t="s">
        <v>668</v>
      </c>
      <c r="J279" s="52"/>
      <c r="K279" s="52"/>
      <c r="L279" s="52" t="s">
        <v>1149</v>
      </c>
      <c r="M279" s="52"/>
      <c r="N279" s="52"/>
      <c r="O279" s="52" t="s">
        <v>1149</v>
      </c>
      <c r="P279" s="52"/>
      <c r="Q279" s="60" t="s">
        <v>427</v>
      </c>
    </row>
    <row r="280" spans="1:17" s="60" customFormat="1">
      <c r="A280" s="52"/>
      <c r="B280" s="53"/>
      <c r="C280" s="54"/>
      <c r="D280" s="61">
        <v>40303.646527777775</v>
      </c>
      <c r="E280" s="52" t="s">
        <v>1161</v>
      </c>
      <c r="F280" s="52" t="s">
        <v>1188</v>
      </c>
      <c r="G280" s="52" t="s">
        <v>1163</v>
      </c>
      <c r="H280" s="52"/>
      <c r="I280" s="52" t="s">
        <v>668</v>
      </c>
      <c r="J280" s="52"/>
      <c r="K280" s="52">
        <v>9</v>
      </c>
      <c r="L280" s="52" t="s">
        <v>1148</v>
      </c>
      <c r="M280" s="52"/>
      <c r="N280" s="52"/>
      <c r="O280" s="52" t="s">
        <v>1148</v>
      </c>
      <c r="P280" s="52"/>
      <c r="Q280" s="60" t="s">
        <v>427</v>
      </c>
    </row>
    <row r="281" spans="1:17" s="60" customFormat="1" ht="51" customHeight="1">
      <c r="A281" s="52"/>
      <c r="B281" s="53"/>
      <c r="C281" s="54"/>
      <c r="D281" s="80">
        <v>40303.647222222222</v>
      </c>
      <c r="E281" s="52" t="s">
        <v>430</v>
      </c>
      <c r="F281" s="52" t="s">
        <v>425</v>
      </c>
      <c r="G281" s="52"/>
      <c r="H281" s="52" t="s">
        <v>1293</v>
      </c>
      <c r="I281" s="52"/>
      <c r="K281" s="52"/>
      <c r="L281" s="60" t="s">
        <v>1291</v>
      </c>
      <c r="M281" s="52"/>
      <c r="N281" s="52"/>
      <c r="O281" s="60" t="s">
        <v>1291</v>
      </c>
      <c r="P281" s="52"/>
      <c r="Q281" s="60" t="s">
        <v>1294</v>
      </c>
    </row>
    <row r="282" spans="1:17" s="60" customFormat="1" ht="108">
      <c r="A282" s="52"/>
      <c r="B282" s="53">
        <v>40303</v>
      </c>
      <c r="C282" s="54">
        <v>40303.666666666664</v>
      </c>
      <c r="D282" s="61">
        <v>40303.666666666664</v>
      </c>
      <c r="E282" s="52" t="s">
        <v>1098</v>
      </c>
      <c r="F282" s="52" t="s">
        <v>425</v>
      </c>
      <c r="G282" s="62" t="s">
        <v>429</v>
      </c>
      <c r="H282" s="52"/>
      <c r="I282" s="62" t="s">
        <v>426</v>
      </c>
      <c r="J282" s="52" t="s">
        <v>388</v>
      </c>
      <c r="K282" s="62" t="s">
        <v>423</v>
      </c>
      <c r="L282" s="95" t="s">
        <v>388</v>
      </c>
      <c r="M282" s="62"/>
      <c r="N282" s="52"/>
      <c r="O282" s="52" t="s">
        <v>1413</v>
      </c>
      <c r="P282" s="52"/>
      <c r="Q282" s="60" t="s">
        <v>427</v>
      </c>
    </row>
    <row r="283" spans="1:17" s="60" customFormat="1" ht="84">
      <c r="A283" s="52"/>
      <c r="B283" s="53"/>
      <c r="C283" s="54"/>
      <c r="D283" s="55">
        <v>40303.677083333336</v>
      </c>
      <c r="E283" s="60" t="s">
        <v>430</v>
      </c>
      <c r="F283" s="52" t="s">
        <v>1319</v>
      </c>
      <c r="G283" s="60" t="s">
        <v>1323</v>
      </c>
      <c r="H283" s="52" t="s">
        <v>1318</v>
      </c>
      <c r="I283" s="52" t="s">
        <v>1227</v>
      </c>
      <c r="J283" s="60" t="s">
        <v>1324</v>
      </c>
      <c r="K283" s="52"/>
      <c r="L283" s="60" t="s">
        <v>1322</v>
      </c>
      <c r="M283" s="60" t="s">
        <v>1325</v>
      </c>
      <c r="N283" s="60" t="s">
        <v>1400</v>
      </c>
      <c r="O283" s="60" t="s">
        <v>1401</v>
      </c>
      <c r="P283" s="60" t="s">
        <v>1401</v>
      </c>
      <c r="Q283" s="60" t="s">
        <v>1314</v>
      </c>
    </row>
    <row r="284" spans="1:17" s="60" customFormat="1" ht="36">
      <c r="A284" s="52"/>
      <c r="B284" s="53"/>
      <c r="C284" s="54"/>
      <c r="D284" s="55">
        <v>40303.677083333336</v>
      </c>
      <c r="E284" s="118" t="s">
        <v>430</v>
      </c>
      <c r="F284" s="118" t="s">
        <v>425</v>
      </c>
      <c r="G284" s="118" t="s">
        <v>1261</v>
      </c>
      <c r="H284" s="52"/>
      <c r="I284" s="118" t="s">
        <v>1266</v>
      </c>
      <c r="J284" s="118"/>
      <c r="K284" s="52"/>
      <c r="L284" s="118" t="s">
        <v>1254</v>
      </c>
      <c r="M284" s="52"/>
      <c r="N284" s="52"/>
      <c r="O284" s="118" t="s">
        <v>1254</v>
      </c>
      <c r="P284" s="52"/>
      <c r="Q284" s="118" t="s">
        <v>1267</v>
      </c>
    </row>
    <row r="285" spans="1:17" s="60" customFormat="1" ht="84">
      <c r="A285" s="52"/>
      <c r="B285" s="53"/>
      <c r="C285" s="54"/>
      <c r="D285" s="55">
        <v>40303.697916666664</v>
      </c>
      <c r="E285" s="52" t="s">
        <v>1098</v>
      </c>
      <c r="F285" s="52" t="s">
        <v>394</v>
      </c>
      <c r="G285" s="52" t="s">
        <v>1295</v>
      </c>
      <c r="H285" s="52" t="s">
        <v>801</v>
      </c>
      <c r="I285" s="52" t="s">
        <v>802</v>
      </c>
      <c r="J285" s="52" t="s">
        <v>1521</v>
      </c>
      <c r="K285" s="52"/>
      <c r="L285" s="95" t="s">
        <v>1522</v>
      </c>
      <c r="M285" s="52"/>
      <c r="N285" s="83" t="s">
        <v>1402</v>
      </c>
      <c r="O285" s="52" t="s">
        <v>1403</v>
      </c>
      <c r="P285" s="52"/>
      <c r="Q285" s="60" t="s">
        <v>1298</v>
      </c>
    </row>
    <row r="286" spans="1:17" s="60" customFormat="1" ht="36">
      <c r="A286" s="52"/>
      <c r="B286" s="53">
        <v>40303.708333333336</v>
      </c>
      <c r="C286" s="81">
        <v>40303.708333333336</v>
      </c>
      <c r="D286" s="80">
        <v>40303.708333333336</v>
      </c>
      <c r="E286" s="115" t="s">
        <v>1098</v>
      </c>
      <c r="F286" s="52" t="s">
        <v>1103</v>
      </c>
      <c r="G286" s="52"/>
      <c r="H286" s="52"/>
      <c r="I286" s="52"/>
      <c r="J286" s="115" t="s">
        <v>1559</v>
      </c>
      <c r="K286" s="52"/>
      <c r="L286" s="116" t="s">
        <v>965</v>
      </c>
      <c r="M286" s="52"/>
      <c r="N286" s="52"/>
      <c r="O286" s="52"/>
      <c r="P286" s="52"/>
      <c r="Q286" s="60" t="s">
        <v>891</v>
      </c>
    </row>
    <row r="287" spans="1:17" s="60" customFormat="1" ht="36">
      <c r="A287" s="52"/>
      <c r="B287" s="53">
        <v>40303.708333333336</v>
      </c>
      <c r="C287" s="81">
        <v>40303.708333333336</v>
      </c>
      <c r="D287" s="80">
        <v>40303.709027777782</v>
      </c>
      <c r="E287" s="115" t="s">
        <v>1098</v>
      </c>
      <c r="F287" s="52" t="s">
        <v>1103</v>
      </c>
      <c r="G287" s="52"/>
      <c r="H287" s="52"/>
      <c r="I287" s="52"/>
      <c r="J287" s="115" t="s">
        <v>1559</v>
      </c>
      <c r="K287" s="52"/>
      <c r="L287" s="116" t="s">
        <v>956</v>
      </c>
      <c r="M287" s="52"/>
      <c r="N287" s="52"/>
      <c r="O287" s="52"/>
      <c r="P287" s="52"/>
      <c r="Q287" s="60" t="s">
        <v>891</v>
      </c>
    </row>
    <row r="288" spans="1:17" s="60" customFormat="1" ht="36">
      <c r="A288" s="52"/>
      <c r="B288" s="53">
        <v>40303.708333333336</v>
      </c>
      <c r="C288" s="81">
        <v>40303.708333333336</v>
      </c>
      <c r="D288" s="80">
        <v>40303.709722222229</v>
      </c>
      <c r="E288" s="115" t="s">
        <v>1098</v>
      </c>
      <c r="F288" s="52" t="s">
        <v>1103</v>
      </c>
      <c r="G288" s="52"/>
      <c r="H288" s="52"/>
      <c r="I288" s="52"/>
      <c r="J288" s="115" t="s">
        <v>1559</v>
      </c>
      <c r="K288" s="52"/>
      <c r="L288" s="116" t="s">
        <v>957</v>
      </c>
      <c r="M288" s="52"/>
      <c r="N288" s="52"/>
      <c r="O288" s="52"/>
      <c r="P288" s="52"/>
      <c r="Q288" s="60" t="s">
        <v>891</v>
      </c>
    </row>
    <row r="289" spans="1:17" s="60" customFormat="1" ht="36">
      <c r="A289" s="52"/>
      <c r="B289" s="53">
        <v>40303.708333333336</v>
      </c>
      <c r="C289" s="81">
        <v>40303.708333333336</v>
      </c>
      <c r="D289" s="80">
        <v>40303.710416666676</v>
      </c>
      <c r="E289" s="115" t="s">
        <v>1098</v>
      </c>
      <c r="F289" s="52" t="s">
        <v>1103</v>
      </c>
      <c r="G289" s="52"/>
      <c r="H289" s="52"/>
      <c r="I289" s="52"/>
      <c r="J289" s="115" t="s">
        <v>1559</v>
      </c>
      <c r="K289" s="52"/>
      <c r="L289" s="116" t="s">
        <v>958</v>
      </c>
      <c r="M289" s="52"/>
      <c r="N289" s="52"/>
      <c r="O289" s="52"/>
      <c r="P289" s="52"/>
      <c r="Q289" s="60" t="s">
        <v>891</v>
      </c>
    </row>
    <row r="290" spans="1:17" s="60" customFormat="1" ht="36">
      <c r="A290" s="52"/>
      <c r="B290" s="53"/>
      <c r="C290" s="54"/>
      <c r="D290" s="80">
        <v>40303.711111111123</v>
      </c>
      <c r="E290" s="60" t="s">
        <v>430</v>
      </c>
      <c r="F290" s="52" t="s">
        <v>425</v>
      </c>
      <c r="G290" s="62"/>
      <c r="H290" s="52" t="s">
        <v>787</v>
      </c>
      <c r="I290" s="62"/>
      <c r="J290" s="52" t="s">
        <v>1541</v>
      </c>
      <c r="K290" s="62"/>
      <c r="L290" s="60" t="s">
        <v>812</v>
      </c>
      <c r="M290" s="60" t="s">
        <v>776</v>
      </c>
      <c r="N290" s="52"/>
      <c r="O290" s="60" t="s">
        <v>775</v>
      </c>
      <c r="P290" s="60" t="s">
        <v>788</v>
      </c>
      <c r="Q290" s="60" t="s">
        <v>810</v>
      </c>
    </row>
    <row r="291" spans="1:17" s="60" customFormat="1" ht="36">
      <c r="A291" s="52"/>
      <c r="B291" s="53">
        <v>40303.708333333336</v>
      </c>
      <c r="C291" s="81">
        <v>40303.708333333336</v>
      </c>
      <c r="D291" s="80">
        <v>40303.711805555569</v>
      </c>
      <c r="E291" s="115" t="s">
        <v>1098</v>
      </c>
      <c r="F291" s="52" t="s">
        <v>1103</v>
      </c>
      <c r="G291" s="52"/>
      <c r="H291" s="52"/>
      <c r="I291" s="52"/>
      <c r="J291" s="115" t="s">
        <v>1559</v>
      </c>
      <c r="K291" s="52"/>
      <c r="L291" s="116" t="s">
        <v>959</v>
      </c>
      <c r="M291" s="52"/>
      <c r="N291" s="52"/>
      <c r="O291" s="52"/>
      <c r="P291" s="52"/>
      <c r="Q291" s="60" t="s">
        <v>891</v>
      </c>
    </row>
    <row r="292" spans="1:17" s="60" customFormat="1" ht="36">
      <c r="A292" s="52"/>
      <c r="B292" s="53">
        <v>40303.708333333336</v>
      </c>
      <c r="C292" s="81">
        <v>40303.708333333336</v>
      </c>
      <c r="D292" s="80">
        <v>40303.712500000016</v>
      </c>
      <c r="E292" s="115" t="s">
        <v>1098</v>
      </c>
      <c r="F292" s="52" t="s">
        <v>1103</v>
      </c>
      <c r="G292" s="52"/>
      <c r="H292" s="52"/>
      <c r="I292" s="52"/>
      <c r="J292" s="115" t="s">
        <v>1559</v>
      </c>
      <c r="K292" s="52"/>
      <c r="L292" s="116" t="s">
        <v>960</v>
      </c>
      <c r="M292" s="52"/>
      <c r="N292" s="52"/>
      <c r="O292" s="52"/>
      <c r="P292" s="52"/>
      <c r="Q292" s="60" t="s">
        <v>891</v>
      </c>
    </row>
    <row r="293" spans="1:17" s="60" customFormat="1" ht="36">
      <c r="A293" s="52"/>
      <c r="B293" s="53">
        <v>40303.708333333336</v>
      </c>
      <c r="C293" s="81">
        <v>40303.708333333336</v>
      </c>
      <c r="D293" s="80">
        <v>40303.713194444463</v>
      </c>
      <c r="E293" s="115" t="s">
        <v>1098</v>
      </c>
      <c r="F293" s="52" t="s">
        <v>1103</v>
      </c>
      <c r="G293" s="52"/>
      <c r="H293" s="52"/>
      <c r="I293" s="52"/>
      <c r="J293" s="115" t="s">
        <v>1559</v>
      </c>
      <c r="K293" s="52"/>
      <c r="L293" s="116" t="s">
        <v>996</v>
      </c>
      <c r="M293" s="52"/>
      <c r="N293" s="52"/>
      <c r="O293" s="52"/>
      <c r="P293" s="52"/>
      <c r="Q293" s="60" t="s">
        <v>891</v>
      </c>
    </row>
    <row r="294" spans="1:17" s="60" customFormat="1" ht="36">
      <c r="A294" s="52"/>
      <c r="B294" s="53">
        <v>40303.708333333336</v>
      </c>
      <c r="C294" s="81">
        <v>40303.708333333336</v>
      </c>
      <c r="D294" s="80">
        <v>40303.713888888909</v>
      </c>
      <c r="E294" s="115" t="s">
        <v>1098</v>
      </c>
      <c r="F294" s="52" t="s">
        <v>1103</v>
      </c>
      <c r="G294" s="52"/>
      <c r="H294" s="52"/>
      <c r="I294" s="52"/>
      <c r="J294" s="115" t="s">
        <v>1559</v>
      </c>
      <c r="K294" s="52"/>
      <c r="L294" s="116" t="s">
        <v>961</v>
      </c>
      <c r="M294" s="52"/>
      <c r="N294" s="52"/>
      <c r="O294" s="52"/>
      <c r="P294" s="52"/>
      <c r="Q294" s="60" t="s">
        <v>891</v>
      </c>
    </row>
    <row r="295" spans="1:17" s="60" customFormat="1" ht="60">
      <c r="A295" s="52"/>
      <c r="B295" s="53">
        <v>40303.708333333336</v>
      </c>
      <c r="C295" s="81">
        <v>40303.708333333336</v>
      </c>
      <c r="D295" s="80">
        <v>40303.714583333356</v>
      </c>
      <c r="E295" s="115" t="s">
        <v>1098</v>
      </c>
      <c r="F295" s="52" t="s">
        <v>1103</v>
      </c>
      <c r="G295" s="52"/>
      <c r="H295" s="52"/>
      <c r="I295" s="52"/>
      <c r="J295" s="115" t="s">
        <v>1559</v>
      </c>
      <c r="K295" s="52"/>
      <c r="L295" s="116" t="s">
        <v>962</v>
      </c>
      <c r="M295" s="52"/>
      <c r="N295" s="52"/>
      <c r="O295" s="52"/>
      <c r="P295" s="52"/>
      <c r="Q295" s="60" t="s">
        <v>891</v>
      </c>
    </row>
    <row r="296" spans="1:17" s="60" customFormat="1" ht="36">
      <c r="A296" s="52"/>
      <c r="B296" s="53">
        <v>40303.708333333336</v>
      </c>
      <c r="C296" s="81">
        <v>40303.708333333336</v>
      </c>
      <c r="D296" s="80">
        <v>40303.715277777803</v>
      </c>
      <c r="E296" s="115" t="s">
        <v>1098</v>
      </c>
      <c r="F296" s="52" t="s">
        <v>1103</v>
      </c>
      <c r="G296" s="52"/>
      <c r="H296" s="52"/>
      <c r="I296" s="52"/>
      <c r="J296" s="115" t="s">
        <v>1559</v>
      </c>
      <c r="K296" s="52"/>
      <c r="L296" s="116" t="s">
        <v>963</v>
      </c>
      <c r="M296" s="52"/>
      <c r="N296" s="52"/>
      <c r="O296" s="52"/>
      <c r="P296" s="52"/>
      <c r="Q296" s="60" t="s">
        <v>891</v>
      </c>
    </row>
    <row r="297" spans="1:17" s="60" customFormat="1" ht="36">
      <c r="A297" s="52"/>
      <c r="B297" s="53">
        <v>40303.708333333336</v>
      </c>
      <c r="C297" s="81">
        <v>40303.708333333336</v>
      </c>
      <c r="D297" s="80">
        <v>40303.71597222225</v>
      </c>
      <c r="E297" s="115" t="s">
        <v>1098</v>
      </c>
      <c r="F297" s="52" t="s">
        <v>1103</v>
      </c>
      <c r="G297" s="52"/>
      <c r="H297" s="52"/>
      <c r="I297" s="52"/>
      <c r="J297" s="115" t="s">
        <v>1559</v>
      </c>
      <c r="K297" s="52"/>
      <c r="L297" s="116" t="s">
        <v>964</v>
      </c>
      <c r="M297" s="52"/>
      <c r="N297" s="52"/>
      <c r="O297" s="52"/>
      <c r="P297" s="52"/>
      <c r="Q297" s="60" t="s">
        <v>891</v>
      </c>
    </row>
    <row r="298" spans="1:17" s="60" customFormat="1" ht="84">
      <c r="A298" s="52"/>
      <c r="B298" s="53"/>
      <c r="C298" s="54"/>
      <c r="D298" s="55">
        <v>40303.716666666667</v>
      </c>
      <c r="E298" s="52" t="s">
        <v>1098</v>
      </c>
      <c r="F298" s="52" t="s">
        <v>394</v>
      </c>
      <c r="G298" s="52" t="s">
        <v>1276</v>
      </c>
      <c r="H298" s="52"/>
      <c r="I298" s="52" t="s">
        <v>680</v>
      </c>
      <c r="J298" s="52" t="s">
        <v>1521</v>
      </c>
      <c r="K298" s="52"/>
      <c r="L298" s="98" t="s">
        <v>1404</v>
      </c>
      <c r="M298" s="52"/>
      <c r="N298" s="98" t="s">
        <v>1404</v>
      </c>
      <c r="O298" s="52" t="s">
        <v>1405</v>
      </c>
      <c r="P298" s="52"/>
      <c r="Q298" s="60" t="s">
        <v>1298</v>
      </c>
    </row>
    <row r="299" spans="1:17" s="60" customFormat="1" ht="84">
      <c r="A299" s="52"/>
      <c r="B299" s="53"/>
      <c r="C299" s="54"/>
      <c r="D299" s="55">
        <v>40303.739583333336</v>
      </c>
      <c r="E299" s="52" t="s">
        <v>1098</v>
      </c>
      <c r="F299" s="52" t="s">
        <v>394</v>
      </c>
      <c r="G299" s="52" t="s">
        <v>1295</v>
      </c>
      <c r="H299" s="52"/>
      <c r="I299" s="52" t="s">
        <v>802</v>
      </c>
      <c r="J299" s="52" t="s">
        <v>1523</v>
      </c>
      <c r="K299" s="52"/>
      <c r="L299" s="95" t="s">
        <v>1406</v>
      </c>
      <c r="M299" s="52"/>
      <c r="N299" s="95" t="s">
        <v>1406</v>
      </c>
      <c r="O299" s="52" t="s">
        <v>1393</v>
      </c>
      <c r="P299" s="52"/>
      <c r="Q299" s="60" t="s">
        <v>1298</v>
      </c>
    </row>
    <row r="300" spans="1:17" s="60" customFormat="1" ht="48">
      <c r="A300" s="52"/>
      <c r="B300" s="53"/>
      <c r="C300" s="54"/>
      <c r="D300" s="80">
        <v>40303.75</v>
      </c>
      <c r="E300" s="60" t="s">
        <v>430</v>
      </c>
      <c r="F300" s="52" t="s">
        <v>425</v>
      </c>
      <c r="G300" s="62"/>
      <c r="H300" s="52" t="s">
        <v>787</v>
      </c>
      <c r="I300" s="62"/>
      <c r="J300" s="52" t="s">
        <v>1541</v>
      </c>
      <c r="K300" s="62"/>
      <c r="L300" s="60" t="s">
        <v>770</v>
      </c>
      <c r="M300" s="62" t="s">
        <v>781</v>
      </c>
      <c r="N300" s="52"/>
      <c r="O300" s="60" t="s">
        <v>770</v>
      </c>
      <c r="P300" s="52"/>
      <c r="Q300" s="60" t="s">
        <v>810</v>
      </c>
    </row>
    <row r="301" spans="1:17" s="60" customFormat="1" ht="24">
      <c r="A301" s="52"/>
      <c r="B301" s="53"/>
      <c r="C301" s="54"/>
      <c r="D301" s="80">
        <v>40303.750694444447</v>
      </c>
      <c r="E301" s="52" t="s">
        <v>430</v>
      </c>
      <c r="F301" s="52" t="s">
        <v>425</v>
      </c>
      <c r="G301" s="52" t="s">
        <v>671</v>
      </c>
      <c r="H301" s="52" t="s">
        <v>672</v>
      </c>
      <c r="I301" s="62" t="s">
        <v>668</v>
      </c>
      <c r="J301" s="52"/>
      <c r="K301" s="62"/>
      <c r="L301" s="52" t="s">
        <v>1524</v>
      </c>
      <c r="M301" s="62"/>
      <c r="N301" s="52"/>
      <c r="O301" s="52" t="s">
        <v>673</v>
      </c>
      <c r="P301" s="52" t="s">
        <v>670</v>
      </c>
      <c r="Q301" s="60" t="s">
        <v>657</v>
      </c>
    </row>
    <row r="302" spans="1:17" s="60" customFormat="1" ht="48">
      <c r="A302" s="52"/>
      <c r="B302" s="53"/>
      <c r="C302" s="54"/>
      <c r="D302" s="55">
        <v>40303.760416666664</v>
      </c>
      <c r="E302" s="118" t="s">
        <v>1098</v>
      </c>
      <c r="F302" s="118" t="s">
        <v>425</v>
      </c>
      <c r="G302" s="118" t="s">
        <v>593</v>
      </c>
      <c r="H302" s="52"/>
      <c r="I302" s="118" t="s">
        <v>1262</v>
      </c>
      <c r="J302" s="118"/>
      <c r="K302" s="52"/>
      <c r="L302" s="118" t="s">
        <v>1250</v>
      </c>
      <c r="M302" s="52"/>
      <c r="N302" s="52"/>
      <c r="O302" s="118" t="s">
        <v>1250</v>
      </c>
      <c r="P302" s="52"/>
      <c r="Q302" s="118" t="s">
        <v>1267</v>
      </c>
    </row>
    <row r="303" spans="1:17" s="60" customFormat="1" ht="36">
      <c r="A303" s="52"/>
      <c r="B303" s="53"/>
      <c r="C303" s="54"/>
      <c r="D303" s="55">
        <v>40303.767361111109</v>
      </c>
      <c r="E303" s="118" t="s">
        <v>1098</v>
      </c>
      <c r="F303" s="118" t="s">
        <v>425</v>
      </c>
      <c r="G303" s="118" t="s">
        <v>593</v>
      </c>
      <c r="H303" s="52"/>
      <c r="I303" s="118" t="s">
        <v>623</v>
      </c>
      <c r="J303" s="118"/>
      <c r="K303" s="52"/>
      <c r="L303" s="118" t="s">
        <v>1249</v>
      </c>
      <c r="M303" s="52"/>
      <c r="N303" s="52"/>
      <c r="O303" s="118" t="s">
        <v>1249</v>
      </c>
      <c r="P303" s="52"/>
      <c r="Q303" s="118" t="s">
        <v>1267</v>
      </c>
    </row>
    <row r="304" spans="1:17" s="60" customFormat="1" ht="48">
      <c r="A304" s="52"/>
      <c r="B304" s="53"/>
      <c r="C304" s="54"/>
      <c r="D304" s="55">
        <v>40303.784722222219</v>
      </c>
      <c r="E304" s="52" t="s">
        <v>1098</v>
      </c>
      <c r="F304" s="52" t="s">
        <v>394</v>
      </c>
      <c r="G304" s="52" t="s">
        <v>1295</v>
      </c>
      <c r="H304" s="52"/>
      <c r="I304" s="52" t="s">
        <v>802</v>
      </c>
      <c r="J304" s="52" t="s">
        <v>1523</v>
      </c>
      <c r="K304" s="52"/>
      <c r="L304" s="95" t="s">
        <v>1525</v>
      </c>
      <c r="M304" s="52"/>
      <c r="N304" s="52"/>
      <c r="O304" s="95" t="s">
        <v>1394</v>
      </c>
      <c r="P304" s="52"/>
      <c r="Q304" s="60" t="s">
        <v>1298</v>
      </c>
    </row>
    <row r="305" spans="1:17" s="60" customFormat="1" ht="60">
      <c r="A305" s="52"/>
      <c r="B305" s="53"/>
      <c r="C305" s="54"/>
      <c r="D305" s="55">
        <v>40303.802083333336</v>
      </c>
      <c r="E305" s="118" t="s">
        <v>430</v>
      </c>
      <c r="F305" s="118" t="s">
        <v>425</v>
      </c>
      <c r="G305" s="118" t="s">
        <v>1260</v>
      </c>
      <c r="H305" s="52"/>
      <c r="I305" s="118" t="s">
        <v>623</v>
      </c>
      <c r="J305" s="118"/>
      <c r="K305" s="52"/>
      <c r="L305" s="118" t="s">
        <v>1256</v>
      </c>
      <c r="M305" s="52"/>
      <c r="N305" s="52"/>
      <c r="O305" s="118" t="s">
        <v>1256</v>
      </c>
      <c r="P305" s="52"/>
      <c r="Q305" s="118" t="s">
        <v>1267</v>
      </c>
    </row>
    <row r="306" spans="1:17" s="60" customFormat="1">
      <c r="A306" s="52"/>
      <c r="B306" s="53"/>
      <c r="C306" s="54"/>
      <c r="D306" s="80">
        <v>40303.802777777775</v>
      </c>
      <c r="E306" s="52" t="s">
        <v>430</v>
      </c>
      <c r="F306" s="52" t="s">
        <v>425</v>
      </c>
      <c r="G306" s="52"/>
      <c r="H306" s="52" t="s">
        <v>1293</v>
      </c>
      <c r="I306" s="52"/>
      <c r="K306" s="52"/>
      <c r="L306" s="60" t="s">
        <v>1286</v>
      </c>
      <c r="M306" s="52"/>
      <c r="N306" s="52"/>
      <c r="O306" s="60" t="s">
        <v>1286</v>
      </c>
      <c r="P306" s="52"/>
      <c r="Q306" s="60" t="s">
        <v>1294</v>
      </c>
    </row>
    <row r="307" spans="1:17" s="60" customFormat="1" ht="108">
      <c r="A307" s="52"/>
      <c r="B307" s="53">
        <v>40303</v>
      </c>
      <c r="C307" s="54">
        <v>40303.916666666664</v>
      </c>
      <c r="D307" s="61">
        <v>40303.916666666664</v>
      </c>
      <c r="E307" s="52" t="s">
        <v>1098</v>
      </c>
      <c r="F307" s="52" t="s">
        <v>425</v>
      </c>
      <c r="G307" s="62" t="s">
        <v>429</v>
      </c>
      <c r="H307" s="52"/>
      <c r="I307" s="62" t="s">
        <v>426</v>
      </c>
      <c r="J307" s="52" t="s">
        <v>389</v>
      </c>
      <c r="K307" s="62" t="s">
        <v>423</v>
      </c>
      <c r="L307" s="52" t="s">
        <v>389</v>
      </c>
      <c r="M307" s="62"/>
      <c r="N307" s="52"/>
      <c r="O307" s="52" t="s">
        <v>1395</v>
      </c>
      <c r="P307" s="52"/>
      <c r="Q307" s="60" t="s">
        <v>427</v>
      </c>
    </row>
    <row r="308" spans="1:17" s="60" customFormat="1" ht="24">
      <c r="A308" s="52"/>
      <c r="B308" s="53"/>
      <c r="C308" s="54"/>
      <c r="D308" s="55">
        <v>40304.052083333336</v>
      </c>
      <c r="E308" s="118" t="s">
        <v>430</v>
      </c>
      <c r="F308" s="118" t="s">
        <v>425</v>
      </c>
      <c r="G308" s="118" t="s">
        <v>1259</v>
      </c>
      <c r="H308" s="52"/>
      <c r="I308" s="118" t="s">
        <v>1265</v>
      </c>
      <c r="J308" s="118"/>
      <c r="K308" s="52"/>
      <c r="L308" s="118" t="s">
        <v>1251</v>
      </c>
      <c r="M308" s="52"/>
      <c r="N308" s="52"/>
      <c r="O308" s="118" t="s">
        <v>1251</v>
      </c>
      <c r="P308" s="52"/>
      <c r="Q308" s="118" t="s">
        <v>1267</v>
      </c>
    </row>
    <row r="309" spans="1:17" s="60" customFormat="1" ht="48">
      <c r="A309" s="52"/>
      <c r="B309" s="53"/>
      <c r="C309" s="54"/>
      <c r="D309" s="61">
        <v>40304.291666666664</v>
      </c>
      <c r="E309" s="52" t="s">
        <v>1098</v>
      </c>
      <c r="F309" s="52" t="s">
        <v>1188</v>
      </c>
      <c r="G309" s="52" t="s">
        <v>593</v>
      </c>
      <c r="H309" s="52"/>
      <c r="I309" s="52" t="s">
        <v>593</v>
      </c>
      <c r="J309" s="52"/>
      <c r="K309" s="52"/>
      <c r="L309" s="95" t="s">
        <v>1463</v>
      </c>
      <c r="M309" s="52"/>
      <c r="N309" s="52"/>
      <c r="O309" s="52" t="s">
        <v>1396</v>
      </c>
      <c r="P309" s="52"/>
      <c r="Q309" s="60" t="s">
        <v>427</v>
      </c>
    </row>
    <row r="310" spans="1:17" s="60" customFormat="1" ht="108">
      <c r="A310" s="52"/>
      <c r="B310" s="53">
        <v>40304</v>
      </c>
      <c r="C310" s="54">
        <v>40304.166666666664</v>
      </c>
      <c r="D310" s="61">
        <v>40304.166666666664</v>
      </c>
      <c r="E310" s="52" t="s">
        <v>1098</v>
      </c>
      <c r="F310" s="52" t="s">
        <v>425</v>
      </c>
      <c r="G310" s="62" t="s">
        <v>429</v>
      </c>
      <c r="H310" s="52"/>
      <c r="I310" s="62" t="s">
        <v>426</v>
      </c>
      <c r="J310" s="52" t="s">
        <v>390</v>
      </c>
      <c r="K310" s="62" t="s">
        <v>423</v>
      </c>
      <c r="L310" s="52" t="s">
        <v>390</v>
      </c>
      <c r="M310" s="62"/>
      <c r="N310" s="52"/>
      <c r="O310" s="52" t="s">
        <v>1397</v>
      </c>
      <c r="P310" s="52"/>
      <c r="Q310" s="60" t="s">
        <v>427</v>
      </c>
    </row>
    <row r="311" spans="1:17" s="60" customFormat="1" ht="36">
      <c r="A311" s="52"/>
      <c r="B311" s="53">
        <v>40304.208333333336</v>
      </c>
      <c r="C311" s="81">
        <v>40304.208333333336</v>
      </c>
      <c r="D311" s="80">
        <v>40304.22152777778</v>
      </c>
      <c r="E311" s="115" t="s">
        <v>1098</v>
      </c>
      <c r="F311" s="52" t="s">
        <v>1103</v>
      </c>
      <c r="G311" s="52"/>
      <c r="H311" s="52"/>
      <c r="I311" s="52"/>
      <c r="J311" s="115" t="s">
        <v>1559</v>
      </c>
      <c r="K311" s="52"/>
      <c r="L311" s="116" t="s">
        <v>966</v>
      </c>
      <c r="M311" s="52"/>
      <c r="N311" s="52"/>
      <c r="O311" s="52"/>
      <c r="P311" s="52"/>
      <c r="Q311" s="60" t="s">
        <v>891</v>
      </c>
    </row>
    <row r="312" spans="1:17" s="60" customFormat="1" ht="36">
      <c r="A312" s="52"/>
      <c r="B312" s="53">
        <v>40304.208333333336</v>
      </c>
      <c r="C312" s="81">
        <v>40304.208333333336</v>
      </c>
      <c r="D312" s="80">
        <v>40304.209027777782</v>
      </c>
      <c r="E312" s="115" t="s">
        <v>1098</v>
      </c>
      <c r="F312" s="52" t="s">
        <v>1103</v>
      </c>
      <c r="G312" s="52"/>
      <c r="H312" s="52"/>
      <c r="I312" s="52"/>
      <c r="J312" s="115" t="s">
        <v>1559</v>
      </c>
      <c r="K312" s="52"/>
      <c r="L312" s="116" t="s">
        <v>957</v>
      </c>
      <c r="M312" s="52"/>
      <c r="N312" s="52"/>
      <c r="O312" s="52"/>
      <c r="P312" s="52"/>
      <c r="Q312" s="60" t="s">
        <v>891</v>
      </c>
    </row>
    <row r="313" spans="1:17" s="60" customFormat="1" ht="36">
      <c r="A313" s="52"/>
      <c r="B313" s="53">
        <v>40304.208333333336</v>
      </c>
      <c r="C313" s="81">
        <v>40304.208333333336</v>
      </c>
      <c r="D313" s="80">
        <v>40304.209722222229</v>
      </c>
      <c r="E313" s="115" t="s">
        <v>1098</v>
      </c>
      <c r="F313" s="52" t="s">
        <v>1103</v>
      </c>
      <c r="G313" s="52"/>
      <c r="H313" s="52"/>
      <c r="I313" s="52"/>
      <c r="J313" s="115" t="s">
        <v>1559</v>
      </c>
      <c r="K313" s="52"/>
      <c r="L313" s="116" t="s">
        <v>967</v>
      </c>
      <c r="M313" s="52"/>
      <c r="N313" s="52"/>
      <c r="O313" s="52"/>
      <c r="P313" s="52"/>
      <c r="Q313" s="60" t="s">
        <v>891</v>
      </c>
    </row>
    <row r="314" spans="1:17" s="60" customFormat="1" ht="36">
      <c r="A314" s="52"/>
      <c r="B314" s="53">
        <v>40304.208333333336</v>
      </c>
      <c r="C314" s="81">
        <v>40304.208333333336</v>
      </c>
      <c r="D314" s="80">
        <v>40304.210416666676</v>
      </c>
      <c r="E314" s="115" t="s">
        <v>1098</v>
      </c>
      <c r="F314" s="52" t="s">
        <v>1103</v>
      </c>
      <c r="G314" s="52"/>
      <c r="H314" s="52"/>
      <c r="I314" s="52"/>
      <c r="J314" s="115" t="s">
        <v>1559</v>
      </c>
      <c r="K314" s="52"/>
      <c r="L314" s="116" t="s">
        <v>968</v>
      </c>
      <c r="M314" s="52"/>
      <c r="N314" s="52"/>
      <c r="O314" s="52"/>
      <c r="P314" s="52"/>
      <c r="Q314" s="60" t="s">
        <v>891</v>
      </c>
    </row>
    <row r="315" spans="1:17" s="60" customFormat="1" ht="36">
      <c r="A315" s="52"/>
      <c r="B315" s="53">
        <v>40304.208333333336</v>
      </c>
      <c r="C315" s="81">
        <v>40304.208333333336</v>
      </c>
      <c r="D315" s="80">
        <v>40304.211111111123</v>
      </c>
      <c r="E315" s="115" t="s">
        <v>1098</v>
      </c>
      <c r="F315" s="52" t="s">
        <v>1103</v>
      </c>
      <c r="G315" s="52"/>
      <c r="H315" s="52"/>
      <c r="I315" s="52"/>
      <c r="J315" s="115" t="s">
        <v>1559</v>
      </c>
      <c r="K315" s="52"/>
      <c r="L315" s="116" t="s">
        <v>969</v>
      </c>
      <c r="M315" s="52"/>
      <c r="N315" s="52"/>
      <c r="O315" s="52"/>
      <c r="P315" s="52"/>
      <c r="Q315" s="60" t="s">
        <v>891</v>
      </c>
    </row>
    <row r="316" spans="1:17" s="60" customFormat="1" ht="36">
      <c r="A316" s="52"/>
      <c r="B316" s="53">
        <v>40304.208333333336</v>
      </c>
      <c r="C316" s="81">
        <v>40304.208333333336</v>
      </c>
      <c r="D316" s="80">
        <v>40304.211805555569</v>
      </c>
      <c r="E316" s="115" t="s">
        <v>1098</v>
      </c>
      <c r="F316" s="52" t="s">
        <v>1103</v>
      </c>
      <c r="G316" s="52"/>
      <c r="H316" s="52"/>
      <c r="I316" s="52"/>
      <c r="J316" s="115" t="s">
        <v>1559</v>
      </c>
      <c r="K316" s="52"/>
      <c r="L316" s="116" t="s">
        <v>970</v>
      </c>
      <c r="M316" s="52"/>
      <c r="N316" s="52"/>
      <c r="O316" s="52"/>
      <c r="P316" s="52"/>
      <c r="Q316" s="60" t="s">
        <v>891</v>
      </c>
    </row>
    <row r="317" spans="1:17" s="60" customFormat="1" ht="36">
      <c r="A317" s="52"/>
      <c r="B317" s="53">
        <v>40304.208333333336</v>
      </c>
      <c r="C317" s="81">
        <v>40304.208333333336</v>
      </c>
      <c r="D317" s="80">
        <v>40304.212500000016</v>
      </c>
      <c r="E317" s="115" t="s">
        <v>1098</v>
      </c>
      <c r="F317" s="52" t="s">
        <v>1103</v>
      </c>
      <c r="G317" s="52"/>
      <c r="H317" s="52"/>
      <c r="I317" s="52"/>
      <c r="J317" s="115" t="s">
        <v>1559</v>
      </c>
      <c r="K317" s="52"/>
      <c r="L317" s="116" t="s">
        <v>971</v>
      </c>
      <c r="M317" s="52"/>
      <c r="N317" s="52"/>
      <c r="O317" s="52"/>
      <c r="P317" s="52"/>
      <c r="Q317" s="60" t="s">
        <v>891</v>
      </c>
    </row>
    <row r="318" spans="1:17" s="60" customFormat="1" ht="36">
      <c r="A318" s="52"/>
      <c r="B318" s="53">
        <v>40304.208333333336</v>
      </c>
      <c r="C318" s="81">
        <v>40304.208333333336</v>
      </c>
      <c r="D318" s="80">
        <v>40304.213194444463</v>
      </c>
      <c r="E318" s="115" t="s">
        <v>1098</v>
      </c>
      <c r="F318" s="52" t="s">
        <v>1103</v>
      </c>
      <c r="G318" s="52"/>
      <c r="H318" s="52"/>
      <c r="I318" s="52"/>
      <c r="J318" s="115" t="s">
        <v>1559</v>
      </c>
      <c r="K318" s="52"/>
      <c r="L318" s="116" t="s">
        <v>972</v>
      </c>
      <c r="M318" s="52"/>
      <c r="N318" s="52"/>
      <c r="O318" s="52"/>
      <c r="P318" s="52"/>
      <c r="Q318" s="60" t="s">
        <v>891</v>
      </c>
    </row>
    <row r="319" spans="1:17" s="60" customFormat="1" ht="36">
      <c r="A319" s="52"/>
      <c r="B319" s="53">
        <v>40304.208333333336</v>
      </c>
      <c r="C319" s="81">
        <v>40304.208333333336</v>
      </c>
      <c r="D319" s="80">
        <v>40304.213888888909</v>
      </c>
      <c r="E319" s="115" t="s">
        <v>1098</v>
      </c>
      <c r="F319" s="52" t="s">
        <v>1103</v>
      </c>
      <c r="G319" s="52"/>
      <c r="H319" s="52"/>
      <c r="I319" s="52"/>
      <c r="J319" s="115" t="s">
        <v>1559</v>
      </c>
      <c r="K319" s="52"/>
      <c r="L319" s="116" t="s">
        <v>973</v>
      </c>
      <c r="M319" s="52"/>
      <c r="N319" s="52"/>
      <c r="O319" s="52"/>
      <c r="P319" s="52"/>
      <c r="Q319" s="60" t="s">
        <v>891</v>
      </c>
    </row>
    <row r="320" spans="1:17" s="60" customFormat="1" ht="36">
      <c r="A320" s="52"/>
      <c r="B320" s="53">
        <v>40304.208333333336</v>
      </c>
      <c r="C320" s="81">
        <v>40304.208333333336</v>
      </c>
      <c r="D320" s="80">
        <v>40304.214583333356</v>
      </c>
      <c r="E320" s="115" t="s">
        <v>1098</v>
      </c>
      <c r="F320" s="52" t="s">
        <v>1103</v>
      </c>
      <c r="G320" s="52"/>
      <c r="H320" s="52"/>
      <c r="I320" s="52"/>
      <c r="J320" s="115" t="s">
        <v>1559</v>
      </c>
      <c r="K320" s="52"/>
      <c r="L320" s="116" t="s">
        <v>974</v>
      </c>
      <c r="M320" s="52"/>
      <c r="N320" s="52"/>
      <c r="O320" s="52"/>
      <c r="P320" s="52"/>
      <c r="Q320" s="60" t="s">
        <v>891</v>
      </c>
    </row>
    <row r="321" spans="1:17" s="60" customFormat="1" ht="36">
      <c r="A321" s="52"/>
      <c r="B321" s="53">
        <v>40304.208333333336</v>
      </c>
      <c r="C321" s="81">
        <v>40304.208333333336</v>
      </c>
      <c r="D321" s="80">
        <v>40304.215277777803</v>
      </c>
      <c r="F321" s="52" t="s">
        <v>1103</v>
      </c>
      <c r="G321" s="52"/>
      <c r="H321" s="52"/>
      <c r="I321" s="52"/>
      <c r="J321" s="115" t="s">
        <v>1559</v>
      </c>
      <c r="K321" s="52"/>
      <c r="L321" s="116" t="s">
        <v>975</v>
      </c>
      <c r="M321" s="52"/>
      <c r="N321" s="52"/>
      <c r="O321" s="52"/>
      <c r="P321" s="52"/>
      <c r="Q321" s="60" t="s">
        <v>891</v>
      </c>
    </row>
    <row r="322" spans="1:17" s="60" customFormat="1" ht="54.75" customHeight="1">
      <c r="A322" s="52"/>
      <c r="B322" s="53">
        <v>40304.208333333336</v>
      </c>
      <c r="C322" s="81">
        <v>40304.208333333336</v>
      </c>
      <c r="D322" s="80">
        <v>40304.21597222225</v>
      </c>
      <c r="E322" s="115" t="s">
        <v>1098</v>
      </c>
      <c r="F322" s="52" t="s">
        <v>1103</v>
      </c>
      <c r="G322" s="52"/>
      <c r="H322" s="52"/>
      <c r="I322" s="52"/>
      <c r="J322" s="115" t="s">
        <v>1559</v>
      </c>
      <c r="K322" s="52"/>
      <c r="L322" s="116" t="s">
        <v>996</v>
      </c>
      <c r="M322" s="52"/>
      <c r="N322" s="52"/>
      <c r="O322" s="52"/>
      <c r="P322" s="52"/>
      <c r="Q322" s="60" t="s">
        <v>891</v>
      </c>
    </row>
    <row r="323" spans="1:17" s="60" customFormat="1" ht="36">
      <c r="A323" s="52"/>
      <c r="B323" s="53">
        <v>40304.208333333336</v>
      </c>
      <c r="C323" s="81">
        <v>40304.208333333336</v>
      </c>
      <c r="D323" s="80">
        <v>40304.216666666696</v>
      </c>
      <c r="E323" s="115" t="s">
        <v>1098</v>
      </c>
      <c r="F323" s="52" t="s">
        <v>1103</v>
      </c>
      <c r="G323" s="52"/>
      <c r="H323" s="52"/>
      <c r="I323" s="52"/>
      <c r="J323" s="115" t="s">
        <v>1559</v>
      </c>
      <c r="K323" s="52"/>
      <c r="L323" s="116" t="s">
        <v>976</v>
      </c>
      <c r="M323" s="52"/>
      <c r="N323" s="52"/>
      <c r="O323" s="52"/>
      <c r="P323" s="52"/>
      <c r="Q323" s="60" t="s">
        <v>891</v>
      </c>
    </row>
    <row r="324" spans="1:17" s="60" customFormat="1" ht="36">
      <c r="A324" s="52"/>
      <c r="B324" s="53">
        <v>40304.208333333336</v>
      </c>
      <c r="C324" s="81">
        <v>40304.208333333336</v>
      </c>
      <c r="D324" s="80">
        <v>40304.217361111143</v>
      </c>
      <c r="E324" s="115" t="s">
        <v>1098</v>
      </c>
      <c r="F324" s="52" t="s">
        <v>1103</v>
      </c>
      <c r="G324" s="52"/>
      <c r="H324" s="52"/>
      <c r="I324" s="52"/>
      <c r="J324" s="115" t="s">
        <v>1559</v>
      </c>
      <c r="K324" s="52"/>
      <c r="L324" s="116" t="s">
        <v>977</v>
      </c>
      <c r="M324" s="52"/>
      <c r="N324" s="52"/>
      <c r="O324" s="52"/>
      <c r="P324" s="52"/>
      <c r="Q324" s="60" t="s">
        <v>891</v>
      </c>
    </row>
    <row r="325" spans="1:17" s="60" customFormat="1" ht="36">
      <c r="A325" s="52"/>
      <c r="B325" s="53">
        <v>40304.208333333336</v>
      </c>
      <c r="C325" s="81">
        <v>40304.208333333336</v>
      </c>
      <c r="D325" s="80">
        <v>40304.21805555559</v>
      </c>
      <c r="E325" s="115" t="s">
        <v>1098</v>
      </c>
      <c r="F325" s="52" t="s">
        <v>1103</v>
      </c>
      <c r="G325" s="52"/>
      <c r="H325" s="52"/>
      <c r="I325" s="52"/>
      <c r="J325" s="115" t="s">
        <v>1559</v>
      </c>
      <c r="K325" s="52"/>
      <c r="L325" s="116" t="s">
        <v>978</v>
      </c>
      <c r="M325" s="52"/>
      <c r="N325" s="52"/>
      <c r="O325" s="52"/>
      <c r="P325" s="52"/>
      <c r="Q325" s="60" t="s">
        <v>891</v>
      </c>
    </row>
    <row r="326" spans="1:17" s="60" customFormat="1" ht="36">
      <c r="A326" s="52"/>
      <c r="B326" s="53">
        <v>40304.208333333336</v>
      </c>
      <c r="C326" s="81">
        <v>40304.208333333336</v>
      </c>
      <c r="D326" s="80">
        <v>40304.218750000036</v>
      </c>
      <c r="E326" s="115" t="s">
        <v>1098</v>
      </c>
      <c r="F326" s="52" t="s">
        <v>1103</v>
      </c>
      <c r="G326" s="52"/>
      <c r="H326" s="52"/>
      <c r="I326" s="52"/>
      <c r="J326" s="115" t="s">
        <v>1559</v>
      </c>
      <c r="K326" s="52"/>
      <c r="L326" s="116" t="s">
        <v>979</v>
      </c>
      <c r="M326" s="52"/>
      <c r="N326" s="52"/>
      <c r="O326" s="52"/>
      <c r="P326" s="52"/>
      <c r="Q326" s="60" t="s">
        <v>891</v>
      </c>
    </row>
    <row r="327" spans="1:17" s="60" customFormat="1" ht="36">
      <c r="A327" s="52"/>
      <c r="B327" s="53">
        <v>40304.208333333336</v>
      </c>
      <c r="C327" s="81">
        <v>40304.208333333336</v>
      </c>
      <c r="D327" s="80">
        <v>40304.219444444483</v>
      </c>
      <c r="E327" s="115" t="s">
        <v>1098</v>
      </c>
      <c r="F327" s="52" t="s">
        <v>1103</v>
      </c>
      <c r="G327" s="52"/>
      <c r="H327" s="52"/>
      <c r="I327" s="52"/>
      <c r="J327" s="115" t="s">
        <v>1559</v>
      </c>
      <c r="K327" s="52"/>
      <c r="L327" s="116" t="s">
        <v>980</v>
      </c>
      <c r="M327" s="52"/>
      <c r="N327" s="52"/>
      <c r="O327" s="52"/>
      <c r="P327" s="52"/>
      <c r="Q327" s="60" t="s">
        <v>891</v>
      </c>
    </row>
    <row r="328" spans="1:17" s="60" customFormat="1" ht="36">
      <c r="A328" s="52"/>
      <c r="B328" s="53">
        <v>40304.208333333336</v>
      </c>
      <c r="C328" s="81">
        <v>40304.208333333336</v>
      </c>
      <c r="D328" s="80">
        <v>40304.22013888893</v>
      </c>
      <c r="E328" s="115" t="s">
        <v>1098</v>
      </c>
      <c r="F328" s="52" t="s">
        <v>1103</v>
      </c>
      <c r="G328" s="52"/>
      <c r="H328" s="52"/>
      <c r="I328" s="52"/>
      <c r="J328" s="115" t="s">
        <v>1559</v>
      </c>
      <c r="K328" s="52"/>
      <c r="L328" s="116" t="s">
        <v>981</v>
      </c>
      <c r="M328" s="52"/>
      <c r="N328" s="52"/>
      <c r="O328" s="52"/>
      <c r="P328" s="52"/>
      <c r="Q328" s="60" t="s">
        <v>891</v>
      </c>
    </row>
    <row r="329" spans="1:17" s="60" customFormat="1" ht="36">
      <c r="A329" s="52"/>
      <c r="B329" s="53">
        <v>40304.208333333336</v>
      </c>
      <c r="C329" s="81">
        <v>40304.208333333336</v>
      </c>
      <c r="D329" s="80">
        <v>40304.220833333377</v>
      </c>
      <c r="E329" s="115" t="s">
        <v>1098</v>
      </c>
      <c r="F329" s="52" t="s">
        <v>1103</v>
      </c>
      <c r="G329" s="52"/>
      <c r="H329" s="52"/>
      <c r="I329" s="52"/>
      <c r="J329" s="115" t="s">
        <v>1559</v>
      </c>
      <c r="K329" s="52"/>
      <c r="L329" s="116" t="s">
        <v>982</v>
      </c>
      <c r="M329" s="52"/>
      <c r="N329" s="52"/>
      <c r="O329" s="52"/>
      <c r="P329" s="52"/>
      <c r="Q329" s="60" t="s">
        <v>891</v>
      </c>
    </row>
    <row r="330" spans="1:17" s="60" customFormat="1">
      <c r="A330" s="56"/>
      <c r="B330" s="69">
        <v>40304</v>
      </c>
      <c r="C330" s="70"/>
      <c r="D330" s="71">
        <v>40304.208333333336</v>
      </c>
      <c r="E330" s="56"/>
      <c r="F330" s="56"/>
      <c r="G330" s="72"/>
      <c r="H330" s="56"/>
      <c r="I330" s="72"/>
      <c r="J330" s="56"/>
      <c r="K330" s="72"/>
      <c r="L330" s="99"/>
      <c r="M330" s="72"/>
      <c r="N330" s="56"/>
      <c r="O330" s="77" t="s">
        <v>1158</v>
      </c>
      <c r="P330" s="56"/>
      <c r="Q330" s="56" t="s">
        <v>427</v>
      </c>
    </row>
    <row r="331" spans="1:17" s="60" customFormat="1" ht="24">
      <c r="A331" s="52"/>
      <c r="B331" s="53"/>
      <c r="C331" s="54"/>
      <c r="D331" s="80">
        <v>40304.25</v>
      </c>
      <c r="E331" s="60" t="s">
        <v>430</v>
      </c>
      <c r="F331" s="52" t="s">
        <v>425</v>
      </c>
      <c r="G331" s="62"/>
      <c r="H331" s="52" t="s">
        <v>787</v>
      </c>
      <c r="I331" s="62"/>
      <c r="J331" s="52" t="s">
        <v>1541</v>
      </c>
      <c r="K331" s="62"/>
      <c r="L331" s="95" t="s">
        <v>1464</v>
      </c>
      <c r="M331" s="62" t="s">
        <v>782</v>
      </c>
      <c r="N331" s="52"/>
      <c r="O331" s="60" t="s">
        <v>817</v>
      </c>
      <c r="P331" s="52"/>
      <c r="Q331" s="60" t="s">
        <v>810</v>
      </c>
    </row>
    <row r="332" spans="1:17" s="60" customFormat="1" ht="24">
      <c r="A332" s="52"/>
      <c r="B332" s="53"/>
      <c r="C332" s="54"/>
      <c r="D332" s="80">
        <v>40304.291666666664</v>
      </c>
      <c r="E332" s="52" t="s">
        <v>1098</v>
      </c>
      <c r="F332" s="52" t="s">
        <v>632</v>
      </c>
      <c r="G332" s="62" t="s">
        <v>678</v>
      </c>
      <c r="H332" s="52" t="s">
        <v>628</v>
      </c>
      <c r="I332" s="62" t="s">
        <v>668</v>
      </c>
      <c r="J332" s="52" t="s">
        <v>631</v>
      </c>
      <c r="K332" s="62"/>
      <c r="L332" s="52" t="s">
        <v>631</v>
      </c>
      <c r="M332" s="62"/>
      <c r="N332" s="52"/>
      <c r="O332" s="52" t="s">
        <v>633</v>
      </c>
      <c r="P332" s="52"/>
      <c r="Q332" s="60" t="s">
        <v>657</v>
      </c>
    </row>
    <row r="333" spans="1:17" s="60" customFormat="1">
      <c r="A333" s="52"/>
      <c r="B333" s="53"/>
      <c r="C333" s="54"/>
      <c r="D333" s="80">
        <v>40304.292361111111</v>
      </c>
      <c r="E333" s="52" t="s">
        <v>1098</v>
      </c>
      <c r="F333" s="52" t="s">
        <v>643</v>
      </c>
      <c r="G333" s="62" t="s">
        <v>678</v>
      </c>
      <c r="H333" s="52" t="s">
        <v>628</v>
      </c>
      <c r="I333" s="62" t="s">
        <v>644</v>
      </c>
      <c r="J333" s="52"/>
      <c r="K333" s="62"/>
      <c r="L333" s="52" t="s">
        <v>642</v>
      </c>
      <c r="M333" s="62"/>
      <c r="N333" s="52"/>
      <c r="O333" s="52" t="s">
        <v>645</v>
      </c>
      <c r="P333" s="52"/>
      <c r="Q333" s="60" t="s">
        <v>657</v>
      </c>
    </row>
    <row r="334" spans="1:17" s="60" customFormat="1">
      <c r="A334" s="52"/>
      <c r="B334" s="53"/>
      <c r="C334" s="54"/>
      <c r="D334" s="80">
        <v>40304.293055555558</v>
      </c>
      <c r="E334" s="52" t="s">
        <v>1098</v>
      </c>
      <c r="F334" s="52" t="s">
        <v>425</v>
      </c>
      <c r="G334" s="62" t="s">
        <v>654</v>
      </c>
      <c r="H334" s="52" t="s">
        <v>649</v>
      </c>
      <c r="I334" s="62" t="s">
        <v>668</v>
      </c>
      <c r="J334" s="52"/>
      <c r="K334" s="62"/>
      <c r="L334" s="52" t="s">
        <v>655</v>
      </c>
      <c r="M334" s="62"/>
      <c r="N334" s="52"/>
      <c r="O334" s="52"/>
      <c r="P334" s="52"/>
      <c r="Q334" s="60" t="s">
        <v>657</v>
      </c>
    </row>
    <row r="335" spans="1:17" s="60" customFormat="1" ht="24">
      <c r="A335" s="52"/>
      <c r="B335" s="53"/>
      <c r="C335" s="54"/>
      <c r="D335" s="80">
        <v>40304.293750000004</v>
      </c>
      <c r="E335" s="52" t="s">
        <v>430</v>
      </c>
      <c r="F335" s="52" t="s">
        <v>425</v>
      </c>
      <c r="G335" s="52" t="s">
        <v>671</v>
      </c>
      <c r="H335" s="52" t="s">
        <v>674</v>
      </c>
      <c r="I335" s="62" t="s">
        <v>668</v>
      </c>
      <c r="J335" s="52"/>
      <c r="K335" s="62"/>
      <c r="L335" s="52" t="s">
        <v>1465</v>
      </c>
      <c r="M335" s="62"/>
      <c r="N335" s="52"/>
      <c r="O335" s="52" t="s">
        <v>675</v>
      </c>
      <c r="P335" s="52" t="s">
        <v>676</v>
      </c>
      <c r="Q335" s="60" t="s">
        <v>657</v>
      </c>
    </row>
    <row r="336" spans="1:17" s="60" customFormat="1" ht="24">
      <c r="A336" s="52"/>
      <c r="B336" s="53"/>
      <c r="C336" s="54"/>
      <c r="D336" s="80">
        <v>40304.294444444451</v>
      </c>
      <c r="E336" s="52" t="s">
        <v>1098</v>
      </c>
      <c r="F336" s="52" t="s">
        <v>394</v>
      </c>
      <c r="G336" s="52" t="s">
        <v>635</v>
      </c>
      <c r="H336" s="52" t="s">
        <v>636</v>
      </c>
      <c r="I336" s="62" t="s">
        <v>668</v>
      </c>
      <c r="J336" s="52"/>
      <c r="K336" s="62"/>
      <c r="L336" s="52" t="s">
        <v>634</v>
      </c>
      <c r="M336" s="62"/>
      <c r="N336" s="52"/>
      <c r="O336" s="52" t="s">
        <v>637</v>
      </c>
      <c r="P336" s="52"/>
      <c r="Q336" s="60" t="s">
        <v>657</v>
      </c>
    </row>
    <row r="337" spans="1:17" s="60" customFormat="1">
      <c r="A337" s="52"/>
      <c r="B337" s="53"/>
      <c r="C337" s="54"/>
      <c r="D337" s="80">
        <v>40304.295138888898</v>
      </c>
      <c r="E337" s="52" t="s">
        <v>430</v>
      </c>
      <c r="F337" s="52" t="s">
        <v>683</v>
      </c>
      <c r="G337" s="62" t="s">
        <v>678</v>
      </c>
      <c r="H337" s="52" t="s">
        <v>628</v>
      </c>
      <c r="I337" s="62" t="s">
        <v>668</v>
      </c>
      <c r="J337" s="52"/>
      <c r="K337" s="62"/>
      <c r="L337" s="52" t="s">
        <v>1466</v>
      </c>
      <c r="M337" s="62"/>
      <c r="N337" s="52"/>
      <c r="O337" s="52"/>
      <c r="P337" s="52"/>
      <c r="Q337" s="60" t="s">
        <v>657</v>
      </c>
    </row>
    <row r="338" spans="1:17" s="60" customFormat="1">
      <c r="A338" s="52"/>
      <c r="B338" s="53"/>
      <c r="C338" s="54"/>
      <c r="D338" s="80">
        <v>40304.295833333344</v>
      </c>
      <c r="E338" s="52" t="s">
        <v>430</v>
      </c>
      <c r="F338" s="52" t="s">
        <v>683</v>
      </c>
      <c r="G338" s="62" t="s">
        <v>678</v>
      </c>
      <c r="H338" s="52" t="s">
        <v>628</v>
      </c>
      <c r="I338" s="62" t="s">
        <v>668</v>
      </c>
      <c r="J338" s="52"/>
      <c r="K338" s="62"/>
      <c r="L338" s="95" t="s">
        <v>1467</v>
      </c>
      <c r="M338" s="62"/>
      <c r="N338" s="52"/>
      <c r="O338" s="52"/>
      <c r="P338" s="52"/>
      <c r="Q338" s="60" t="s">
        <v>657</v>
      </c>
    </row>
    <row r="339" spans="1:17" s="60" customFormat="1" ht="24">
      <c r="A339" s="52"/>
      <c r="B339" s="53"/>
      <c r="C339" s="54"/>
      <c r="D339" s="80">
        <v>40304.296527777791</v>
      </c>
      <c r="E339" s="52" t="s">
        <v>430</v>
      </c>
      <c r="F339" s="52" t="s">
        <v>430</v>
      </c>
      <c r="G339" s="52" t="s">
        <v>639</v>
      </c>
      <c r="H339" s="52" t="s">
        <v>636</v>
      </c>
      <c r="I339" s="62" t="s">
        <v>640</v>
      </c>
      <c r="J339" s="52"/>
      <c r="K339" s="62"/>
      <c r="L339" s="52" t="s">
        <v>638</v>
      </c>
      <c r="M339" s="62"/>
      <c r="N339" s="52"/>
      <c r="O339" s="52" t="s">
        <v>641</v>
      </c>
      <c r="P339" s="52"/>
      <c r="Q339" s="60" t="s">
        <v>657</v>
      </c>
    </row>
    <row r="340" spans="1:17" s="60" customFormat="1">
      <c r="A340" s="52"/>
      <c r="B340" s="53"/>
      <c r="C340" s="54"/>
      <c r="D340" s="80">
        <v>40304.297222222238</v>
      </c>
      <c r="E340" s="52" t="s">
        <v>430</v>
      </c>
      <c r="F340" s="52" t="s">
        <v>652</v>
      </c>
      <c r="G340" s="62" t="s">
        <v>652</v>
      </c>
      <c r="H340" s="52" t="s">
        <v>649</v>
      </c>
      <c r="I340" s="62" t="s">
        <v>668</v>
      </c>
      <c r="J340" s="52"/>
      <c r="K340" s="62"/>
      <c r="L340" s="95" t="s">
        <v>1468</v>
      </c>
      <c r="M340" s="62"/>
      <c r="N340" s="52"/>
      <c r="O340" s="52" t="s">
        <v>656</v>
      </c>
      <c r="P340" s="52"/>
      <c r="Q340" s="60" t="s">
        <v>657</v>
      </c>
    </row>
    <row r="341" spans="1:17" s="60" customFormat="1">
      <c r="A341" s="52"/>
      <c r="B341" s="53"/>
      <c r="C341" s="54"/>
      <c r="D341" s="80">
        <v>40304.297916666685</v>
      </c>
      <c r="E341" s="52" t="s">
        <v>430</v>
      </c>
      <c r="F341" s="52" t="s">
        <v>683</v>
      </c>
      <c r="G341" s="62" t="s">
        <v>678</v>
      </c>
      <c r="H341" s="52" t="s">
        <v>628</v>
      </c>
      <c r="I341" s="62" t="s">
        <v>668</v>
      </c>
      <c r="J341" s="52"/>
      <c r="K341" s="62"/>
      <c r="L341" s="52" t="s">
        <v>1469</v>
      </c>
      <c r="M341" s="62"/>
      <c r="N341" s="52"/>
      <c r="O341" s="52" t="s">
        <v>629</v>
      </c>
      <c r="P341" s="52"/>
      <c r="Q341" s="60" t="s">
        <v>657</v>
      </c>
    </row>
    <row r="342" spans="1:17" s="60" customFormat="1" ht="24">
      <c r="A342" s="52"/>
      <c r="B342" s="53"/>
      <c r="C342" s="54"/>
      <c r="D342" s="80">
        <v>40304.298611111131</v>
      </c>
      <c r="E342" s="52" t="s">
        <v>430</v>
      </c>
      <c r="F342" s="52" t="s">
        <v>677</v>
      </c>
      <c r="G342" s="62" t="s">
        <v>678</v>
      </c>
      <c r="H342" s="52" t="s">
        <v>679</v>
      </c>
      <c r="I342" s="62" t="s">
        <v>680</v>
      </c>
      <c r="J342" s="52"/>
      <c r="K342" s="62"/>
      <c r="L342" s="95" t="s">
        <v>1470</v>
      </c>
      <c r="M342" s="62"/>
      <c r="N342" s="52"/>
      <c r="O342" s="52" t="s">
        <v>681</v>
      </c>
      <c r="P342" s="52" t="s">
        <v>682</v>
      </c>
      <c r="Q342" s="60" t="s">
        <v>657</v>
      </c>
    </row>
    <row r="343" spans="1:17" s="60" customFormat="1">
      <c r="A343" s="52"/>
      <c r="B343" s="53"/>
      <c r="C343" s="54"/>
      <c r="D343" s="80">
        <v>40304.299305555578</v>
      </c>
      <c r="E343" s="52" t="s">
        <v>430</v>
      </c>
      <c r="F343" s="52" t="s">
        <v>683</v>
      </c>
      <c r="G343" s="62" t="s">
        <v>678</v>
      </c>
      <c r="H343" s="52" t="s">
        <v>628</v>
      </c>
      <c r="I343" s="62" t="s">
        <v>668</v>
      </c>
      <c r="J343" s="52"/>
      <c r="K343" s="62"/>
      <c r="L343" s="95" t="s">
        <v>1471</v>
      </c>
      <c r="M343" s="62"/>
      <c r="N343" s="52"/>
      <c r="O343" s="52" t="s">
        <v>648</v>
      </c>
      <c r="P343" s="52"/>
      <c r="Q343" s="60" t="s">
        <v>657</v>
      </c>
    </row>
    <row r="344" spans="1:17" s="60" customFormat="1" ht="24">
      <c r="A344" s="52"/>
      <c r="B344" s="53"/>
      <c r="C344" s="54"/>
      <c r="D344" s="80">
        <v>40304.300000000003</v>
      </c>
      <c r="E344" s="52" t="s">
        <v>1098</v>
      </c>
      <c r="F344" s="52" t="s">
        <v>646</v>
      </c>
      <c r="G344" s="62" t="s">
        <v>678</v>
      </c>
      <c r="H344" s="52" t="s">
        <v>628</v>
      </c>
      <c r="I344" s="62" t="s">
        <v>426</v>
      </c>
      <c r="J344" s="52"/>
      <c r="K344" s="62"/>
      <c r="L344" s="95" t="s">
        <v>1472</v>
      </c>
      <c r="M344" s="62"/>
      <c r="N344" s="52"/>
      <c r="O344" s="52" t="s">
        <v>647</v>
      </c>
      <c r="P344" s="52"/>
      <c r="Q344" s="60" t="s">
        <v>657</v>
      </c>
    </row>
    <row r="345" spans="1:17" s="60" customFormat="1" ht="24">
      <c r="A345" s="52"/>
      <c r="B345" s="53"/>
      <c r="C345" s="54"/>
      <c r="D345" s="80">
        <v>40304.300694444471</v>
      </c>
      <c r="E345" s="52" t="s">
        <v>1098</v>
      </c>
      <c r="F345" s="64"/>
      <c r="G345" s="64"/>
      <c r="H345" s="52"/>
      <c r="I345" s="62" t="s">
        <v>668</v>
      </c>
      <c r="J345" s="52"/>
      <c r="K345" s="52"/>
      <c r="L345" s="95" t="s">
        <v>1473</v>
      </c>
      <c r="M345" s="52"/>
      <c r="N345" s="52"/>
      <c r="O345" s="60" t="s">
        <v>1591</v>
      </c>
      <c r="P345" s="52"/>
      <c r="Q345" s="60" t="s">
        <v>1099</v>
      </c>
    </row>
    <row r="346" spans="1:17" s="60" customFormat="1" ht="48">
      <c r="A346" s="52"/>
      <c r="B346" s="53"/>
      <c r="C346" s="54"/>
      <c r="D346" s="80">
        <v>40304.301388888918</v>
      </c>
      <c r="E346" s="52" t="s">
        <v>1098</v>
      </c>
      <c r="F346" s="64"/>
      <c r="G346" s="64"/>
      <c r="H346" s="52"/>
      <c r="I346" s="62" t="s">
        <v>668</v>
      </c>
      <c r="J346" s="52"/>
      <c r="K346" s="52"/>
      <c r="L346" s="95" t="s">
        <v>1474</v>
      </c>
      <c r="M346" s="52"/>
      <c r="N346" s="52"/>
      <c r="O346" s="60" t="s">
        <v>1398</v>
      </c>
      <c r="P346" s="52"/>
      <c r="Q346" s="60" t="s">
        <v>1099</v>
      </c>
    </row>
    <row r="347" spans="1:17" s="60" customFormat="1" ht="60">
      <c r="D347" s="80">
        <v>40304.333333333336</v>
      </c>
      <c r="E347" s="60" t="s">
        <v>430</v>
      </c>
      <c r="F347" s="60" t="s">
        <v>425</v>
      </c>
      <c r="G347" s="60" t="s">
        <v>1229</v>
      </c>
      <c r="I347" s="60" t="s">
        <v>1343</v>
      </c>
      <c r="L347" s="97" t="s">
        <v>1475</v>
      </c>
      <c r="M347" s="60" t="s">
        <v>1345</v>
      </c>
      <c r="N347" s="60" t="s">
        <v>1344</v>
      </c>
      <c r="O347" s="60" t="s">
        <v>1228</v>
      </c>
      <c r="Q347" s="60" t="s">
        <v>1346</v>
      </c>
    </row>
    <row r="348" spans="1:17" s="60" customFormat="1" ht="36">
      <c r="A348" s="52"/>
      <c r="B348" s="53"/>
      <c r="C348" s="54"/>
      <c r="D348" s="80">
        <v>40304.334027777775</v>
      </c>
      <c r="E348" s="52" t="s">
        <v>1098</v>
      </c>
      <c r="F348" s="64"/>
      <c r="G348" s="64"/>
      <c r="H348" s="52"/>
      <c r="I348" s="62" t="s">
        <v>668</v>
      </c>
      <c r="J348" s="52"/>
      <c r="K348" s="52"/>
      <c r="L348" s="95" t="s">
        <v>1474</v>
      </c>
      <c r="M348" s="52"/>
      <c r="N348" s="52"/>
      <c r="O348" s="60" t="s">
        <v>589</v>
      </c>
      <c r="P348" s="52"/>
      <c r="Q348" s="60" t="s">
        <v>1099</v>
      </c>
    </row>
    <row r="349" spans="1:17" s="60" customFormat="1" ht="36">
      <c r="A349" s="52"/>
      <c r="B349" s="53"/>
      <c r="C349" s="54"/>
      <c r="D349" s="55">
        <v>40304.34375</v>
      </c>
      <c r="E349" s="118" t="s">
        <v>430</v>
      </c>
      <c r="F349" s="118" t="s">
        <v>425</v>
      </c>
      <c r="G349" s="118" t="s">
        <v>1259</v>
      </c>
      <c r="H349" s="52"/>
      <c r="I349" s="118" t="s">
        <v>1262</v>
      </c>
      <c r="J349" s="118"/>
      <c r="K349" s="52"/>
      <c r="L349" s="95" t="s">
        <v>1476</v>
      </c>
      <c r="M349" s="52"/>
      <c r="N349" s="52"/>
      <c r="O349" s="118" t="s">
        <v>1257</v>
      </c>
      <c r="P349" s="52"/>
      <c r="Q349" s="118" t="s">
        <v>1267</v>
      </c>
    </row>
    <row r="350" spans="1:17" s="60" customFormat="1" ht="48">
      <c r="A350" s="52"/>
      <c r="B350" s="53"/>
      <c r="C350" s="54"/>
      <c r="D350" s="55">
        <v>40304.344444444447</v>
      </c>
      <c r="E350" s="52" t="s">
        <v>430</v>
      </c>
      <c r="F350" s="52" t="s">
        <v>1348</v>
      </c>
      <c r="G350" s="56" t="s">
        <v>593</v>
      </c>
      <c r="H350" s="52"/>
      <c r="I350" s="52" t="s">
        <v>1316</v>
      </c>
      <c r="K350" s="52"/>
      <c r="L350" s="97" t="s">
        <v>1477</v>
      </c>
      <c r="M350" s="60" t="s">
        <v>1350</v>
      </c>
      <c r="N350" s="97" t="s">
        <v>1315</v>
      </c>
      <c r="O350" s="60" t="s">
        <v>1399</v>
      </c>
      <c r="Q350" s="60" t="s">
        <v>1314</v>
      </c>
    </row>
    <row r="351" spans="1:17" s="60" customFormat="1" ht="36">
      <c r="A351" s="52"/>
      <c r="B351" s="53"/>
      <c r="C351" s="54"/>
      <c r="D351" s="80">
        <v>40304.354166666664</v>
      </c>
      <c r="E351" s="52" t="s">
        <v>1098</v>
      </c>
      <c r="F351" s="64"/>
      <c r="G351" s="64"/>
      <c r="H351" s="52"/>
      <c r="I351" s="62" t="s">
        <v>668</v>
      </c>
      <c r="J351" s="52"/>
      <c r="K351" s="52"/>
      <c r="L351" s="95" t="s">
        <v>1473</v>
      </c>
      <c r="M351" s="52"/>
      <c r="N351" s="52"/>
      <c r="O351" s="60" t="s">
        <v>588</v>
      </c>
      <c r="P351" s="52"/>
      <c r="Q351" s="60" t="s">
        <v>1099</v>
      </c>
    </row>
    <row r="352" spans="1:17" s="60" customFormat="1" ht="24">
      <c r="A352" s="52"/>
      <c r="B352" s="53"/>
      <c r="C352" s="54"/>
      <c r="D352" s="80">
        <v>40304.375</v>
      </c>
      <c r="E352" s="52" t="s">
        <v>1098</v>
      </c>
      <c r="F352" s="64"/>
      <c r="G352" s="64"/>
      <c r="H352" s="52"/>
      <c r="I352" s="62" t="s">
        <v>668</v>
      </c>
      <c r="J352" s="52"/>
      <c r="K352" s="52"/>
      <c r="L352" s="95" t="s">
        <v>1473</v>
      </c>
      <c r="M352" s="52"/>
      <c r="N352" s="52"/>
      <c r="O352" s="60" t="s">
        <v>590</v>
      </c>
      <c r="P352" s="52"/>
      <c r="Q352" s="60" t="s">
        <v>1099</v>
      </c>
    </row>
    <row r="353" spans="1:17" s="60" customFormat="1" ht="84">
      <c r="A353" s="52"/>
      <c r="B353" s="53"/>
      <c r="C353" s="54"/>
      <c r="D353" s="55">
        <v>40304.385416666664</v>
      </c>
      <c r="E353" s="52" t="s">
        <v>1098</v>
      </c>
      <c r="F353" s="52" t="s">
        <v>1273</v>
      </c>
      <c r="G353" s="52" t="s">
        <v>1274</v>
      </c>
      <c r="H353" s="52" t="s">
        <v>628</v>
      </c>
      <c r="I353" s="52" t="s">
        <v>680</v>
      </c>
      <c r="J353" s="52"/>
      <c r="K353" s="52"/>
      <c r="L353" s="95" t="s">
        <v>1478</v>
      </c>
      <c r="M353" s="52"/>
      <c r="N353" s="52" t="s">
        <v>1275</v>
      </c>
      <c r="O353" s="52" t="s">
        <v>1359</v>
      </c>
      <c r="P353" s="52"/>
      <c r="Q353" s="60" t="s">
        <v>1298</v>
      </c>
    </row>
    <row r="354" spans="1:17" s="60" customFormat="1" ht="36">
      <c r="A354" s="52"/>
      <c r="B354" s="53"/>
      <c r="C354" s="54"/>
      <c r="D354" s="80">
        <v>40304.395833333336</v>
      </c>
      <c r="E354" s="52" t="s">
        <v>1098</v>
      </c>
      <c r="F354" s="64"/>
      <c r="G354" s="64"/>
      <c r="H354" s="52"/>
      <c r="I354" s="62" t="s">
        <v>668</v>
      </c>
      <c r="J354" s="52"/>
      <c r="K354" s="52"/>
      <c r="L354" s="95" t="s">
        <v>1479</v>
      </c>
      <c r="M354" s="52"/>
      <c r="N354" s="52"/>
      <c r="O354" s="60" t="s">
        <v>1194</v>
      </c>
      <c r="P354" s="52"/>
      <c r="Q354" s="60" t="s">
        <v>1099</v>
      </c>
    </row>
    <row r="355" spans="1:17" s="60" customFormat="1">
      <c r="A355" s="52"/>
      <c r="B355" s="53"/>
      <c r="C355" s="54"/>
      <c r="D355" s="80">
        <v>40304.416666666664</v>
      </c>
      <c r="E355" s="60" t="s">
        <v>1098</v>
      </c>
      <c r="F355" s="52" t="s">
        <v>425</v>
      </c>
      <c r="G355" s="62"/>
      <c r="H355" s="52" t="s">
        <v>787</v>
      </c>
      <c r="I355" s="62"/>
      <c r="J355" s="52" t="s">
        <v>1541</v>
      </c>
      <c r="K355" s="62"/>
      <c r="L355" s="95"/>
      <c r="M355" s="62" t="s">
        <v>780</v>
      </c>
      <c r="N355" s="52"/>
      <c r="O355" s="60" t="s">
        <v>771</v>
      </c>
      <c r="P355" s="52"/>
      <c r="Q355" s="60" t="s">
        <v>810</v>
      </c>
    </row>
    <row r="356" spans="1:17" s="60" customFormat="1" ht="108">
      <c r="A356" s="52"/>
      <c r="B356" s="53">
        <v>40304</v>
      </c>
      <c r="C356" s="54">
        <v>40304.416666666664</v>
      </c>
      <c r="D356" s="61">
        <v>40304.417361111111</v>
      </c>
      <c r="E356" s="52" t="s">
        <v>1098</v>
      </c>
      <c r="F356" s="52" t="s">
        <v>425</v>
      </c>
      <c r="G356" s="62" t="s">
        <v>429</v>
      </c>
      <c r="H356" s="52"/>
      <c r="I356" s="62" t="s">
        <v>426</v>
      </c>
      <c r="J356" s="52" t="s">
        <v>391</v>
      </c>
      <c r="K356" s="62" t="s">
        <v>423</v>
      </c>
      <c r="L356" s="52" t="s">
        <v>391</v>
      </c>
      <c r="M356" s="62"/>
      <c r="N356" s="52"/>
      <c r="O356" s="52" t="s">
        <v>755</v>
      </c>
      <c r="P356" s="52"/>
      <c r="Q356" s="60" t="s">
        <v>427</v>
      </c>
    </row>
    <row r="357" spans="1:17" s="60" customFormat="1" ht="24">
      <c r="A357" s="52"/>
      <c r="B357" s="53"/>
      <c r="C357" s="54"/>
      <c r="D357" s="80">
        <v>40304.418055555558</v>
      </c>
      <c r="E357" s="60" t="s">
        <v>1098</v>
      </c>
      <c r="F357" s="52" t="s">
        <v>425</v>
      </c>
      <c r="G357" s="62"/>
      <c r="H357" s="52" t="s">
        <v>1293</v>
      </c>
      <c r="I357" s="62"/>
      <c r="K357" s="62"/>
      <c r="L357" s="60" t="s">
        <v>1480</v>
      </c>
      <c r="M357" s="62"/>
      <c r="N357" s="52"/>
      <c r="O357" s="60" t="s">
        <v>1347</v>
      </c>
      <c r="P357" s="52"/>
      <c r="Q357" s="60" t="s">
        <v>1294</v>
      </c>
    </row>
    <row r="358" spans="1:17" s="60" customFormat="1" ht="36">
      <c r="A358" s="52"/>
      <c r="B358" s="53"/>
      <c r="C358" s="54"/>
      <c r="D358" s="80">
        <v>40304.418749999997</v>
      </c>
      <c r="E358" s="52" t="s">
        <v>430</v>
      </c>
      <c r="F358" s="64"/>
      <c r="G358" s="64"/>
      <c r="H358" s="52"/>
      <c r="I358" s="62" t="s">
        <v>668</v>
      </c>
      <c r="J358" s="52"/>
      <c r="K358" s="52"/>
      <c r="L358" s="95" t="s">
        <v>1507</v>
      </c>
      <c r="M358" s="52"/>
      <c r="N358" s="52"/>
      <c r="O358" s="60" t="s">
        <v>659</v>
      </c>
      <c r="P358" s="52"/>
      <c r="Q358" s="60" t="s">
        <v>1099</v>
      </c>
    </row>
    <row r="359" spans="1:17" s="60" customFormat="1" ht="48">
      <c r="A359" s="52"/>
      <c r="B359" s="53"/>
      <c r="C359" s="54"/>
      <c r="D359" s="55">
        <v>40304.427083333336</v>
      </c>
      <c r="E359" s="60" t="s">
        <v>1161</v>
      </c>
      <c r="F359" s="52" t="s">
        <v>1319</v>
      </c>
      <c r="G359" s="60" t="s">
        <v>593</v>
      </c>
      <c r="H359" s="52" t="s">
        <v>1318</v>
      </c>
      <c r="I359" s="52" t="s">
        <v>1311</v>
      </c>
      <c r="K359" s="52"/>
      <c r="L359" s="95" t="s">
        <v>1507</v>
      </c>
      <c r="M359" s="60" t="s">
        <v>1313</v>
      </c>
      <c r="N359" s="60" t="s">
        <v>1312</v>
      </c>
      <c r="O359" s="60" t="s">
        <v>741</v>
      </c>
      <c r="P359" s="60" t="s">
        <v>741</v>
      </c>
      <c r="Q359" s="60" t="s">
        <v>1314</v>
      </c>
    </row>
    <row r="360" spans="1:17" s="60" customFormat="1" ht="24">
      <c r="A360" s="52"/>
      <c r="B360" s="53"/>
      <c r="C360" s="54"/>
      <c r="D360" s="61">
        <v>40304.4375</v>
      </c>
      <c r="E360" s="52" t="s">
        <v>1161</v>
      </c>
      <c r="F360" s="52" t="s">
        <v>1188</v>
      </c>
      <c r="G360" s="52" t="s">
        <v>242</v>
      </c>
      <c r="H360" s="52"/>
      <c r="I360" s="52" t="s">
        <v>1159</v>
      </c>
      <c r="J360" s="52"/>
      <c r="K360" s="52">
        <v>9</v>
      </c>
      <c r="L360" s="95" t="s">
        <v>1481</v>
      </c>
      <c r="M360" s="52"/>
      <c r="N360" s="52"/>
      <c r="O360" s="52" t="s">
        <v>1231</v>
      </c>
      <c r="P360" s="52"/>
      <c r="Q360" s="60" t="s">
        <v>427</v>
      </c>
    </row>
    <row r="361" spans="1:17" s="60" customFormat="1">
      <c r="A361" s="52"/>
      <c r="B361" s="53"/>
      <c r="C361" s="54"/>
      <c r="D361" s="61">
        <v>40304.438194444447</v>
      </c>
      <c r="E361" s="52" t="s">
        <v>1161</v>
      </c>
      <c r="F361" s="52" t="s">
        <v>1188</v>
      </c>
      <c r="G361" s="52" t="s">
        <v>279</v>
      </c>
      <c r="H361" s="52"/>
      <c r="I361" s="52" t="s">
        <v>668</v>
      </c>
      <c r="J361" s="52"/>
      <c r="K361" s="52">
        <v>13</v>
      </c>
      <c r="L361" s="95" t="s">
        <v>1482</v>
      </c>
      <c r="M361" s="52"/>
      <c r="N361" s="52"/>
      <c r="O361" s="52" t="s">
        <v>1173</v>
      </c>
      <c r="P361" s="52"/>
      <c r="Q361" s="60" t="s">
        <v>427</v>
      </c>
    </row>
    <row r="362" spans="1:17" s="60" customFormat="1" ht="24">
      <c r="A362" s="52"/>
      <c r="B362" s="53"/>
      <c r="C362" s="54"/>
      <c r="D362" s="61">
        <v>40304.438888888893</v>
      </c>
      <c r="E362" s="52" t="s">
        <v>1161</v>
      </c>
      <c r="F362" s="52" t="s">
        <v>1188</v>
      </c>
      <c r="G362" s="52" t="s">
        <v>344</v>
      </c>
      <c r="H362" s="52"/>
      <c r="I362" s="52" t="s">
        <v>1159</v>
      </c>
      <c r="J362" s="52"/>
      <c r="K362" s="52">
        <v>5</v>
      </c>
      <c r="L362" s="95" t="s">
        <v>1507</v>
      </c>
      <c r="M362" s="52"/>
      <c r="N362" s="52"/>
      <c r="O362" s="52" t="s">
        <v>1126</v>
      </c>
      <c r="P362" s="52"/>
      <c r="Q362" s="60" t="s">
        <v>427</v>
      </c>
    </row>
    <row r="363" spans="1:17" s="60" customFormat="1" ht="24">
      <c r="A363" s="52"/>
      <c r="B363" s="53"/>
      <c r="C363" s="54"/>
      <c r="D363" s="61">
        <v>40304.43958333334</v>
      </c>
      <c r="E363" s="52" t="s">
        <v>1161</v>
      </c>
      <c r="F363" s="52" t="s">
        <v>1188</v>
      </c>
      <c r="G363" s="52" t="s">
        <v>344</v>
      </c>
      <c r="H363" s="52"/>
      <c r="I363" s="52" t="s">
        <v>1159</v>
      </c>
      <c r="J363" s="52"/>
      <c r="K363" s="52">
        <v>5</v>
      </c>
      <c r="L363" s="95" t="s">
        <v>1507</v>
      </c>
      <c r="M363" s="52"/>
      <c r="N363" s="52"/>
      <c r="O363" s="52" t="s">
        <v>1127</v>
      </c>
      <c r="P363" s="52"/>
      <c r="Q363" s="60" t="s">
        <v>427</v>
      </c>
    </row>
    <row r="364" spans="1:17" s="60" customFormat="1" ht="24">
      <c r="A364" s="52"/>
      <c r="B364" s="53"/>
      <c r="C364" s="54"/>
      <c r="D364" s="61">
        <v>40304.440277777787</v>
      </c>
      <c r="E364" s="52" t="s">
        <v>1161</v>
      </c>
      <c r="F364" s="52" t="s">
        <v>1188</v>
      </c>
      <c r="G364" s="52" t="s">
        <v>344</v>
      </c>
      <c r="H364" s="52"/>
      <c r="I364" s="52" t="s">
        <v>1159</v>
      </c>
      <c r="J364" s="52"/>
      <c r="K364" s="52">
        <v>5</v>
      </c>
      <c r="L364" s="95" t="s">
        <v>1483</v>
      </c>
      <c r="M364" s="52"/>
      <c r="N364" s="52"/>
      <c r="O364" s="52" t="s">
        <v>1128</v>
      </c>
      <c r="P364" s="52"/>
      <c r="Q364" s="60" t="s">
        <v>427</v>
      </c>
    </row>
    <row r="365" spans="1:17" s="60" customFormat="1" ht="36">
      <c r="A365" s="52"/>
      <c r="B365" s="53"/>
      <c r="C365" s="54"/>
      <c r="D365" s="61">
        <v>40304.440972222234</v>
      </c>
      <c r="E365" s="52" t="s">
        <v>1161</v>
      </c>
      <c r="F365" s="52" t="s">
        <v>1188</v>
      </c>
      <c r="G365" s="52" t="s">
        <v>344</v>
      </c>
      <c r="H365" s="52"/>
      <c r="I365" s="52" t="s">
        <v>1159</v>
      </c>
      <c r="J365" s="52"/>
      <c r="K365" s="52">
        <v>5</v>
      </c>
      <c r="L365" s="95" t="s">
        <v>1483</v>
      </c>
      <c r="M365" s="52"/>
      <c r="N365" s="52"/>
      <c r="O365" s="52" t="s">
        <v>1129</v>
      </c>
      <c r="P365" s="52"/>
      <c r="Q365" s="60" t="s">
        <v>427</v>
      </c>
    </row>
    <row r="366" spans="1:17" s="60" customFormat="1" ht="36">
      <c r="A366" s="52"/>
      <c r="B366" s="53"/>
      <c r="C366" s="54"/>
      <c r="D366" s="61">
        <v>40304.44166666668</v>
      </c>
      <c r="E366" s="52" t="s">
        <v>1161</v>
      </c>
      <c r="F366" s="52" t="s">
        <v>1188</v>
      </c>
      <c r="G366" s="52" t="s">
        <v>344</v>
      </c>
      <c r="H366" s="52"/>
      <c r="I366" s="52" t="s">
        <v>1159</v>
      </c>
      <c r="J366" s="52"/>
      <c r="K366" s="52">
        <v>5</v>
      </c>
      <c r="L366" s="95" t="s">
        <v>1483</v>
      </c>
      <c r="M366" s="52"/>
      <c r="N366" s="52"/>
      <c r="O366" s="52" t="s">
        <v>1130</v>
      </c>
      <c r="P366" s="52"/>
      <c r="Q366" s="60" t="s">
        <v>427</v>
      </c>
    </row>
    <row r="367" spans="1:17" s="60" customFormat="1" ht="24">
      <c r="A367" s="52"/>
      <c r="B367" s="53"/>
      <c r="C367" s="54"/>
      <c r="D367" s="61">
        <v>40304.442361111127</v>
      </c>
      <c r="E367" s="52" t="s">
        <v>1161</v>
      </c>
      <c r="F367" s="52" t="s">
        <v>1188</v>
      </c>
      <c r="G367" s="52" t="s">
        <v>344</v>
      </c>
      <c r="H367" s="52"/>
      <c r="I367" s="52" t="s">
        <v>1159</v>
      </c>
      <c r="J367" s="52"/>
      <c r="K367" s="52">
        <v>5</v>
      </c>
      <c r="L367" s="95" t="s">
        <v>1483</v>
      </c>
      <c r="M367" s="52"/>
      <c r="N367" s="52"/>
      <c r="O367" s="52" t="s">
        <v>1131</v>
      </c>
      <c r="P367" s="52"/>
      <c r="Q367" s="60" t="s">
        <v>427</v>
      </c>
    </row>
    <row r="368" spans="1:17" s="60" customFormat="1" ht="48">
      <c r="A368" s="52"/>
      <c r="B368" s="53"/>
      <c r="C368" s="54"/>
      <c r="D368" s="61">
        <v>40304.443055555574</v>
      </c>
      <c r="E368" s="52" t="s">
        <v>1161</v>
      </c>
      <c r="F368" s="52" t="s">
        <v>1188</v>
      </c>
      <c r="G368" s="52" t="s">
        <v>350</v>
      </c>
      <c r="H368" s="52"/>
      <c r="I368" s="52" t="s">
        <v>1159</v>
      </c>
      <c r="J368" s="52"/>
      <c r="K368" s="52">
        <v>1</v>
      </c>
      <c r="L368" s="95" t="s">
        <v>1484</v>
      </c>
      <c r="M368" s="52"/>
      <c r="N368" s="52"/>
      <c r="O368" s="52" t="s">
        <v>742</v>
      </c>
      <c r="P368" s="52"/>
      <c r="Q368" s="60" t="s">
        <v>427</v>
      </c>
    </row>
    <row r="369" spans="1:17" s="60" customFormat="1" ht="24">
      <c r="A369" s="52"/>
      <c r="B369" s="53"/>
      <c r="C369" s="54"/>
      <c r="D369" s="61">
        <v>40304.44375000002</v>
      </c>
      <c r="E369" s="52" t="s">
        <v>1161</v>
      </c>
      <c r="F369" s="52" t="s">
        <v>1188</v>
      </c>
      <c r="G369" s="52" t="s">
        <v>1166</v>
      </c>
      <c r="H369" s="52"/>
      <c r="I369" s="52" t="s">
        <v>668</v>
      </c>
      <c r="J369" s="52"/>
      <c r="K369" s="52">
        <v>13</v>
      </c>
      <c r="L369" s="95" t="s">
        <v>1485</v>
      </c>
      <c r="M369" s="52"/>
      <c r="N369" s="52"/>
      <c r="O369" s="52" t="s">
        <v>790</v>
      </c>
      <c r="P369" s="52"/>
      <c r="Q369" s="60" t="s">
        <v>427</v>
      </c>
    </row>
    <row r="370" spans="1:17" s="60" customFormat="1" ht="48">
      <c r="A370" s="52"/>
      <c r="B370" s="53"/>
      <c r="C370" s="54"/>
      <c r="D370" s="80">
        <v>40304.444444444467</v>
      </c>
      <c r="E370" s="52" t="s">
        <v>1098</v>
      </c>
      <c r="F370" s="64"/>
      <c r="G370" s="64"/>
      <c r="H370" s="52"/>
      <c r="I370" s="62" t="s">
        <v>668</v>
      </c>
      <c r="J370" s="52"/>
      <c r="K370" s="52"/>
      <c r="L370" s="95" t="s">
        <v>1486</v>
      </c>
      <c r="M370" s="52"/>
      <c r="N370" s="52"/>
      <c r="O370" s="60" t="s">
        <v>1195</v>
      </c>
      <c r="P370" s="52"/>
      <c r="Q370" s="60" t="s">
        <v>1099</v>
      </c>
    </row>
    <row r="371" spans="1:17" s="101" customFormat="1" ht="48">
      <c r="B371" s="102"/>
      <c r="C371" s="103"/>
      <c r="D371" s="104">
        <v>40304.447916666664</v>
      </c>
      <c r="E371" s="101" t="s">
        <v>1161</v>
      </c>
      <c r="F371" s="101" t="s">
        <v>1188</v>
      </c>
      <c r="G371" s="101" t="s">
        <v>585</v>
      </c>
      <c r="H371" s="101" t="s">
        <v>585</v>
      </c>
      <c r="I371" s="101" t="s">
        <v>802</v>
      </c>
      <c r="L371" s="107" t="s">
        <v>1451</v>
      </c>
      <c r="O371" s="101" t="s">
        <v>1208</v>
      </c>
      <c r="P371" s="101" t="s">
        <v>1280</v>
      </c>
      <c r="Q371" s="101" t="s">
        <v>1298</v>
      </c>
    </row>
    <row r="372" spans="1:17" s="60" customFormat="1" ht="48">
      <c r="A372" s="52"/>
      <c r="B372" s="53"/>
      <c r="C372" s="54"/>
      <c r="D372" s="55">
        <v>40304.448611111111</v>
      </c>
      <c r="E372" s="118" t="s">
        <v>1098</v>
      </c>
      <c r="F372" s="118" t="s">
        <v>425</v>
      </c>
      <c r="G372" s="118" t="s">
        <v>1260</v>
      </c>
      <c r="H372" s="52"/>
      <c r="I372" s="118" t="s">
        <v>1262</v>
      </c>
      <c r="J372" s="118"/>
      <c r="K372" s="52"/>
      <c r="L372" s="118" t="s">
        <v>1247</v>
      </c>
      <c r="M372" s="52"/>
      <c r="N372" s="52"/>
      <c r="O372" s="118" t="s">
        <v>1247</v>
      </c>
      <c r="P372" s="52"/>
      <c r="Q372" s="118" t="s">
        <v>1267</v>
      </c>
    </row>
    <row r="373" spans="1:17" s="60" customFormat="1" ht="36">
      <c r="A373" s="52"/>
      <c r="B373" s="53"/>
      <c r="C373" s="54"/>
      <c r="D373" s="61">
        <v>40304.458333333336</v>
      </c>
      <c r="E373" s="62" t="s">
        <v>1161</v>
      </c>
      <c r="F373" s="52" t="s">
        <v>1188</v>
      </c>
      <c r="G373" s="62" t="s">
        <v>593</v>
      </c>
      <c r="H373" s="52"/>
      <c r="I373" s="62" t="s">
        <v>668</v>
      </c>
      <c r="J373" s="52"/>
      <c r="K373" s="52"/>
      <c r="L373" s="95" t="s">
        <v>1487</v>
      </c>
      <c r="M373" s="52"/>
      <c r="N373" s="52"/>
      <c r="O373" s="62" t="s">
        <v>1137</v>
      </c>
      <c r="P373" s="52"/>
      <c r="Q373" s="60" t="s">
        <v>427</v>
      </c>
    </row>
    <row r="374" spans="1:17" s="60" customFormat="1" ht="48">
      <c r="A374" s="52"/>
      <c r="B374" s="53"/>
      <c r="C374" s="54"/>
      <c r="D374" s="55">
        <v>40304.46875</v>
      </c>
      <c r="E374" s="60" t="s">
        <v>630</v>
      </c>
      <c r="F374" s="52" t="s">
        <v>1319</v>
      </c>
      <c r="H374" s="52" t="s">
        <v>1318</v>
      </c>
      <c r="I374" s="52" t="s">
        <v>1328</v>
      </c>
      <c r="J374" s="60" t="s">
        <v>1330</v>
      </c>
      <c r="K374" s="52"/>
      <c r="L374" s="97" t="s">
        <v>1329</v>
      </c>
      <c r="M374" s="60" t="s">
        <v>1331</v>
      </c>
      <c r="N374" s="60" t="s">
        <v>1332</v>
      </c>
      <c r="O374" s="60" t="s">
        <v>1190</v>
      </c>
      <c r="P374" s="60" t="s">
        <v>1190</v>
      </c>
      <c r="Q374" s="60" t="s">
        <v>1314</v>
      </c>
    </row>
    <row r="375" spans="1:17" s="60" customFormat="1" ht="24">
      <c r="A375" s="52"/>
      <c r="B375" s="53">
        <v>40304</v>
      </c>
      <c r="C375" s="63">
        <v>0.5</v>
      </c>
      <c r="D375" s="55">
        <v>40304.5</v>
      </c>
      <c r="E375" s="52" t="s">
        <v>430</v>
      </c>
      <c r="F375" s="64" t="s">
        <v>425</v>
      </c>
      <c r="G375" s="64" t="s">
        <v>431</v>
      </c>
      <c r="H375" s="52" t="s">
        <v>432</v>
      </c>
      <c r="I375" s="52" t="s">
        <v>433</v>
      </c>
      <c r="J375" s="52"/>
      <c r="K375" s="52"/>
      <c r="L375" s="95" t="s">
        <v>434</v>
      </c>
      <c r="M375" s="52" t="s">
        <v>435</v>
      </c>
      <c r="N375" s="52"/>
      <c r="O375" s="52" t="s">
        <v>436</v>
      </c>
      <c r="P375" s="52"/>
      <c r="Q375" s="60" t="s">
        <v>437</v>
      </c>
    </row>
    <row r="376" spans="1:17" s="60" customFormat="1" ht="24">
      <c r="A376" s="52"/>
      <c r="B376" s="53">
        <v>40304</v>
      </c>
      <c r="C376" s="63">
        <v>0.5</v>
      </c>
      <c r="D376" s="55">
        <v>40304.500694444447</v>
      </c>
      <c r="E376" s="52" t="s">
        <v>430</v>
      </c>
      <c r="F376" s="64" t="s">
        <v>425</v>
      </c>
      <c r="G376" s="64" t="s">
        <v>431</v>
      </c>
      <c r="H376" s="52" t="s">
        <v>432</v>
      </c>
      <c r="I376" s="52" t="s">
        <v>433</v>
      </c>
      <c r="J376" s="52"/>
      <c r="K376" s="52"/>
      <c r="L376" s="95" t="s">
        <v>434</v>
      </c>
      <c r="M376" s="52" t="s">
        <v>435</v>
      </c>
      <c r="N376" s="52"/>
      <c r="O376" s="52" t="s">
        <v>436</v>
      </c>
      <c r="P376" s="52"/>
      <c r="Q376" s="60" t="s">
        <v>437</v>
      </c>
    </row>
    <row r="377" spans="1:17" s="60" customFormat="1" ht="36">
      <c r="A377" s="52"/>
      <c r="B377" s="53">
        <v>40304</v>
      </c>
      <c r="C377" s="54">
        <v>1200.5</v>
      </c>
      <c r="D377" s="61">
        <v>40304.501388888886</v>
      </c>
      <c r="E377" s="52" t="s">
        <v>1098</v>
      </c>
      <c r="F377" s="64"/>
      <c r="G377" s="64"/>
      <c r="H377" s="52"/>
      <c r="I377" s="52"/>
      <c r="J377" s="52"/>
      <c r="K377" s="52">
        <v>5</v>
      </c>
      <c r="L377" s="52" t="s">
        <v>1551</v>
      </c>
      <c r="M377" s="52" t="s">
        <v>767</v>
      </c>
      <c r="N377" s="52"/>
      <c r="O377" s="52" t="s">
        <v>1551</v>
      </c>
      <c r="P377" s="52"/>
      <c r="Q377" s="60" t="s">
        <v>666</v>
      </c>
    </row>
    <row r="378" spans="1:17" s="60" customFormat="1" ht="24">
      <c r="A378" s="52"/>
      <c r="B378" s="53"/>
      <c r="C378" s="54"/>
      <c r="D378" s="61">
        <v>40304.520833333336</v>
      </c>
      <c r="E378" s="52" t="s">
        <v>1161</v>
      </c>
      <c r="F378" s="52" t="s">
        <v>1188</v>
      </c>
      <c r="G378" s="52" t="s">
        <v>315</v>
      </c>
      <c r="H378" s="52"/>
      <c r="I378" s="52" t="s">
        <v>1159</v>
      </c>
      <c r="J378" s="52"/>
      <c r="K378" s="52">
        <v>7</v>
      </c>
      <c r="L378" s="52" t="s">
        <v>1172</v>
      </c>
      <c r="M378" s="52"/>
      <c r="N378" s="52"/>
      <c r="O378" s="52" t="s">
        <v>1172</v>
      </c>
      <c r="P378" s="52"/>
      <c r="Q378" s="60" t="s">
        <v>427</v>
      </c>
    </row>
    <row r="379" spans="1:17" s="60" customFormat="1" ht="48">
      <c r="A379" s="52"/>
      <c r="B379" s="53"/>
      <c r="C379" s="54"/>
      <c r="D379" s="61">
        <v>40304.521527777775</v>
      </c>
      <c r="E379" s="62" t="s">
        <v>1161</v>
      </c>
      <c r="F379" s="52" t="s">
        <v>1188</v>
      </c>
      <c r="G379" s="62" t="s">
        <v>279</v>
      </c>
      <c r="H379" s="52"/>
      <c r="I379" s="62" t="s">
        <v>668</v>
      </c>
      <c r="J379" s="52"/>
      <c r="K379" s="52">
        <v>13</v>
      </c>
      <c r="L379" s="62" t="s">
        <v>1135</v>
      </c>
      <c r="M379" s="52"/>
      <c r="N379" s="52"/>
      <c r="O379" s="62" t="s">
        <v>1135</v>
      </c>
      <c r="P379" s="52"/>
      <c r="Q379" s="60" t="s">
        <v>427</v>
      </c>
    </row>
    <row r="380" spans="1:17" s="60" customFormat="1" ht="48">
      <c r="A380" s="52"/>
      <c r="B380" s="53"/>
      <c r="C380" s="54"/>
      <c r="D380" s="80">
        <v>40304.541666666664</v>
      </c>
      <c r="E380" s="60" t="s">
        <v>430</v>
      </c>
      <c r="F380" s="52" t="s">
        <v>425</v>
      </c>
      <c r="G380" s="62"/>
      <c r="H380" s="52" t="s">
        <v>787</v>
      </c>
      <c r="I380" s="62"/>
      <c r="J380" s="52" t="s">
        <v>1541</v>
      </c>
      <c r="K380" s="62"/>
      <c r="L380" s="95"/>
      <c r="M380" s="62" t="s">
        <v>777</v>
      </c>
      <c r="N380" s="52"/>
      <c r="O380" s="60" t="s">
        <v>774</v>
      </c>
      <c r="P380" s="52"/>
      <c r="Q380" s="60" t="s">
        <v>810</v>
      </c>
    </row>
    <row r="381" spans="1:17" s="60" customFormat="1">
      <c r="A381" s="52"/>
      <c r="B381" s="53"/>
      <c r="C381" s="54"/>
      <c r="D381" s="80">
        <v>40304.542361111111</v>
      </c>
      <c r="E381" s="60" t="s">
        <v>430</v>
      </c>
      <c r="F381" s="52" t="s">
        <v>425</v>
      </c>
      <c r="G381" s="62"/>
      <c r="H381" s="52" t="s">
        <v>787</v>
      </c>
      <c r="I381" s="62"/>
      <c r="J381" s="52" t="s">
        <v>1541</v>
      </c>
      <c r="K381" s="62"/>
      <c r="L381" s="95"/>
      <c r="M381" s="62" t="s">
        <v>784</v>
      </c>
      <c r="N381" s="52"/>
      <c r="O381" s="60" t="s">
        <v>815</v>
      </c>
      <c r="P381" s="52"/>
      <c r="Q381" s="60" t="s">
        <v>810</v>
      </c>
    </row>
    <row r="382" spans="1:17" s="60" customFormat="1" ht="48">
      <c r="A382" s="52"/>
      <c r="B382" s="53"/>
      <c r="C382" s="54"/>
      <c r="D382" s="55">
        <v>40304.552083333336</v>
      </c>
      <c r="E382" s="60" t="s">
        <v>430</v>
      </c>
      <c r="F382" s="52" t="s">
        <v>1319</v>
      </c>
      <c r="G382" s="60" t="s">
        <v>593</v>
      </c>
      <c r="H382" s="52" t="s">
        <v>1318</v>
      </c>
      <c r="I382" s="52" t="s">
        <v>1349</v>
      </c>
      <c r="K382" s="52"/>
      <c r="L382" s="97" t="s">
        <v>1488</v>
      </c>
      <c r="M382" s="60" t="s">
        <v>1304</v>
      </c>
      <c r="O382" s="60" t="s">
        <v>1191</v>
      </c>
      <c r="P382" s="60" t="s">
        <v>1191</v>
      </c>
      <c r="Q382" s="60" t="s">
        <v>1314</v>
      </c>
    </row>
    <row r="383" spans="1:17" s="60" customFormat="1" ht="48">
      <c r="A383" s="52"/>
      <c r="B383" s="53"/>
      <c r="C383" s="54"/>
      <c r="D383" s="55">
        <v>40304.59375</v>
      </c>
      <c r="E383" s="60" t="s">
        <v>430</v>
      </c>
      <c r="F383" s="52" t="s">
        <v>1319</v>
      </c>
      <c r="G383" s="56" t="s">
        <v>1306</v>
      </c>
      <c r="H383" s="52"/>
      <c r="I383" s="52" t="s">
        <v>1307</v>
      </c>
      <c r="K383" s="52"/>
      <c r="L383" s="60" t="s">
        <v>1308</v>
      </c>
      <c r="M383" s="60" t="s">
        <v>1309</v>
      </c>
      <c r="O383" s="60" t="s">
        <v>1192</v>
      </c>
      <c r="P383" s="60" t="s">
        <v>1192</v>
      </c>
      <c r="Q383" s="60" t="s">
        <v>1314</v>
      </c>
    </row>
    <row r="384" spans="1:17" s="60" customFormat="1" ht="24">
      <c r="A384" s="52"/>
      <c r="B384" s="53"/>
      <c r="C384" s="54"/>
      <c r="D384" s="80">
        <v>40304.625</v>
      </c>
      <c r="E384" s="52" t="s">
        <v>1489</v>
      </c>
      <c r="F384" s="52" t="s">
        <v>1188</v>
      </c>
      <c r="G384" s="52" t="s">
        <v>344</v>
      </c>
      <c r="H384" s="52"/>
      <c r="I384" s="52" t="s">
        <v>668</v>
      </c>
      <c r="J384" s="52"/>
      <c r="K384" s="52">
        <v>5</v>
      </c>
      <c r="L384" s="52" t="s">
        <v>1136</v>
      </c>
      <c r="M384" s="52"/>
      <c r="N384" s="52"/>
      <c r="O384" s="52" t="s">
        <v>1136</v>
      </c>
      <c r="P384" s="52"/>
      <c r="Q384" s="60" t="s">
        <v>427</v>
      </c>
    </row>
    <row r="385" spans="1:17" s="60" customFormat="1" ht="36">
      <c r="A385" s="52"/>
      <c r="B385" s="53"/>
      <c r="C385" s="54"/>
      <c r="D385" s="55">
        <v>40304.635416666664</v>
      </c>
      <c r="E385" s="118" t="s">
        <v>430</v>
      </c>
      <c r="F385" s="118" t="s">
        <v>425</v>
      </c>
      <c r="G385" s="118" t="s">
        <v>1260</v>
      </c>
      <c r="H385" s="52"/>
      <c r="I385" s="118" t="s">
        <v>1265</v>
      </c>
      <c r="J385" s="118"/>
      <c r="K385" s="52"/>
      <c r="L385" s="118" t="s">
        <v>1258</v>
      </c>
      <c r="M385" s="52"/>
      <c r="N385" s="52"/>
      <c r="O385" s="118" t="s">
        <v>1258</v>
      </c>
      <c r="P385" s="52"/>
      <c r="Q385" s="118" t="s">
        <v>1267</v>
      </c>
    </row>
    <row r="386" spans="1:17" s="60" customFormat="1" ht="108">
      <c r="A386" s="52"/>
      <c r="B386" s="53">
        <v>40304</v>
      </c>
      <c r="C386" s="54">
        <v>40304.666666666664</v>
      </c>
      <c r="D386" s="61">
        <v>40304.666666666664</v>
      </c>
      <c r="E386" s="52" t="s">
        <v>1098</v>
      </c>
      <c r="F386" s="52" t="s">
        <v>425</v>
      </c>
      <c r="G386" s="62" t="s">
        <v>429</v>
      </c>
      <c r="H386" s="52"/>
      <c r="I386" s="62" t="s">
        <v>426</v>
      </c>
      <c r="J386" s="52" t="s">
        <v>392</v>
      </c>
      <c r="K386" s="62" t="s">
        <v>423</v>
      </c>
      <c r="L386" s="52" t="s">
        <v>392</v>
      </c>
      <c r="M386" s="62"/>
      <c r="N386" s="52"/>
      <c r="O386" s="52" t="s">
        <v>1193</v>
      </c>
      <c r="P386" s="52"/>
      <c r="Q386" s="60" t="s">
        <v>427</v>
      </c>
    </row>
    <row r="387" spans="1:17" s="60" customFormat="1">
      <c r="A387" s="56"/>
      <c r="B387" s="69">
        <v>40305</v>
      </c>
      <c r="C387" s="73">
        <v>0.66666666666666663</v>
      </c>
      <c r="D387" s="74">
        <v>40304.666666666664</v>
      </c>
      <c r="E387" s="56"/>
      <c r="F387" s="75"/>
      <c r="G387" s="75"/>
      <c r="H387" s="56"/>
      <c r="I387" s="56"/>
      <c r="J387" s="56"/>
      <c r="K387" s="56"/>
      <c r="L387" s="99"/>
      <c r="M387" s="56"/>
      <c r="N387" s="56"/>
      <c r="O387" s="77" t="s">
        <v>809</v>
      </c>
      <c r="P387" s="56"/>
      <c r="Q387" s="56" t="s">
        <v>427</v>
      </c>
    </row>
    <row r="388" spans="1:17" s="60" customFormat="1" ht="36">
      <c r="A388" s="52"/>
      <c r="B388" s="53">
        <v>40304.708333333336</v>
      </c>
      <c r="C388" s="81">
        <v>40304.708333333336</v>
      </c>
      <c r="D388" s="80">
        <v>40304.708333333336</v>
      </c>
      <c r="E388" s="115" t="s">
        <v>1098</v>
      </c>
      <c r="F388" s="52" t="s">
        <v>1103</v>
      </c>
      <c r="G388" s="52"/>
      <c r="H388" s="52"/>
      <c r="I388" s="52"/>
      <c r="J388" s="115" t="s">
        <v>1559</v>
      </c>
      <c r="K388" s="52"/>
      <c r="L388" s="116" t="s">
        <v>983</v>
      </c>
      <c r="M388" s="52"/>
      <c r="N388" s="52"/>
      <c r="O388" s="52"/>
      <c r="P388" s="52"/>
      <c r="Q388" s="60" t="s">
        <v>891</v>
      </c>
    </row>
    <row r="389" spans="1:17" s="60" customFormat="1" ht="36">
      <c r="A389" s="52"/>
      <c r="B389" s="53">
        <v>40304.708333333336</v>
      </c>
      <c r="C389" s="81">
        <v>40304.708333333336</v>
      </c>
      <c r="D389" s="80">
        <v>40304.709027777782</v>
      </c>
      <c r="E389" s="115" t="s">
        <v>1098</v>
      </c>
      <c r="F389" s="52" t="s">
        <v>1103</v>
      </c>
      <c r="G389" s="52"/>
      <c r="H389" s="52"/>
      <c r="I389" s="52"/>
      <c r="J389" s="115" t="s">
        <v>1559</v>
      </c>
      <c r="K389" s="52"/>
      <c r="L389" s="116" t="s">
        <v>957</v>
      </c>
      <c r="M389" s="52"/>
      <c r="N389" s="52"/>
      <c r="O389" s="52"/>
      <c r="P389" s="52"/>
      <c r="Q389" s="60" t="s">
        <v>891</v>
      </c>
    </row>
    <row r="390" spans="1:17" s="60" customFormat="1" ht="36">
      <c r="A390" s="52"/>
      <c r="B390" s="53">
        <v>40304</v>
      </c>
      <c r="C390" s="81">
        <v>40304.708333333336</v>
      </c>
      <c r="D390" s="80">
        <v>40304.709722222229</v>
      </c>
      <c r="E390" s="115" t="s">
        <v>1098</v>
      </c>
      <c r="F390" s="52" t="s">
        <v>1103</v>
      </c>
      <c r="G390" s="52"/>
      <c r="H390" s="52"/>
      <c r="I390" s="52"/>
      <c r="J390" s="115" t="s">
        <v>1559</v>
      </c>
      <c r="K390" s="52"/>
      <c r="L390" s="116" t="s">
        <v>984</v>
      </c>
      <c r="M390" s="52"/>
      <c r="N390" s="52"/>
      <c r="O390" s="52"/>
      <c r="P390" s="52"/>
      <c r="Q390" s="60" t="s">
        <v>891</v>
      </c>
    </row>
    <row r="391" spans="1:17" s="60" customFormat="1" ht="36">
      <c r="A391" s="52"/>
      <c r="B391" s="53">
        <v>40304</v>
      </c>
      <c r="C391" s="81">
        <v>40304.708333333336</v>
      </c>
      <c r="D391" s="80">
        <v>40304.710416666676</v>
      </c>
      <c r="E391" s="115" t="s">
        <v>1098</v>
      </c>
      <c r="F391" s="52" t="s">
        <v>1103</v>
      </c>
      <c r="G391" s="52"/>
      <c r="H391" s="52"/>
      <c r="I391" s="52"/>
      <c r="J391" s="115" t="s">
        <v>1559</v>
      </c>
      <c r="K391" s="52"/>
      <c r="L391" s="116" t="s">
        <v>985</v>
      </c>
      <c r="M391" s="52"/>
      <c r="N391" s="52"/>
      <c r="O391" s="52"/>
      <c r="P391" s="52"/>
      <c r="Q391" s="60" t="s">
        <v>891</v>
      </c>
    </row>
    <row r="392" spans="1:17" s="60" customFormat="1" ht="36">
      <c r="A392" s="52"/>
      <c r="B392" s="53">
        <v>40304</v>
      </c>
      <c r="C392" s="81">
        <v>40304.708333333336</v>
      </c>
      <c r="D392" s="80">
        <v>40304.711111111123</v>
      </c>
      <c r="E392" s="115" t="s">
        <v>1098</v>
      </c>
      <c r="F392" s="52" t="s">
        <v>1103</v>
      </c>
      <c r="G392" s="52"/>
      <c r="H392" s="52"/>
      <c r="I392" s="52"/>
      <c r="J392" s="115" t="s">
        <v>1559</v>
      </c>
      <c r="K392" s="52"/>
      <c r="L392" s="116" t="s">
        <v>986</v>
      </c>
      <c r="M392" s="52"/>
      <c r="N392" s="52"/>
      <c r="O392" s="52"/>
      <c r="P392" s="52"/>
      <c r="Q392" s="60" t="s">
        <v>891</v>
      </c>
    </row>
    <row r="393" spans="1:17" s="60" customFormat="1" ht="36">
      <c r="A393" s="52"/>
      <c r="B393" s="53">
        <v>40304</v>
      </c>
      <c r="C393" s="81">
        <v>40304.708333333336</v>
      </c>
      <c r="D393" s="80">
        <v>40304.711805555569</v>
      </c>
      <c r="E393" s="115" t="s">
        <v>1098</v>
      </c>
      <c r="F393" s="52" t="s">
        <v>1103</v>
      </c>
      <c r="G393" s="52"/>
      <c r="H393" s="52"/>
      <c r="I393" s="52"/>
      <c r="J393" s="115" t="s">
        <v>1559</v>
      </c>
      <c r="K393" s="52"/>
      <c r="L393" s="116" t="s">
        <v>987</v>
      </c>
      <c r="M393" s="52"/>
      <c r="N393" s="52"/>
      <c r="O393" s="52"/>
      <c r="P393" s="52"/>
      <c r="Q393" s="60" t="s">
        <v>891</v>
      </c>
    </row>
    <row r="394" spans="1:17" s="60" customFormat="1" ht="36">
      <c r="A394" s="52"/>
      <c r="B394" s="53">
        <v>40304</v>
      </c>
      <c r="C394" s="81">
        <v>40304.708333333336</v>
      </c>
      <c r="D394" s="80">
        <v>40304.712500000016</v>
      </c>
      <c r="E394" s="115" t="s">
        <v>1098</v>
      </c>
      <c r="F394" s="52" t="s">
        <v>1103</v>
      </c>
      <c r="G394" s="52"/>
      <c r="H394" s="52"/>
      <c r="I394" s="52"/>
      <c r="J394" s="115" t="s">
        <v>1559</v>
      </c>
      <c r="K394" s="52"/>
      <c r="L394" s="116" t="s">
        <v>988</v>
      </c>
      <c r="M394" s="52"/>
      <c r="N394" s="52"/>
      <c r="O394" s="52"/>
      <c r="P394" s="52"/>
      <c r="Q394" s="60" t="s">
        <v>891</v>
      </c>
    </row>
    <row r="395" spans="1:17" s="60" customFormat="1" ht="36">
      <c r="A395" s="52"/>
      <c r="B395" s="53">
        <v>40304</v>
      </c>
      <c r="C395" s="81">
        <v>40304.708333333336</v>
      </c>
      <c r="D395" s="80">
        <v>40304.713194444463</v>
      </c>
      <c r="E395" s="115" t="s">
        <v>1098</v>
      </c>
      <c r="F395" s="52" t="s">
        <v>1103</v>
      </c>
      <c r="G395" s="52"/>
      <c r="H395" s="52"/>
      <c r="I395" s="52"/>
      <c r="J395" s="115" t="s">
        <v>1559</v>
      </c>
      <c r="K395" s="52"/>
      <c r="L395" s="116" t="s">
        <v>989</v>
      </c>
      <c r="M395" s="52"/>
      <c r="N395" s="52"/>
      <c r="O395" s="52"/>
      <c r="P395" s="52"/>
      <c r="Q395" s="60" t="s">
        <v>891</v>
      </c>
    </row>
    <row r="396" spans="1:17" s="60" customFormat="1" ht="48">
      <c r="A396" s="52"/>
      <c r="B396" s="53">
        <v>40304</v>
      </c>
      <c r="C396" s="81">
        <v>40304.708333333336</v>
      </c>
      <c r="D396" s="80">
        <v>40304.713888888909</v>
      </c>
      <c r="E396" s="115" t="s">
        <v>1098</v>
      </c>
      <c r="F396" s="52" t="s">
        <v>1103</v>
      </c>
      <c r="G396" s="52"/>
      <c r="H396" s="52"/>
      <c r="I396" s="52"/>
      <c r="J396" s="115" t="s">
        <v>1559</v>
      </c>
      <c r="K396" s="52"/>
      <c r="L396" s="116" t="s">
        <v>893</v>
      </c>
      <c r="M396" s="52"/>
      <c r="N396" s="52"/>
      <c r="O396" s="52"/>
      <c r="P396" s="52"/>
      <c r="Q396" s="60" t="s">
        <v>891</v>
      </c>
    </row>
    <row r="397" spans="1:17" s="60" customFormat="1" ht="36">
      <c r="A397" s="52"/>
      <c r="B397" s="53">
        <v>40304</v>
      </c>
      <c r="C397" s="81">
        <v>40304.708333333336</v>
      </c>
      <c r="D397" s="80">
        <v>40304.714583333356</v>
      </c>
      <c r="E397" s="115" t="s">
        <v>1098</v>
      </c>
      <c r="F397" s="52" t="s">
        <v>1103</v>
      </c>
      <c r="G397" s="52"/>
      <c r="H397" s="52"/>
      <c r="I397" s="52"/>
      <c r="J397" s="115" t="s">
        <v>1559</v>
      </c>
      <c r="K397" s="52"/>
      <c r="L397" s="116" t="s">
        <v>894</v>
      </c>
      <c r="M397" s="52"/>
      <c r="N397" s="52"/>
      <c r="O397" s="52"/>
      <c r="P397" s="52"/>
      <c r="Q397" s="60" t="s">
        <v>891</v>
      </c>
    </row>
    <row r="398" spans="1:17" s="60" customFormat="1" ht="36">
      <c r="A398" s="52"/>
      <c r="B398" s="53">
        <v>40304</v>
      </c>
      <c r="C398" s="81">
        <v>40304.708333333336</v>
      </c>
      <c r="D398" s="80">
        <v>40304.715277777803</v>
      </c>
      <c r="E398" s="115" t="s">
        <v>1098</v>
      </c>
      <c r="F398" s="52" t="s">
        <v>1103</v>
      </c>
      <c r="G398" s="52"/>
      <c r="H398" s="52"/>
      <c r="I398" s="52"/>
      <c r="J398" s="115" t="s">
        <v>1559</v>
      </c>
      <c r="K398" s="52"/>
      <c r="L398" s="116" t="s">
        <v>895</v>
      </c>
      <c r="M398" s="52"/>
      <c r="N398" s="52"/>
      <c r="O398" s="52"/>
      <c r="P398" s="52"/>
      <c r="Q398" s="60" t="s">
        <v>891</v>
      </c>
    </row>
    <row r="399" spans="1:17" s="60" customFormat="1" ht="36">
      <c r="A399" s="52"/>
      <c r="B399" s="53">
        <v>40304</v>
      </c>
      <c r="C399" s="81">
        <v>40304.708333333336</v>
      </c>
      <c r="D399" s="80">
        <v>40304.71597222225</v>
      </c>
      <c r="E399" s="115" t="s">
        <v>1098</v>
      </c>
      <c r="F399" s="52" t="s">
        <v>1103</v>
      </c>
      <c r="G399" s="52"/>
      <c r="H399" s="52"/>
      <c r="I399" s="52"/>
      <c r="J399" s="115" t="s">
        <v>1559</v>
      </c>
      <c r="K399" s="52"/>
      <c r="L399" s="116" t="s">
        <v>896</v>
      </c>
      <c r="M399" s="52"/>
      <c r="N399" s="52"/>
      <c r="O399" s="52"/>
      <c r="P399" s="52"/>
      <c r="Q399" s="60" t="s">
        <v>891</v>
      </c>
    </row>
    <row r="400" spans="1:17" s="60" customFormat="1" ht="36">
      <c r="A400" s="52"/>
      <c r="B400" s="53">
        <v>40304</v>
      </c>
      <c r="C400" s="81">
        <v>40304.708333333336</v>
      </c>
      <c r="D400" s="80">
        <v>40304.716666666696</v>
      </c>
      <c r="E400" s="115" t="s">
        <v>1098</v>
      </c>
      <c r="F400" s="52" t="s">
        <v>1103</v>
      </c>
      <c r="G400" s="52"/>
      <c r="H400" s="52"/>
      <c r="I400" s="52"/>
      <c r="J400" s="115" t="s">
        <v>1559</v>
      </c>
      <c r="K400" s="52"/>
      <c r="L400" s="116" t="s">
        <v>897</v>
      </c>
      <c r="M400" s="52"/>
      <c r="N400" s="52"/>
      <c r="O400" s="52"/>
      <c r="P400" s="52"/>
      <c r="Q400" s="60" t="s">
        <v>891</v>
      </c>
    </row>
    <row r="401" spans="1:17" s="60" customFormat="1" ht="36">
      <c r="A401" s="52"/>
      <c r="B401" s="53">
        <v>40304</v>
      </c>
      <c r="C401" s="81">
        <v>40304.708333333336</v>
      </c>
      <c r="D401" s="80">
        <v>40304.717361111143</v>
      </c>
      <c r="E401" s="115" t="s">
        <v>1098</v>
      </c>
      <c r="F401" s="52" t="s">
        <v>1103</v>
      </c>
      <c r="G401" s="52"/>
      <c r="H401" s="52"/>
      <c r="I401" s="52"/>
      <c r="J401" s="115" t="s">
        <v>1559</v>
      </c>
      <c r="K401" s="52"/>
      <c r="L401" s="116" t="s">
        <v>898</v>
      </c>
      <c r="M401" s="52"/>
      <c r="N401" s="52"/>
      <c r="O401" s="52"/>
      <c r="P401" s="52" t="e">
        <f>#REF!</f>
        <v>#REF!</v>
      </c>
      <c r="Q401" s="60" t="s">
        <v>891</v>
      </c>
    </row>
    <row r="402" spans="1:17" ht="14.25">
      <c r="O402" s="58"/>
    </row>
  </sheetData>
  <sheetCalcPr fullCalcOnLoad="1"/>
  <autoFilter ref="A1:Q401"/>
  <phoneticPr fontId="1" type="noConversion"/>
  <printOptions horizontalCentered="1" verticalCentered="1"/>
  <pageMargins left="0.75" right="0.5" top="0.53" bottom="0.55000000000000004" header="0.27" footer="0.3"/>
  <headerFooter alignWithMargins="0">
    <oddHeader>&amp;L&amp;"Arial,Bold"&amp;12&amp;F&amp;R&amp;"Arial,Bold"&amp;12Exercise Only</oddHeader>
    <oddFooter>&amp;L&amp;"Arial,Bold"&amp;12Exercise Only&amp;C&amp;F
&amp;D&amp;T</oddFooter>
  </headerFooter>
  <legacyDrawing r:id="rId1"/>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P26"/>
  <sheetViews>
    <sheetView zoomScale="70" zoomScaleNormal="70" zoomScalePageLayoutView="70" workbookViewId="0">
      <pane ySplit="3" topLeftCell="A4" activePane="bottomLeft" state="frozen"/>
      <selection pane="bottomLeft" activeCell="D29" sqref="D29"/>
    </sheetView>
  </sheetViews>
  <sheetFormatPr baseColWidth="10" defaultColWidth="16.5" defaultRowHeight="12"/>
  <cols>
    <col min="1" max="3" width="16.5" style="27"/>
    <col min="4" max="4" width="23.5" style="27" bestFit="1" customWidth="1"/>
    <col min="5" max="8" width="16.5" style="27"/>
    <col min="9" max="9" width="23.5" style="27" bestFit="1" customWidth="1"/>
    <col min="10" max="11" width="16.5" style="27"/>
    <col min="12" max="12" width="23.5" style="27" bestFit="1" customWidth="1"/>
    <col min="13" max="16384" width="16.5" style="27"/>
  </cols>
  <sheetData>
    <row r="1" spans="1:16" s="12" customFormat="1" ht="30.75" customHeight="1">
      <c r="A1" s="26" t="s">
        <v>422</v>
      </c>
      <c r="B1" s="27"/>
      <c r="C1" s="27"/>
      <c r="D1" s="27"/>
      <c r="E1" s="27"/>
      <c r="F1" s="27"/>
      <c r="G1" s="27"/>
      <c r="H1" s="27"/>
      <c r="I1" s="27"/>
      <c r="J1" s="27"/>
      <c r="K1" s="27"/>
    </row>
    <row r="2" spans="1:16" s="14" customFormat="1" ht="43.5" customHeight="1" thickBot="1">
      <c r="A2" s="28" t="s">
        <v>416</v>
      </c>
      <c r="B2" s="27"/>
      <c r="C2" s="27"/>
      <c r="D2" s="27"/>
      <c r="E2" s="27"/>
      <c r="F2" s="27"/>
      <c r="G2" s="27"/>
      <c r="H2" s="27"/>
      <c r="I2" s="27"/>
      <c r="J2" s="27"/>
      <c r="K2" s="27"/>
    </row>
    <row r="3" spans="1:16" s="9" customFormat="1" ht="68">
      <c r="A3" s="3" t="s">
        <v>421</v>
      </c>
      <c r="B3" s="20" t="s">
        <v>424</v>
      </c>
      <c r="C3" s="22" t="s">
        <v>572</v>
      </c>
      <c r="D3" s="6" t="s">
        <v>408</v>
      </c>
      <c r="E3" s="3" t="s">
        <v>411</v>
      </c>
      <c r="F3" s="4" t="s">
        <v>412</v>
      </c>
      <c r="G3" s="6" t="s">
        <v>409</v>
      </c>
      <c r="H3" s="4" t="s">
        <v>413</v>
      </c>
      <c r="I3" s="6" t="s">
        <v>410</v>
      </c>
      <c r="J3" s="5" t="s">
        <v>417</v>
      </c>
      <c r="K3" s="6" t="s">
        <v>418</v>
      </c>
      <c r="L3" s="4" t="s">
        <v>419</v>
      </c>
      <c r="M3" s="6" t="s">
        <v>420</v>
      </c>
      <c r="N3" s="5" t="s">
        <v>414</v>
      </c>
      <c r="O3" s="5" t="s">
        <v>415</v>
      </c>
      <c r="P3" s="17" t="s">
        <v>428</v>
      </c>
    </row>
    <row r="4" spans="1:16" s="29" customFormat="1" ht="59.25" customHeight="1">
      <c r="A4" s="1" t="s">
        <v>137</v>
      </c>
      <c r="B4" s="21">
        <v>40301</v>
      </c>
      <c r="C4" s="23" t="s">
        <v>138</v>
      </c>
      <c r="D4" s="7" t="s">
        <v>139</v>
      </c>
      <c r="E4" s="1" t="s">
        <v>799</v>
      </c>
      <c r="F4" s="2" t="s">
        <v>649</v>
      </c>
      <c r="G4" s="7" t="s">
        <v>140</v>
      </c>
      <c r="H4" s="2" t="s">
        <v>141</v>
      </c>
      <c r="I4" s="7" t="s">
        <v>142</v>
      </c>
      <c r="J4" s="16"/>
      <c r="K4" s="7" t="s">
        <v>142</v>
      </c>
      <c r="L4" s="2" t="s">
        <v>143</v>
      </c>
      <c r="M4" s="7"/>
      <c r="N4" s="1" t="s">
        <v>144</v>
      </c>
      <c r="O4" s="10"/>
      <c r="P4" s="19" t="s">
        <v>140</v>
      </c>
    </row>
    <row r="5" spans="1:16" ht="108">
      <c r="A5" s="136" t="s">
        <v>110</v>
      </c>
      <c r="B5" s="137">
        <v>40301</v>
      </c>
      <c r="C5" s="27">
        <v>1015</v>
      </c>
      <c r="D5" s="136" t="s">
        <v>111</v>
      </c>
      <c r="E5" s="136" t="s">
        <v>652</v>
      </c>
      <c r="F5" s="136" t="s">
        <v>112</v>
      </c>
      <c r="G5" s="136" t="s">
        <v>140</v>
      </c>
      <c r="H5" s="136" t="s">
        <v>113</v>
      </c>
      <c r="I5" s="27" t="s">
        <v>114</v>
      </c>
      <c r="K5" s="27" t="s">
        <v>114</v>
      </c>
      <c r="L5" s="136" t="s">
        <v>115</v>
      </c>
      <c r="N5" s="27" t="s">
        <v>114</v>
      </c>
      <c r="P5" s="136" t="s">
        <v>140</v>
      </c>
    </row>
    <row r="6" spans="1:16" ht="156">
      <c r="A6" s="27" t="s">
        <v>117</v>
      </c>
      <c r="B6" s="137">
        <v>40301</v>
      </c>
      <c r="C6" s="27">
        <v>1900</v>
      </c>
      <c r="D6" s="27" t="s">
        <v>118</v>
      </c>
      <c r="E6" s="27" t="s">
        <v>652</v>
      </c>
      <c r="F6" s="27" t="s">
        <v>147</v>
      </c>
      <c r="G6" s="27" t="s">
        <v>140</v>
      </c>
      <c r="H6" s="27" t="s">
        <v>119</v>
      </c>
      <c r="I6" s="27" t="s">
        <v>121</v>
      </c>
      <c r="K6" s="27" t="s">
        <v>120</v>
      </c>
      <c r="N6" s="27" t="s">
        <v>146</v>
      </c>
    </row>
    <row r="7" spans="1:16" ht="132">
      <c r="A7" s="27" t="s">
        <v>123</v>
      </c>
      <c r="B7" s="137">
        <v>40302</v>
      </c>
      <c r="C7" s="27">
        <v>930</v>
      </c>
      <c r="D7" s="27" t="s">
        <v>124</v>
      </c>
      <c r="E7" s="27" t="s">
        <v>125</v>
      </c>
      <c r="F7" s="27" t="s">
        <v>126</v>
      </c>
      <c r="G7" s="27" t="s">
        <v>1314</v>
      </c>
      <c r="H7" s="27" t="s">
        <v>127</v>
      </c>
      <c r="I7" s="27" t="s">
        <v>129</v>
      </c>
      <c r="L7" s="27" t="s">
        <v>128</v>
      </c>
      <c r="N7" s="27" t="s">
        <v>72</v>
      </c>
    </row>
    <row r="8" spans="1:16" ht="144">
      <c r="A8" s="136" t="s">
        <v>73</v>
      </c>
      <c r="B8" s="137">
        <v>40302</v>
      </c>
      <c r="C8" s="27">
        <v>1055</v>
      </c>
      <c r="D8" s="136" t="s">
        <v>74</v>
      </c>
      <c r="E8" s="136" t="s">
        <v>125</v>
      </c>
      <c r="F8" s="136" t="s">
        <v>75</v>
      </c>
      <c r="G8" s="136" t="s">
        <v>1581</v>
      </c>
      <c r="H8" s="136" t="s">
        <v>76</v>
      </c>
      <c r="I8" s="136" t="s">
        <v>77</v>
      </c>
      <c r="L8" s="136" t="s">
        <v>78</v>
      </c>
      <c r="N8" s="27" t="s">
        <v>145</v>
      </c>
    </row>
    <row r="9" spans="1:16" ht="84">
      <c r="A9" s="136" t="s">
        <v>79</v>
      </c>
      <c r="B9" s="137">
        <v>40302</v>
      </c>
      <c r="C9" s="27">
        <v>1400</v>
      </c>
      <c r="D9" s="136" t="s">
        <v>80</v>
      </c>
      <c r="E9" s="136" t="s">
        <v>579</v>
      </c>
      <c r="F9" s="136" t="s">
        <v>81</v>
      </c>
      <c r="G9" s="136" t="s">
        <v>1346</v>
      </c>
      <c r="H9" s="136" t="s">
        <v>1343</v>
      </c>
      <c r="I9" s="136" t="s">
        <v>83</v>
      </c>
      <c r="L9" s="136" t="s">
        <v>82</v>
      </c>
      <c r="N9" s="27" t="s">
        <v>147</v>
      </c>
    </row>
    <row r="10" spans="1:16" ht="72">
      <c r="A10" s="136" t="s">
        <v>84</v>
      </c>
      <c r="B10" s="137">
        <v>40302</v>
      </c>
      <c r="C10" s="27">
        <v>1730</v>
      </c>
      <c r="D10" s="136" t="s">
        <v>85</v>
      </c>
      <c r="E10" s="136" t="s">
        <v>86</v>
      </c>
      <c r="F10" s="136" t="s">
        <v>81</v>
      </c>
      <c r="G10" s="136" t="s">
        <v>87</v>
      </c>
      <c r="H10" s="136" t="s">
        <v>1343</v>
      </c>
      <c r="I10" s="136" t="s">
        <v>88</v>
      </c>
      <c r="L10" s="136" t="s">
        <v>89</v>
      </c>
      <c r="N10" s="27" t="s">
        <v>148</v>
      </c>
    </row>
    <row r="11" spans="1:16">
      <c r="N11" s="27" t="s">
        <v>149</v>
      </c>
    </row>
    <row r="12" spans="1:16" ht="24">
      <c r="N12" s="27" t="s">
        <v>150</v>
      </c>
    </row>
    <row r="13" spans="1:16">
      <c r="N13" s="27" t="s">
        <v>145</v>
      </c>
    </row>
    <row r="14" spans="1:16" ht="24">
      <c r="N14" s="27" t="s">
        <v>144</v>
      </c>
    </row>
    <row r="15" spans="1:16" ht="144">
      <c r="A15" s="27" t="s">
        <v>103</v>
      </c>
      <c r="B15" s="137">
        <v>40303</v>
      </c>
      <c r="C15" s="27">
        <v>900</v>
      </c>
      <c r="D15" s="27" t="s">
        <v>92</v>
      </c>
      <c r="E15" s="27" t="s">
        <v>97</v>
      </c>
      <c r="F15" s="52" t="s">
        <v>95</v>
      </c>
      <c r="G15" s="27" t="s">
        <v>93</v>
      </c>
      <c r="H15" s="27" t="s">
        <v>94</v>
      </c>
      <c r="I15" s="52" t="s">
        <v>99</v>
      </c>
      <c r="K15" s="27" t="s">
        <v>98</v>
      </c>
      <c r="L15" s="27" t="s">
        <v>96</v>
      </c>
      <c r="N15" s="52" t="s">
        <v>102</v>
      </c>
      <c r="O15" s="52" t="s">
        <v>100</v>
      </c>
      <c r="P15" s="27" t="s">
        <v>101</v>
      </c>
    </row>
    <row r="16" spans="1:16" ht="84">
      <c r="A16" s="27" t="s">
        <v>104</v>
      </c>
      <c r="B16" s="137">
        <v>40303</v>
      </c>
      <c r="C16" s="27">
        <v>930</v>
      </c>
      <c r="D16" s="27" t="s">
        <v>105</v>
      </c>
      <c r="E16" s="27" t="s">
        <v>86</v>
      </c>
      <c r="F16" s="27" t="s">
        <v>106</v>
      </c>
      <c r="G16" s="27" t="s">
        <v>107</v>
      </c>
      <c r="H16" s="27" t="s">
        <v>108</v>
      </c>
      <c r="I16" s="27" t="s">
        <v>49</v>
      </c>
      <c r="L16" s="27" t="s">
        <v>50</v>
      </c>
      <c r="N16" s="27" t="s">
        <v>49</v>
      </c>
      <c r="P16" s="27" t="s">
        <v>51</v>
      </c>
    </row>
    <row r="17" spans="1:16" ht="224.25" customHeight="1">
      <c r="A17" s="27" t="s">
        <v>58</v>
      </c>
      <c r="B17" s="137">
        <v>40303</v>
      </c>
      <c r="C17" s="27">
        <v>1130</v>
      </c>
      <c r="D17" s="27" t="s">
        <v>52</v>
      </c>
      <c r="E17" s="27" t="s">
        <v>86</v>
      </c>
      <c r="F17" s="27" t="s">
        <v>106</v>
      </c>
      <c r="G17" s="27" t="s">
        <v>107</v>
      </c>
      <c r="H17" s="27" t="s">
        <v>108</v>
      </c>
      <c r="I17" s="27" t="s">
        <v>53</v>
      </c>
      <c r="L17" s="27" t="s">
        <v>54</v>
      </c>
      <c r="N17" s="27" t="s">
        <v>53</v>
      </c>
      <c r="P17" s="27" t="s">
        <v>51</v>
      </c>
    </row>
    <row r="18" spans="1:16" ht="224.25" customHeight="1">
      <c r="A18" s="27" t="s">
        <v>59</v>
      </c>
      <c r="B18" s="137">
        <v>40303</v>
      </c>
      <c r="C18" s="27">
        <v>1300</v>
      </c>
      <c r="D18" s="27" t="s">
        <v>55</v>
      </c>
      <c r="E18" s="27" t="s">
        <v>86</v>
      </c>
      <c r="F18" s="27" t="s">
        <v>106</v>
      </c>
      <c r="G18" s="27" t="s">
        <v>107</v>
      </c>
      <c r="H18" s="27" t="s">
        <v>108</v>
      </c>
      <c r="I18" s="27" t="s">
        <v>56</v>
      </c>
      <c r="L18" s="27" t="s">
        <v>57</v>
      </c>
      <c r="N18" s="27" t="s">
        <v>56</v>
      </c>
      <c r="P18" s="27" t="s">
        <v>51</v>
      </c>
    </row>
    <row r="19" spans="1:16" ht="96">
      <c r="A19" s="27" t="s">
        <v>61</v>
      </c>
      <c r="B19" s="137">
        <v>40303</v>
      </c>
      <c r="C19" s="27">
        <v>1020</v>
      </c>
      <c r="D19" s="27" t="s">
        <v>62</v>
      </c>
      <c r="E19" s="27" t="s">
        <v>579</v>
      </c>
      <c r="F19" s="27" t="s">
        <v>63</v>
      </c>
      <c r="G19" s="27" t="s">
        <v>64</v>
      </c>
      <c r="H19" s="27" t="s">
        <v>108</v>
      </c>
      <c r="I19" s="27" t="s">
        <v>66</v>
      </c>
      <c r="L19" s="27" t="s">
        <v>65</v>
      </c>
      <c r="N19" s="27" t="s">
        <v>68</v>
      </c>
    </row>
    <row r="20" spans="1:16" ht="84">
      <c r="A20" s="27" t="s">
        <v>67</v>
      </c>
      <c r="B20" s="137">
        <v>40303</v>
      </c>
      <c r="C20" s="27">
        <v>1300</v>
      </c>
      <c r="D20" s="27" t="s">
        <v>69</v>
      </c>
      <c r="E20" s="27" t="s">
        <v>579</v>
      </c>
      <c r="F20" s="27" t="s">
        <v>63</v>
      </c>
      <c r="G20" s="27" t="s">
        <v>64</v>
      </c>
      <c r="H20" s="27" t="s">
        <v>70</v>
      </c>
      <c r="I20" s="27" t="s">
        <v>71</v>
      </c>
      <c r="L20" s="27" t="s">
        <v>32</v>
      </c>
    </row>
    <row r="21" spans="1:16" ht="252">
      <c r="A21" s="27" t="s">
        <v>2</v>
      </c>
      <c r="B21" s="137">
        <v>40301</v>
      </c>
      <c r="C21" s="27" t="s">
        <v>44</v>
      </c>
      <c r="D21" s="27" t="s">
        <v>45</v>
      </c>
      <c r="E21" s="27" t="s">
        <v>151</v>
      </c>
      <c r="F21" s="27" t="s">
        <v>46</v>
      </c>
      <c r="G21" s="27" t="s">
        <v>8</v>
      </c>
      <c r="H21" s="27" t="s">
        <v>47</v>
      </c>
      <c r="I21" s="27" t="s">
        <v>48</v>
      </c>
      <c r="L21" s="27" t="s">
        <v>10</v>
      </c>
      <c r="M21" s="27" t="s">
        <v>11</v>
      </c>
      <c r="P21" s="27" t="s">
        <v>1367</v>
      </c>
    </row>
    <row r="22" spans="1:16" ht="156">
      <c r="A22" s="27" t="s">
        <v>3</v>
      </c>
      <c r="B22" s="137">
        <v>40302</v>
      </c>
      <c r="C22" s="27" t="s">
        <v>12</v>
      </c>
      <c r="D22" s="27" t="s">
        <v>13</v>
      </c>
      <c r="E22" s="27" t="s">
        <v>14</v>
      </c>
      <c r="F22" s="27" t="s">
        <v>15</v>
      </c>
      <c r="G22" s="27" t="s">
        <v>8</v>
      </c>
      <c r="H22" s="27" t="s">
        <v>47</v>
      </c>
      <c r="I22" s="27" t="s">
        <v>16</v>
      </c>
      <c r="L22" s="27" t="s">
        <v>17</v>
      </c>
      <c r="P22" s="27" t="s">
        <v>1367</v>
      </c>
    </row>
    <row r="23" spans="1:16" ht="108">
      <c r="A23" s="27" t="s">
        <v>4</v>
      </c>
      <c r="B23" s="137">
        <v>40302</v>
      </c>
      <c r="C23" s="27" t="s">
        <v>18</v>
      </c>
      <c r="D23" s="27" t="s">
        <v>19</v>
      </c>
      <c r="E23" s="27" t="s">
        <v>14</v>
      </c>
      <c r="F23" s="27" t="s">
        <v>15</v>
      </c>
      <c r="G23" s="27" t="s">
        <v>8</v>
      </c>
      <c r="H23" s="27" t="s">
        <v>47</v>
      </c>
      <c r="I23" s="27" t="s">
        <v>20</v>
      </c>
      <c r="L23" s="27" t="s">
        <v>21</v>
      </c>
      <c r="P23" s="27" t="s">
        <v>1367</v>
      </c>
    </row>
    <row r="24" spans="1:16" ht="72">
      <c r="A24" s="27" t="s">
        <v>5</v>
      </c>
      <c r="B24" s="137">
        <v>40303</v>
      </c>
      <c r="C24" s="27" t="s">
        <v>22</v>
      </c>
      <c r="D24" s="27" t="s">
        <v>23</v>
      </c>
      <c r="E24" s="27" t="s">
        <v>14</v>
      </c>
      <c r="F24" s="27" t="s">
        <v>680</v>
      </c>
      <c r="G24" s="27" t="s">
        <v>8</v>
      </c>
      <c r="H24" s="27" t="s">
        <v>47</v>
      </c>
      <c r="I24" s="27" t="s">
        <v>24</v>
      </c>
      <c r="L24" s="27" t="s">
        <v>25</v>
      </c>
      <c r="P24" s="27" t="s">
        <v>1367</v>
      </c>
    </row>
    <row r="25" spans="1:16" ht="108">
      <c r="A25" s="27" t="s">
        <v>6</v>
      </c>
      <c r="B25" s="137">
        <v>40303</v>
      </c>
      <c r="C25" s="27" t="s">
        <v>22</v>
      </c>
      <c r="D25" s="27" t="s">
        <v>26</v>
      </c>
      <c r="E25" s="27" t="s">
        <v>14</v>
      </c>
      <c r="F25" s="27" t="s">
        <v>15</v>
      </c>
      <c r="G25" s="27" t="s">
        <v>8</v>
      </c>
      <c r="H25" s="27" t="s">
        <v>47</v>
      </c>
      <c r="I25" s="27" t="s">
        <v>27</v>
      </c>
      <c r="L25" s="27" t="s">
        <v>28</v>
      </c>
      <c r="P25" s="27" t="s">
        <v>1367</v>
      </c>
    </row>
    <row r="26" spans="1:16" ht="192">
      <c r="A26" s="27" t="s">
        <v>7</v>
      </c>
      <c r="B26" s="137">
        <v>40304</v>
      </c>
      <c r="C26" s="27" t="s">
        <v>29</v>
      </c>
      <c r="D26" s="27" t="s">
        <v>30</v>
      </c>
      <c r="E26" s="27" t="s">
        <v>14</v>
      </c>
      <c r="F26" s="27" t="s">
        <v>680</v>
      </c>
      <c r="G26" s="27" t="s">
        <v>8</v>
      </c>
      <c r="H26" s="27" t="s">
        <v>31</v>
      </c>
      <c r="I26" s="27" t="s">
        <v>0</v>
      </c>
      <c r="L26" s="27" t="s">
        <v>1</v>
      </c>
      <c r="P26" s="27" t="s">
        <v>1367</v>
      </c>
    </row>
  </sheetData>
  <customSheetViews>
    <customSheetView guid="{795CE737-CFBD-47E1-A5F3-F6879A411FBA}" showPageBreaks="1">
      <selection activeCell="A4" sqref="A4"/>
    </customSheetView>
    <customSheetView guid="{6D5C82C1-3F67-4DCA-9285-CC6695655904}">
      <selection activeCell="A4" sqref="A4"/>
    </customSheetView>
    <customSheetView guid="{3225D158-A05E-4956-976D-0A8BB346F3CD}">
      <selection activeCell="A4" sqref="A4"/>
    </customSheetView>
    <customSheetView guid="{5BBCA58B-D765-479F-9504-1E4279142E7F}">
      <selection activeCell="A4" sqref="A4"/>
    </customSheetView>
    <customSheetView guid="{C75FF036-91FF-4E44-9156-54230F8F355B}">
      <selection activeCell="L2" sqref="L2"/>
    </customSheetView>
    <customSheetView guid="{21D272AB-5ED3-41C2-B2AC-DB44252878EA}">
      <selection activeCell="L2" sqref="L2"/>
    </customSheetView>
  </customSheetViews>
  <phoneticPr fontId="24" type="noConversion"/>
  <pageMargins left="0.7" right="0.7" top="0.75" bottom="0.75" header="0.3" footer="0.3"/>
  <legacyDrawing r:id="rId1"/>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P4"/>
  <sheetViews>
    <sheetView workbookViewId="0">
      <selection sqref="A1:A4"/>
    </sheetView>
  </sheetViews>
  <sheetFormatPr baseColWidth="10" defaultColWidth="8.83203125" defaultRowHeight="12"/>
  <cols>
    <col min="1" max="1" width="54.33203125" bestFit="1" customWidth="1"/>
    <col min="3" max="3" width="18.1640625" bestFit="1" customWidth="1"/>
    <col min="4" max="4" width="17.5" bestFit="1" customWidth="1"/>
    <col min="5" max="5" width="20.5" bestFit="1" customWidth="1"/>
    <col min="6" max="6" width="34.1640625" bestFit="1" customWidth="1"/>
    <col min="7" max="7" width="19.83203125" bestFit="1" customWidth="1"/>
    <col min="8" max="8" width="13.6640625" bestFit="1" customWidth="1"/>
    <col min="9" max="9" width="29.5" bestFit="1" customWidth="1"/>
    <col min="10" max="10" width="6.6640625" bestFit="1" customWidth="1"/>
    <col min="11" max="11" width="20.33203125" bestFit="1" customWidth="1"/>
    <col min="12" max="12" width="28.1640625" bestFit="1" customWidth="1"/>
    <col min="13" max="13" width="25.83203125" bestFit="1" customWidth="1"/>
    <col min="14" max="14" width="74.6640625" bestFit="1" customWidth="1"/>
    <col min="15" max="15" width="41.83203125" bestFit="1" customWidth="1"/>
    <col min="16" max="16" width="18.5" bestFit="1" customWidth="1"/>
  </cols>
  <sheetData>
    <row r="1" spans="1:16" s="11" customFormat="1" ht="27" customHeight="1">
      <c r="A1" s="24" t="s">
        <v>422</v>
      </c>
      <c r="B1"/>
      <c r="C1"/>
      <c r="D1"/>
      <c r="E1"/>
      <c r="F1"/>
      <c r="G1"/>
      <c r="H1"/>
      <c r="I1"/>
      <c r="J1"/>
      <c r="K1"/>
      <c r="N1" s="12"/>
      <c r="O1" s="12"/>
    </row>
    <row r="2" spans="1:16" s="13" customFormat="1" ht="27" customHeight="1" thickBot="1">
      <c r="A2" s="25" t="s">
        <v>416</v>
      </c>
      <c r="B2"/>
      <c r="C2"/>
      <c r="D2"/>
      <c r="E2"/>
      <c r="F2"/>
      <c r="G2"/>
      <c r="H2"/>
      <c r="I2"/>
      <c r="J2"/>
      <c r="K2"/>
      <c r="N2" s="14"/>
      <c r="O2" s="14"/>
    </row>
    <row r="3" spans="1:16" s="9" customFormat="1" ht="27" customHeight="1">
      <c r="A3" s="3" t="s">
        <v>421</v>
      </c>
      <c r="B3" s="20" t="s">
        <v>424</v>
      </c>
      <c r="C3" s="22" t="s">
        <v>572</v>
      </c>
      <c r="D3" s="6" t="s">
        <v>408</v>
      </c>
      <c r="E3" s="3" t="s">
        <v>411</v>
      </c>
      <c r="F3" s="4" t="s">
        <v>412</v>
      </c>
      <c r="G3" s="6" t="s">
        <v>409</v>
      </c>
      <c r="H3" s="4" t="s">
        <v>413</v>
      </c>
      <c r="I3" s="6" t="s">
        <v>410</v>
      </c>
      <c r="J3" s="5" t="s">
        <v>417</v>
      </c>
      <c r="K3" s="6" t="s">
        <v>418</v>
      </c>
      <c r="L3" s="4" t="s">
        <v>419</v>
      </c>
      <c r="M3" s="6" t="s">
        <v>420</v>
      </c>
      <c r="N3" s="5" t="s">
        <v>414</v>
      </c>
      <c r="O3" s="5" t="s">
        <v>415</v>
      </c>
      <c r="P3" s="17" t="s">
        <v>428</v>
      </c>
    </row>
    <row r="4" spans="1:16" s="8" customFormat="1" ht="27" customHeight="1">
      <c r="A4" s="1"/>
      <c r="B4" s="21"/>
      <c r="C4" s="23"/>
      <c r="D4" s="7"/>
      <c r="E4" s="1"/>
      <c r="F4" s="2"/>
      <c r="G4" s="7"/>
      <c r="H4" s="2"/>
      <c r="I4" s="7"/>
      <c r="J4" s="16"/>
      <c r="K4" s="7"/>
      <c r="L4" s="2"/>
      <c r="M4" s="7"/>
      <c r="N4" s="1"/>
      <c r="O4" s="10"/>
      <c r="P4" s="18"/>
    </row>
  </sheetData>
  <customSheetViews>
    <customSheetView guid="{795CE737-CFBD-47E1-A5F3-F6879A411FBA}" showPageBreaks="1">
      <selection sqref="A1:A4"/>
    </customSheetView>
    <customSheetView guid="{6D5C82C1-3F67-4DCA-9285-CC6695655904}">
      <selection sqref="A1:A4"/>
    </customSheetView>
    <customSheetView guid="{3225D158-A05E-4956-976D-0A8BB346F3CD}">
      <selection sqref="A1:A4"/>
    </customSheetView>
    <customSheetView guid="{5BBCA58B-D765-479F-9504-1E4279142E7F}">
      <selection sqref="A1:A4"/>
    </customSheetView>
    <customSheetView guid="{C75FF036-91FF-4E44-9156-54230F8F355B}">
      <selection sqref="A1:A4"/>
    </customSheetView>
    <customSheetView guid="{21D272AB-5ED3-41C2-B2AC-DB44252878EA}">
      <selection sqref="A1:A4"/>
    </customSheetView>
  </customSheetViews>
  <phoneticPr fontId="24" type="noConversion"/>
  <pageMargins left="0.7" right="0.7" top="0.75" bottom="0.75" header="0.3" footer="0.3"/>
  <legacyDrawing r:id="rId1"/>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Q239"/>
  <sheetViews>
    <sheetView workbookViewId="0">
      <selection activeCell="A2" sqref="A2:Q239"/>
    </sheetView>
  </sheetViews>
  <sheetFormatPr baseColWidth="10" defaultColWidth="8.83203125" defaultRowHeight="12"/>
  <sheetData>
    <row r="1" spans="1:17" s="51" customFormat="1" ht="57.75" customHeight="1">
      <c r="A1" s="45" t="s">
        <v>421</v>
      </c>
      <c r="B1" s="46" t="s">
        <v>424</v>
      </c>
      <c r="C1" s="47" t="s">
        <v>899</v>
      </c>
      <c r="D1" s="48" t="s">
        <v>572</v>
      </c>
      <c r="E1" s="49" t="s">
        <v>408</v>
      </c>
      <c r="F1" s="45" t="s">
        <v>411</v>
      </c>
      <c r="G1" s="50" t="s">
        <v>412</v>
      </c>
      <c r="H1" s="49" t="s">
        <v>409</v>
      </c>
      <c r="I1" s="50" t="s">
        <v>413</v>
      </c>
      <c r="J1" s="49" t="s">
        <v>410</v>
      </c>
      <c r="K1" s="49" t="s">
        <v>417</v>
      </c>
      <c r="L1" s="49" t="s">
        <v>418</v>
      </c>
      <c r="M1" s="50" t="s">
        <v>419</v>
      </c>
      <c r="N1" s="49" t="s">
        <v>420</v>
      </c>
      <c r="O1" s="49" t="s">
        <v>414</v>
      </c>
      <c r="P1" s="49" t="s">
        <v>415</v>
      </c>
      <c r="Q1" s="49" t="s">
        <v>428</v>
      </c>
    </row>
    <row r="2" spans="1:17" ht="409.5">
      <c r="A2" s="15"/>
      <c r="B2" s="35"/>
      <c r="C2" s="31">
        <v>0.33333333333333331</v>
      </c>
      <c r="D2" s="30" t="s">
        <v>900</v>
      </c>
      <c r="E2" s="32"/>
      <c r="F2" s="34"/>
      <c r="G2" s="34"/>
      <c r="H2" s="32"/>
      <c r="I2" s="15"/>
      <c r="J2" s="42"/>
      <c r="K2" s="15">
        <v>5</v>
      </c>
      <c r="L2" s="42"/>
      <c r="M2" s="43" t="s">
        <v>393</v>
      </c>
      <c r="N2" s="32"/>
      <c r="O2" s="37"/>
      <c r="P2" s="32"/>
      <c r="Q2" s="33" t="s">
        <v>666</v>
      </c>
    </row>
    <row r="3" spans="1:17" ht="60">
      <c r="A3" s="15"/>
      <c r="B3" s="35"/>
      <c r="C3" s="31">
        <v>0.33333333333333331</v>
      </c>
      <c r="D3" s="30" t="s">
        <v>900</v>
      </c>
      <c r="E3" s="32"/>
      <c r="F3" s="15" t="s">
        <v>358</v>
      </c>
      <c r="G3" s="15" t="s">
        <v>400</v>
      </c>
      <c r="H3" s="32"/>
      <c r="I3" s="15" t="s">
        <v>359</v>
      </c>
      <c r="J3" s="42"/>
      <c r="K3" s="15">
        <v>5</v>
      </c>
      <c r="L3" s="42"/>
      <c r="M3" s="43"/>
      <c r="N3" s="32"/>
      <c r="O3" s="36" t="s">
        <v>237</v>
      </c>
      <c r="P3" s="32"/>
      <c r="Q3" s="33" t="s">
        <v>666</v>
      </c>
    </row>
    <row r="4" spans="1:17" ht="132">
      <c r="A4" s="15"/>
      <c r="B4" s="35"/>
      <c r="C4" s="31">
        <v>0.33333333333333331</v>
      </c>
      <c r="D4" s="30" t="s">
        <v>900</v>
      </c>
      <c r="E4" s="32"/>
      <c r="F4" s="15" t="s">
        <v>358</v>
      </c>
      <c r="G4" s="15" t="s">
        <v>400</v>
      </c>
      <c r="H4" s="32"/>
      <c r="I4" s="15" t="s">
        <v>359</v>
      </c>
      <c r="J4" s="42"/>
      <c r="K4" s="15">
        <v>5</v>
      </c>
      <c r="L4" s="42"/>
      <c r="M4" s="43"/>
      <c r="N4" s="32"/>
      <c r="O4" s="36" t="s">
        <v>238</v>
      </c>
      <c r="P4" s="32"/>
      <c r="Q4" s="33" t="s">
        <v>666</v>
      </c>
    </row>
    <row r="5" spans="1:17" ht="228">
      <c r="A5" s="15"/>
      <c r="B5" s="35"/>
      <c r="C5" s="31">
        <v>0.33333333333333331</v>
      </c>
      <c r="D5" s="30" t="s">
        <v>900</v>
      </c>
      <c r="E5" s="32"/>
      <c r="F5" s="15" t="s">
        <v>358</v>
      </c>
      <c r="G5" s="15" t="s">
        <v>400</v>
      </c>
      <c r="H5" s="32"/>
      <c r="I5" s="15" t="s">
        <v>359</v>
      </c>
      <c r="J5" s="42"/>
      <c r="K5" s="15" t="s">
        <v>423</v>
      </c>
      <c r="L5" s="42"/>
      <c r="M5" s="43"/>
      <c r="N5" s="32"/>
      <c r="O5" s="36" t="s">
        <v>239</v>
      </c>
      <c r="P5" s="32"/>
      <c r="Q5" s="33" t="s">
        <v>666</v>
      </c>
    </row>
    <row r="6" spans="1:17" ht="408">
      <c r="A6" s="15"/>
      <c r="B6" s="35"/>
      <c r="C6" s="31">
        <v>0.33333333333333331</v>
      </c>
      <c r="D6" s="30" t="s">
        <v>900</v>
      </c>
      <c r="E6" s="32"/>
      <c r="F6" s="15" t="s">
        <v>358</v>
      </c>
      <c r="G6" s="15" t="s">
        <v>400</v>
      </c>
      <c r="H6" s="32"/>
      <c r="I6" s="15" t="s">
        <v>359</v>
      </c>
      <c r="J6" s="42"/>
      <c r="K6" s="15" t="s">
        <v>423</v>
      </c>
      <c r="L6" s="42"/>
      <c r="M6" s="43"/>
      <c r="N6" s="32"/>
      <c r="O6" s="36" t="s">
        <v>240</v>
      </c>
      <c r="P6" s="32"/>
      <c r="Q6" s="33" t="s">
        <v>666</v>
      </c>
    </row>
    <row r="7" spans="1:17" ht="409.5">
      <c r="A7" s="15"/>
      <c r="B7" s="35"/>
      <c r="C7" s="31">
        <v>0.33333333333333331</v>
      </c>
      <c r="D7" s="30" t="s">
        <v>900</v>
      </c>
      <c r="E7" s="32"/>
      <c r="F7" s="34"/>
      <c r="G7" s="34"/>
      <c r="H7" s="32"/>
      <c r="I7" s="15"/>
      <c r="J7" s="42"/>
      <c r="K7" s="15">
        <v>5</v>
      </c>
      <c r="L7" s="42"/>
      <c r="M7" s="43"/>
      <c r="N7" s="32"/>
      <c r="O7" s="38" t="s">
        <v>241</v>
      </c>
      <c r="P7" s="32"/>
      <c r="Q7" s="33" t="s">
        <v>666</v>
      </c>
    </row>
    <row r="8" spans="1:17" ht="108">
      <c r="A8" s="15"/>
      <c r="B8" s="35"/>
      <c r="C8" s="31">
        <v>0.33333333333333331</v>
      </c>
      <c r="D8" s="30" t="s">
        <v>900</v>
      </c>
      <c r="E8" s="32"/>
      <c r="F8" s="15" t="s">
        <v>394</v>
      </c>
      <c r="G8" s="15" t="s">
        <v>395</v>
      </c>
      <c r="H8" s="32"/>
      <c r="I8" s="15" t="s">
        <v>293</v>
      </c>
      <c r="J8" s="42"/>
      <c r="K8" s="15">
        <v>8</v>
      </c>
      <c r="L8" s="42"/>
      <c r="M8" s="43" t="s">
        <v>744</v>
      </c>
      <c r="N8" s="32"/>
      <c r="O8" s="39" t="s">
        <v>745</v>
      </c>
      <c r="P8" s="32"/>
      <c r="Q8" s="33" t="s">
        <v>666</v>
      </c>
    </row>
    <row r="9" spans="1:17" ht="409.5">
      <c r="A9" s="15"/>
      <c r="B9" s="35"/>
      <c r="C9" s="31">
        <v>0.33680555555555558</v>
      </c>
      <c r="D9" s="30" t="s">
        <v>901</v>
      </c>
      <c r="E9" s="32"/>
      <c r="F9" s="15" t="s">
        <v>394</v>
      </c>
      <c r="G9" s="15" t="s">
        <v>327</v>
      </c>
      <c r="H9" s="32"/>
      <c r="I9" s="15" t="s">
        <v>242</v>
      </c>
      <c r="J9" s="42"/>
      <c r="K9" s="15">
        <v>9</v>
      </c>
      <c r="L9" s="42"/>
      <c r="M9" s="43" t="s">
        <v>243</v>
      </c>
      <c r="N9" s="32"/>
      <c r="O9" s="36" t="s">
        <v>226</v>
      </c>
      <c r="P9" s="32"/>
      <c r="Q9" s="33" t="s">
        <v>666</v>
      </c>
    </row>
    <row r="10" spans="1:17" ht="240">
      <c r="A10" s="15"/>
      <c r="B10" s="35"/>
      <c r="C10" s="31">
        <v>0.33680555555555558</v>
      </c>
      <c r="D10" s="30" t="s">
        <v>901</v>
      </c>
      <c r="E10" s="32"/>
      <c r="F10" s="15" t="s">
        <v>394</v>
      </c>
      <c r="G10" s="15" t="s">
        <v>746</v>
      </c>
      <c r="H10" s="32"/>
      <c r="I10" s="15" t="s">
        <v>296</v>
      </c>
      <c r="J10" s="42"/>
      <c r="K10" s="15">
        <v>3</v>
      </c>
      <c r="L10" s="42"/>
      <c r="M10" s="43"/>
      <c r="N10" s="32"/>
      <c r="O10" s="36" t="s">
        <v>747</v>
      </c>
      <c r="P10" s="32"/>
      <c r="Q10" s="33" t="s">
        <v>666</v>
      </c>
    </row>
    <row r="11" spans="1:17" ht="409.5">
      <c r="A11" s="15"/>
      <c r="B11" s="35"/>
      <c r="C11" s="31">
        <v>0.34027777777777773</v>
      </c>
      <c r="D11" s="30" t="s">
        <v>902</v>
      </c>
      <c r="E11" s="32"/>
      <c r="F11" s="15" t="s">
        <v>326</v>
      </c>
      <c r="G11" s="15" t="s">
        <v>395</v>
      </c>
      <c r="H11" s="32"/>
      <c r="I11" s="15" t="s">
        <v>293</v>
      </c>
      <c r="J11" s="42"/>
      <c r="K11" s="15">
        <v>8</v>
      </c>
      <c r="L11" s="42"/>
      <c r="M11" s="43" t="s">
        <v>227</v>
      </c>
      <c r="N11" s="32"/>
      <c r="O11" s="36" t="s">
        <v>228</v>
      </c>
      <c r="P11" s="32"/>
      <c r="Q11" s="33" t="s">
        <v>666</v>
      </c>
    </row>
    <row r="12" spans="1:17" ht="288">
      <c r="A12" s="15"/>
      <c r="B12" s="35"/>
      <c r="C12" s="31">
        <v>0.34027777777777773</v>
      </c>
      <c r="D12" s="30" t="s">
        <v>902</v>
      </c>
      <c r="E12" s="32"/>
      <c r="F12" s="15" t="s">
        <v>394</v>
      </c>
      <c r="G12" s="15" t="s">
        <v>395</v>
      </c>
      <c r="H12" s="32"/>
      <c r="I12" s="15" t="s">
        <v>328</v>
      </c>
      <c r="J12" s="42"/>
      <c r="K12" s="15">
        <v>6</v>
      </c>
      <c r="L12" s="42"/>
      <c r="M12" s="43"/>
      <c r="N12" s="32"/>
      <c r="O12" s="36" t="s">
        <v>748</v>
      </c>
      <c r="P12" s="32"/>
      <c r="Q12" s="33" t="s">
        <v>666</v>
      </c>
    </row>
    <row r="13" spans="1:17" ht="288">
      <c r="A13" s="15"/>
      <c r="B13" s="35"/>
      <c r="C13" s="31">
        <v>0.34375</v>
      </c>
      <c r="D13" s="30" t="s">
        <v>903</v>
      </c>
      <c r="E13" s="32"/>
      <c r="F13" s="34"/>
      <c r="G13" s="34"/>
      <c r="H13" s="32"/>
      <c r="I13" s="15"/>
      <c r="J13" s="42"/>
      <c r="K13" s="15">
        <v>5</v>
      </c>
      <c r="L13" s="42"/>
      <c r="M13" s="43" t="s">
        <v>749</v>
      </c>
      <c r="N13" s="32"/>
      <c r="O13" s="39" t="s">
        <v>750</v>
      </c>
      <c r="P13" s="32"/>
      <c r="Q13" s="33" t="s">
        <v>666</v>
      </c>
    </row>
    <row r="14" spans="1:17" ht="348">
      <c r="A14" s="15"/>
      <c r="B14" s="35"/>
      <c r="C14" s="31">
        <v>0.34375</v>
      </c>
      <c r="D14" s="30" t="s">
        <v>903</v>
      </c>
      <c r="E14" s="32"/>
      <c r="F14" s="15" t="s">
        <v>394</v>
      </c>
      <c r="G14" s="15" t="s">
        <v>395</v>
      </c>
      <c r="H14" s="32"/>
      <c r="I14" s="15" t="s">
        <v>279</v>
      </c>
      <c r="J14" s="42"/>
      <c r="K14" s="15">
        <v>13</v>
      </c>
      <c r="L14" s="42"/>
      <c r="M14" s="43"/>
      <c r="N14" s="32"/>
      <c r="O14" s="40" t="s">
        <v>751</v>
      </c>
      <c r="P14" s="32"/>
      <c r="Q14" s="33" t="s">
        <v>666</v>
      </c>
    </row>
    <row r="15" spans="1:17" ht="324">
      <c r="A15" s="15"/>
      <c r="B15" s="35"/>
      <c r="C15" s="31">
        <v>0.34722222222222199</v>
      </c>
      <c r="D15" s="30" t="s">
        <v>904</v>
      </c>
      <c r="E15" s="32"/>
      <c r="F15" s="15" t="s">
        <v>394</v>
      </c>
      <c r="G15" s="15" t="s">
        <v>347</v>
      </c>
      <c r="H15" s="32"/>
      <c r="I15" s="15" t="s">
        <v>350</v>
      </c>
      <c r="J15" s="42"/>
      <c r="K15" s="15">
        <v>1</v>
      </c>
      <c r="L15" s="42"/>
      <c r="M15" s="43"/>
      <c r="N15" s="32"/>
      <c r="O15" s="40" t="s">
        <v>229</v>
      </c>
      <c r="P15" s="32"/>
      <c r="Q15" s="33" t="s">
        <v>666</v>
      </c>
    </row>
    <row r="16" spans="1:17" ht="192">
      <c r="A16" s="15"/>
      <c r="B16" s="35"/>
      <c r="C16" s="31">
        <v>0.34722222222222227</v>
      </c>
      <c r="D16" s="30" t="s">
        <v>904</v>
      </c>
      <c r="E16" s="32"/>
      <c r="F16" s="15" t="s">
        <v>394</v>
      </c>
      <c r="G16" s="15" t="s">
        <v>303</v>
      </c>
      <c r="H16" s="32"/>
      <c r="I16" s="15" t="s">
        <v>328</v>
      </c>
      <c r="J16" s="42"/>
      <c r="K16" s="15">
        <v>6</v>
      </c>
      <c r="L16" s="42"/>
      <c r="M16" s="43"/>
      <c r="N16" s="32"/>
      <c r="O16" s="40" t="s">
        <v>752</v>
      </c>
      <c r="P16" s="32"/>
      <c r="Q16" s="33" t="s">
        <v>666</v>
      </c>
    </row>
    <row r="17" spans="1:17" ht="360">
      <c r="A17" s="15"/>
      <c r="B17" s="35"/>
      <c r="C17" s="31">
        <v>0.35069444444444442</v>
      </c>
      <c r="D17" s="30" t="s">
        <v>905</v>
      </c>
      <c r="E17" s="32"/>
      <c r="F17" s="15" t="s">
        <v>394</v>
      </c>
      <c r="G17" s="15" t="s">
        <v>753</v>
      </c>
      <c r="H17" s="32"/>
      <c r="I17" s="15" t="s">
        <v>177</v>
      </c>
      <c r="J17" s="40"/>
      <c r="K17" s="15">
        <v>7</v>
      </c>
      <c r="L17" s="42"/>
      <c r="M17" s="43" t="s">
        <v>754</v>
      </c>
      <c r="N17" s="32"/>
      <c r="O17" s="36" t="s">
        <v>363</v>
      </c>
      <c r="P17" s="32"/>
      <c r="Q17" s="33" t="s">
        <v>666</v>
      </c>
    </row>
    <row r="18" spans="1:17" ht="409.5">
      <c r="A18" s="15"/>
      <c r="B18" s="35"/>
      <c r="C18" s="31">
        <v>0.35416666666666602</v>
      </c>
      <c r="D18" s="30" t="s">
        <v>906</v>
      </c>
      <c r="E18" s="32"/>
      <c r="F18" s="15" t="s">
        <v>394</v>
      </c>
      <c r="G18" s="15" t="s">
        <v>230</v>
      </c>
      <c r="H18" s="32"/>
      <c r="I18" s="15" t="s">
        <v>350</v>
      </c>
      <c r="J18" s="42"/>
      <c r="K18" s="15">
        <v>1</v>
      </c>
      <c r="L18" s="42"/>
      <c r="M18" s="43"/>
      <c r="N18" s="32"/>
      <c r="O18" s="40" t="s">
        <v>231</v>
      </c>
      <c r="P18" s="32"/>
      <c r="Q18" s="33" t="s">
        <v>666</v>
      </c>
    </row>
    <row r="19" spans="1:17" ht="228">
      <c r="A19" s="15"/>
      <c r="B19" s="35"/>
      <c r="C19" s="31">
        <v>0.35416666666666669</v>
      </c>
      <c r="D19" s="30" t="s">
        <v>906</v>
      </c>
      <c r="E19" s="32"/>
      <c r="F19" s="15" t="s">
        <v>394</v>
      </c>
      <c r="G19" s="15" t="s">
        <v>503</v>
      </c>
      <c r="H19" s="32"/>
      <c r="I19" s="15" t="s">
        <v>350</v>
      </c>
      <c r="J19" s="42"/>
      <c r="K19" s="15">
        <v>7</v>
      </c>
      <c r="L19" s="42"/>
      <c r="M19" s="43" t="s">
        <v>550</v>
      </c>
      <c r="N19" s="32"/>
      <c r="O19" s="36" t="s">
        <v>364</v>
      </c>
      <c r="P19" s="32"/>
      <c r="Q19" s="33" t="s">
        <v>666</v>
      </c>
    </row>
    <row r="20" spans="1:17" ht="409.5">
      <c r="A20" s="15"/>
      <c r="B20" s="35"/>
      <c r="C20" s="31">
        <v>0.3576388888888889</v>
      </c>
      <c r="D20" s="30" t="s">
        <v>907</v>
      </c>
      <c r="E20" s="32"/>
      <c r="F20" s="15" t="s">
        <v>394</v>
      </c>
      <c r="G20" s="15" t="s">
        <v>230</v>
      </c>
      <c r="H20" s="32"/>
      <c r="I20" s="15" t="s">
        <v>350</v>
      </c>
      <c r="J20" s="42"/>
      <c r="K20" s="15">
        <v>1</v>
      </c>
      <c r="L20" s="42"/>
      <c r="M20" s="43"/>
      <c r="N20" s="32"/>
      <c r="O20" s="40" t="s">
        <v>212</v>
      </c>
      <c r="P20" s="32"/>
      <c r="Q20" s="33" t="s">
        <v>666</v>
      </c>
    </row>
    <row r="21" spans="1:17" ht="336">
      <c r="A21" s="15"/>
      <c r="B21" s="35"/>
      <c r="C21" s="31">
        <v>0.3576388888888889</v>
      </c>
      <c r="D21" s="30" t="s">
        <v>907</v>
      </c>
      <c r="E21" s="32"/>
      <c r="F21" s="15" t="s">
        <v>394</v>
      </c>
      <c r="G21" s="15" t="s">
        <v>309</v>
      </c>
      <c r="H21" s="32"/>
      <c r="I21" s="15" t="s">
        <v>350</v>
      </c>
      <c r="J21" s="42"/>
      <c r="K21" s="15">
        <v>1</v>
      </c>
      <c r="L21" s="42"/>
      <c r="M21" s="43"/>
      <c r="N21" s="32"/>
      <c r="O21" s="36" t="s">
        <v>365</v>
      </c>
      <c r="P21" s="32"/>
      <c r="Q21" s="33" t="s">
        <v>666</v>
      </c>
    </row>
    <row r="22" spans="1:17" ht="409.5">
      <c r="A22" s="15"/>
      <c r="B22" s="35"/>
      <c r="C22" s="31">
        <v>0.36111111111111099</v>
      </c>
      <c r="D22" s="30" t="s">
        <v>908</v>
      </c>
      <c r="E22" s="32"/>
      <c r="F22" s="15" t="s">
        <v>394</v>
      </c>
      <c r="G22" s="15" t="s">
        <v>230</v>
      </c>
      <c r="H22" s="32"/>
      <c r="I22" s="15" t="s">
        <v>350</v>
      </c>
      <c r="J22" s="42"/>
      <c r="K22" s="15">
        <v>1</v>
      </c>
      <c r="L22" s="42"/>
      <c r="M22" s="43"/>
      <c r="N22" s="32"/>
      <c r="O22" s="36" t="s">
        <v>213</v>
      </c>
      <c r="P22" s="32"/>
      <c r="Q22" s="33" t="s">
        <v>666</v>
      </c>
    </row>
    <row r="23" spans="1:17" ht="168">
      <c r="A23" s="15"/>
      <c r="B23" s="35"/>
      <c r="C23" s="31">
        <v>0.3611111111111111</v>
      </c>
      <c r="D23" s="30" t="s">
        <v>908</v>
      </c>
      <c r="E23" s="32"/>
      <c r="F23" s="15" t="s">
        <v>394</v>
      </c>
      <c r="G23" s="15" t="s">
        <v>303</v>
      </c>
      <c r="H23" s="32"/>
      <c r="I23" s="15" t="s">
        <v>223</v>
      </c>
      <c r="J23" s="42"/>
      <c r="K23" s="15">
        <v>12</v>
      </c>
      <c r="L23" s="42"/>
      <c r="M23" s="43"/>
      <c r="N23" s="32"/>
      <c r="O23" s="40" t="s">
        <v>366</v>
      </c>
      <c r="P23" s="32"/>
      <c r="Q23" s="33" t="s">
        <v>666</v>
      </c>
    </row>
    <row r="24" spans="1:17" ht="144">
      <c r="A24" s="15"/>
      <c r="B24" s="35"/>
      <c r="C24" s="31">
        <v>0.36458333333333331</v>
      </c>
      <c r="D24" s="30" t="s">
        <v>909</v>
      </c>
      <c r="E24" s="32"/>
      <c r="F24" s="15" t="s">
        <v>394</v>
      </c>
      <c r="G24" s="15" t="s">
        <v>327</v>
      </c>
      <c r="H24" s="32"/>
      <c r="I24" s="15" t="s">
        <v>293</v>
      </c>
      <c r="J24" s="42"/>
      <c r="K24" s="15">
        <v>8</v>
      </c>
      <c r="L24" s="42"/>
      <c r="M24" s="43" t="s">
        <v>214</v>
      </c>
      <c r="N24" s="32"/>
      <c r="O24" s="36" t="s">
        <v>215</v>
      </c>
      <c r="P24" s="32"/>
      <c r="Q24" s="33" t="s">
        <v>666</v>
      </c>
    </row>
    <row r="25" spans="1:17" ht="409.5">
      <c r="A25" s="15"/>
      <c r="B25" s="35"/>
      <c r="C25" s="31">
        <v>0.36458333333333331</v>
      </c>
      <c r="D25" s="30" t="s">
        <v>909</v>
      </c>
      <c r="E25" s="32"/>
      <c r="F25" s="15" t="s">
        <v>394</v>
      </c>
      <c r="G25" s="15" t="s">
        <v>395</v>
      </c>
      <c r="H25" s="32"/>
      <c r="I25" s="15" t="s">
        <v>328</v>
      </c>
      <c r="J25" s="42"/>
      <c r="K25" s="15">
        <v>6</v>
      </c>
      <c r="L25" s="42"/>
      <c r="M25" s="43" t="s">
        <v>216</v>
      </c>
      <c r="N25" s="32"/>
      <c r="O25" s="36" t="s">
        <v>217</v>
      </c>
      <c r="P25" s="32"/>
      <c r="Q25" s="33" t="s">
        <v>666</v>
      </c>
    </row>
    <row r="26" spans="1:17" ht="409.5">
      <c r="A26" s="15"/>
      <c r="B26" s="35"/>
      <c r="C26" s="31">
        <v>0.36458333333333331</v>
      </c>
      <c r="D26" s="30" t="s">
        <v>909</v>
      </c>
      <c r="E26" s="32"/>
      <c r="F26" s="15" t="s">
        <v>326</v>
      </c>
      <c r="G26" s="15" t="s">
        <v>395</v>
      </c>
      <c r="H26" s="32"/>
      <c r="I26" s="15" t="s">
        <v>350</v>
      </c>
      <c r="J26" s="42"/>
      <c r="K26" s="15">
        <v>1</v>
      </c>
      <c r="L26" s="42"/>
      <c r="M26" s="43"/>
      <c r="N26" s="32"/>
      <c r="O26" s="36" t="s">
        <v>353</v>
      </c>
      <c r="P26" s="32"/>
      <c r="Q26" s="33" t="s">
        <v>666</v>
      </c>
    </row>
    <row r="27" spans="1:17" ht="288">
      <c r="A27" s="15"/>
      <c r="B27" s="35"/>
      <c r="C27" s="31">
        <v>0.36805555555555558</v>
      </c>
      <c r="D27" s="30" t="s">
        <v>910</v>
      </c>
      <c r="E27" s="32"/>
      <c r="F27" s="15" t="s">
        <v>326</v>
      </c>
      <c r="G27" s="15" t="s">
        <v>400</v>
      </c>
      <c r="H27" s="32"/>
      <c r="I27" s="15" t="s">
        <v>359</v>
      </c>
      <c r="J27" s="42"/>
      <c r="K27" s="15" t="s">
        <v>423</v>
      </c>
      <c r="L27" s="42"/>
      <c r="M27" s="43" t="s">
        <v>218</v>
      </c>
      <c r="N27" s="32"/>
      <c r="O27" s="36" t="s">
        <v>219</v>
      </c>
      <c r="P27" s="32"/>
      <c r="Q27" s="33" t="s">
        <v>666</v>
      </c>
    </row>
    <row r="28" spans="1:17" ht="264">
      <c r="A28" s="15"/>
      <c r="B28" s="35"/>
      <c r="C28" s="31">
        <v>0.36805555555555558</v>
      </c>
      <c r="D28" s="30" t="s">
        <v>910</v>
      </c>
      <c r="E28" s="32"/>
      <c r="F28" s="15" t="s">
        <v>326</v>
      </c>
      <c r="G28" s="15" t="s">
        <v>400</v>
      </c>
      <c r="H28" s="32"/>
      <c r="I28" s="15" t="s">
        <v>359</v>
      </c>
      <c r="J28" s="42"/>
      <c r="K28" s="15" t="s">
        <v>423</v>
      </c>
      <c r="L28" s="42"/>
      <c r="M28" s="43" t="s">
        <v>446</v>
      </c>
      <c r="N28" s="32"/>
      <c r="O28" s="36" t="s">
        <v>354</v>
      </c>
      <c r="P28" s="32"/>
      <c r="Q28" s="33" t="s">
        <v>666</v>
      </c>
    </row>
    <row r="29" spans="1:17" ht="409.5">
      <c r="A29" s="15"/>
      <c r="B29" s="35"/>
      <c r="C29" s="31">
        <v>0.37152777777777773</v>
      </c>
      <c r="D29" s="30" t="s">
        <v>911</v>
      </c>
      <c r="E29" s="32"/>
      <c r="F29" s="15" t="s">
        <v>394</v>
      </c>
      <c r="G29" s="15" t="s">
        <v>182</v>
      </c>
      <c r="H29" s="32"/>
      <c r="I29" s="15" t="s">
        <v>293</v>
      </c>
      <c r="J29" s="42"/>
      <c r="K29" s="15">
        <v>8</v>
      </c>
      <c r="L29" s="42"/>
      <c r="M29" s="43"/>
      <c r="N29" s="32"/>
      <c r="O29" s="36" t="s">
        <v>355</v>
      </c>
      <c r="P29" s="32"/>
      <c r="Q29" s="33" t="s">
        <v>666</v>
      </c>
    </row>
    <row r="30" spans="1:17" ht="108">
      <c r="A30" s="15"/>
      <c r="B30" s="35"/>
      <c r="C30" s="31">
        <v>0.375</v>
      </c>
      <c r="D30" s="30" t="s">
        <v>912</v>
      </c>
      <c r="E30" s="32"/>
      <c r="F30" s="15" t="s">
        <v>394</v>
      </c>
      <c r="G30" s="15" t="s">
        <v>327</v>
      </c>
      <c r="H30" s="32"/>
      <c r="I30" s="15" t="s">
        <v>220</v>
      </c>
      <c r="J30" s="42"/>
      <c r="K30" s="15">
        <v>7</v>
      </c>
      <c r="L30" s="42"/>
      <c r="M30" s="43" t="s">
        <v>221</v>
      </c>
      <c r="N30" s="32"/>
      <c r="O30" s="36" t="s">
        <v>222</v>
      </c>
      <c r="P30" s="32"/>
      <c r="Q30" s="33" t="s">
        <v>666</v>
      </c>
    </row>
    <row r="31" spans="1:17" ht="216">
      <c r="A31" s="15"/>
      <c r="B31" s="35"/>
      <c r="C31" s="31">
        <v>0.375</v>
      </c>
      <c r="D31" s="30" t="s">
        <v>912</v>
      </c>
      <c r="E31" s="32"/>
      <c r="F31" s="15" t="s">
        <v>394</v>
      </c>
      <c r="G31" s="15" t="s">
        <v>327</v>
      </c>
      <c r="H31" s="32"/>
      <c r="I31" s="15" t="s">
        <v>223</v>
      </c>
      <c r="J31" s="42"/>
      <c r="K31" s="15">
        <v>12</v>
      </c>
      <c r="L31" s="42"/>
      <c r="M31" s="43" t="s">
        <v>224</v>
      </c>
      <c r="N31" s="32"/>
      <c r="O31" s="36" t="s">
        <v>225</v>
      </c>
      <c r="P31" s="32"/>
      <c r="Q31" s="33" t="s">
        <v>666</v>
      </c>
    </row>
    <row r="32" spans="1:17" ht="132">
      <c r="A32" s="15"/>
      <c r="B32" s="35"/>
      <c r="C32" s="31">
        <v>0.375</v>
      </c>
      <c r="D32" s="30" t="s">
        <v>912</v>
      </c>
      <c r="E32" s="32"/>
      <c r="F32" s="15" t="s">
        <v>394</v>
      </c>
      <c r="G32" s="15" t="s">
        <v>336</v>
      </c>
      <c r="H32" s="32"/>
      <c r="I32" s="15" t="s">
        <v>350</v>
      </c>
      <c r="J32" s="42"/>
      <c r="K32" s="15">
        <v>1</v>
      </c>
      <c r="L32" s="42"/>
      <c r="M32" s="43" t="s">
        <v>198</v>
      </c>
      <c r="N32" s="32"/>
      <c r="O32" s="36" t="s">
        <v>199</v>
      </c>
      <c r="P32" s="32"/>
      <c r="Q32" s="33" t="s">
        <v>666</v>
      </c>
    </row>
    <row r="33" spans="1:17" ht="108">
      <c r="A33" s="15"/>
      <c r="B33" s="35"/>
      <c r="C33" s="31">
        <v>0.375</v>
      </c>
      <c r="D33" s="30" t="s">
        <v>912</v>
      </c>
      <c r="E33" s="32"/>
      <c r="F33" s="15" t="s">
        <v>394</v>
      </c>
      <c r="G33" s="15" t="s">
        <v>327</v>
      </c>
      <c r="H33" s="32"/>
      <c r="I33" s="15" t="s">
        <v>296</v>
      </c>
      <c r="J33" s="42"/>
      <c r="K33" s="15" t="s">
        <v>200</v>
      </c>
      <c r="L33" s="42"/>
      <c r="M33" s="43" t="s">
        <v>201</v>
      </c>
      <c r="N33" s="32"/>
      <c r="O33" s="36" t="s">
        <v>202</v>
      </c>
      <c r="P33" s="32"/>
      <c r="Q33" s="33" t="s">
        <v>666</v>
      </c>
    </row>
    <row r="34" spans="1:17" ht="228">
      <c r="A34" s="15"/>
      <c r="B34" s="35"/>
      <c r="C34" s="31">
        <v>0.375</v>
      </c>
      <c r="D34" s="30" t="s">
        <v>912</v>
      </c>
      <c r="E34" s="32"/>
      <c r="F34" s="15" t="s">
        <v>394</v>
      </c>
      <c r="G34" s="15" t="s">
        <v>395</v>
      </c>
      <c r="H34" s="32"/>
      <c r="I34" s="15" t="s">
        <v>293</v>
      </c>
      <c r="J34" s="42"/>
      <c r="K34" s="15">
        <v>8</v>
      </c>
      <c r="L34" s="42"/>
      <c r="M34" s="43" t="s">
        <v>203</v>
      </c>
      <c r="N34" s="32"/>
      <c r="O34" s="36" t="s">
        <v>204</v>
      </c>
      <c r="P34" s="32"/>
      <c r="Q34" s="33" t="s">
        <v>666</v>
      </c>
    </row>
    <row r="35" spans="1:17" ht="120">
      <c r="A35" s="15"/>
      <c r="B35" s="35"/>
      <c r="C35" s="31">
        <v>0.375</v>
      </c>
      <c r="D35" s="30" t="s">
        <v>912</v>
      </c>
      <c r="E35" s="32"/>
      <c r="F35" s="34"/>
      <c r="G35" s="34"/>
      <c r="H35" s="32"/>
      <c r="I35" s="15"/>
      <c r="J35" s="42"/>
      <c r="K35" s="15">
        <v>5</v>
      </c>
      <c r="L35" s="42"/>
      <c r="M35" s="43"/>
      <c r="N35" s="32"/>
      <c r="O35" s="36" t="s">
        <v>205</v>
      </c>
      <c r="P35" s="32"/>
      <c r="Q35" s="33" t="s">
        <v>666</v>
      </c>
    </row>
    <row r="36" spans="1:17" ht="288">
      <c r="A36" s="15"/>
      <c r="B36" s="35"/>
      <c r="C36" s="31">
        <v>0.375</v>
      </c>
      <c r="D36" s="30" t="s">
        <v>912</v>
      </c>
      <c r="E36" s="32"/>
      <c r="F36" s="34"/>
      <c r="G36" s="34"/>
      <c r="H36" s="32"/>
      <c r="I36" s="15" t="s">
        <v>293</v>
      </c>
      <c r="J36" s="42"/>
      <c r="K36" s="15">
        <v>8</v>
      </c>
      <c r="L36" s="42"/>
      <c r="M36" s="43" t="s">
        <v>206</v>
      </c>
      <c r="N36" s="32"/>
      <c r="O36" s="36" t="s">
        <v>207</v>
      </c>
      <c r="P36" s="32"/>
      <c r="Q36" s="33" t="s">
        <v>666</v>
      </c>
    </row>
    <row r="37" spans="1:17" ht="409.5">
      <c r="A37" s="15"/>
      <c r="B37" s="35"/>
      <c r="C37" s="31">
        <v>0.375</v>
      </c>
      <c r="D37" s="30" t="s">
        <v>912</v>
      </c>
      <c r="E37" s="32"/>
      <c r="F37" s="34"/>
      <c r="G37" s="34"/>
      <c r="H37" s="32"/>
      <c r="I37" s="15"/>
      <c r="J37" s="42"/>
      <c r="K37" s="15">
        <v>5</v>
      </c>
      <c r="L37" s="42"/>
      <c r="M37" s="43"/>
      <c r="N37" s="32"/>
      <c r="O37" s="40" t="s">
        <v>208</v>
      </c>
      <c r="P37" s="32"/>
      <c r="Q37" s="33" t="s">
        <v>666</v>
      </c>
    </row>
    <row r="38" spans="1:17" ht="324">
      <c r="A38" s="15"/>
      <c r="B38" s="35"/>
      <c r="C38" s="31">
        <v>0.375</v>
      </c>
      <c r="D38" s="30" t="s">
        <v>912</v>
      </c>
      <c r="E38" s="32"/>
      <c r="F38" s="15" t="s">
        <v>394</v>
      </c>
      <c r="G38" s="15" t="s">
        <v>343</v>
      </c>
      <c r="H38" s="32"/>
      <c r="I38" s="15" t="s">
        <v>298</v>
      </c>
      <c r="J38" s="42"/>
      <c r="K38" s="15">
        <v>15</v>
      </c>
      <c r="L38" s="42"/>
      <c r="M38" s="43" t="s">
        <v>209</v>
      </c>
      <c r="N38" s="32"/>
      <c r="O38" s="36" t="s">
        <v>210</v>
      </c>
      <c r="P38" s="32"/>
      <c r="Q38" s="33" t="s">
        <v>666</v>
      </c>
    </row>
    <row r="39" spans="1:17" ht="409.5">
      <c r="A39" s="15"/>
      <c r="B39" s="35"/>
      <c r="C39" s="31">
        <v>0.375</v>
      </c>
      <c r="D39" s="30" t="s">
        <v>912</v>
      </c>
      <c r="E39" s="32"/>
      <c r="F39" s="15"/>
      <c r="G39" s="15" t="s">
        <v>493</v>
      </c>
      <c r="H39" s="32"/>
      <c r="I39" s="15"/>
      <c r="J39" s="42"/>
      <c r="K39" s="15">
        <v>5</v>
      </c>
      <c r="L39" s="42"/>
      <c r="M39" s="43" t="s">
        <v>356</v>
      </c>
      <c r="N39" s="32"/>
      <c r="O39" s="39" t="s">
        <v>733</v>
      </c>
      <c r="P39" s="32"/>
      <c r="Q39" s="33" t="s">
        <v>666</v>
      </c>
    </row>
    <row r="40" spans="1:17" ht="409.5">
      <c r="A40" s="15"/>
      <c r="B40" s="35"/>
      <c r="C40" s="31">
        <v>0.375</v>
      </c>
      <c r="D40" s="30" t="s">
        <v>912</v>
      </c>
      <c r="E40" s="32"/>
      <c r="F40" s="15" t="s">
        <v>394</v>
      </c>
      <c r="G40" s="15" t="s">
        <v>395</v>
      </c>
      <c r="H40" s="32"/>
      <c r="I40" s="15" t="s">
        <v>248</v>
      </c>
      <c r="J40" s="42"/>
      <c r="K40" s="15">
        <v>10</v>
      </c>
      <c r="L40" s="42"/>
      <c r="M40" s="43"/>
      <c r="N40" s="32"/>
      <c r="O40" s="36" t="s">
        <v>734</v>
      </c>
      <c r="P40" s="32"/>
      <c r="Q40" s="33" t="s">
        <v>666</v>
      </c>
    </row>
    <row r="41" spans="1:17" ht="372">
      <c r="A41" s="15"/>
      <c r="B41" s="35"/>
      <c r="C41" s="31">
        <v>0.37708333333333338</v>
      </c>
      <c r="D41" s="30" t="s">
        <v>913</v>
      </c>
      <c r="E41" s="32"/>
      <c r="F41" s="15" t="s">
        <v>394</v>
      </c>
      <c r="G41" s="15" t="s">
        <v>327</v>
      </c>
      <c r="H41" s="32"/>
      <c r="I41" s="15" t="s">
        <v>328</v>
      </c>
      <c r="J41" s="42"/>
      <c r="K41" s="15">
        <v>8</v>
      </c>
      <c r="L41" s="42"/>
      <c r="M41" s="43"/>
      <c r="N41" s="32"/>
      <c r="O41" s="36" t="s">
        <v>211</v>
      </c>
      <c r="P41" s="32"/>
      <c r="Q41" s="33" t="s">
        <v>666</v>
      </c>
    </row>
    <row r="42" spans="1:17" ht="409.5">
      <c r="A42" s="15"/>
      <c r="B42" s="35"/>
      <c r="C42" s="31">
        <v>0.37847222222222227</v>
      </c>
      <c r="D42" s="30" t="s">
        <v>914</v>
      </c>
      <c r="E42" s="32"/>
      <c r="F42" s="15" t="s">
        <v>394</v>
      </c>
      <c r="G42" s="15" t="s">
        <v>735</v>
      </c>
      <c r="H42" s="32"/>
      <c r="I42" s="15" t="s">
        <v>328</v>
      </c>
      <c r="J42" s="42"/>
      <c r="K42" s="15">
        <v>6</v>
      </c>
      <c r="L42" s="42"/>
      <c r="M42" s="44" t="s">
        <v>736</v>
      </c>
      <c r="N42" s="32"/>
      <c r="O42" s="36" t="s">
        <v>724</v>
      </c>
      <c r="P42" s="32"/>
      <c r="Q42" s="33" t="s">
        <v>666</v>
      </c>
    </row>
    <row r="43" spans="1:17" ht="409.5">
      <c r="A43" s="15"/>
      <c r="B43" s="35"/>
      <c r="C43" s="31">
        <v>0.37916666666666665</v>
      </c>
      <c r="D43" s="30" t="s">
        <v>915</v>
      </c>
      <c r="E43" s="32"/>
      <c r="F43" s="15" t="s">
        <v>394</v>
      </c>
      <c r="G43" s="15" t="s">
        <v>395</v>
      </c>
      <c r="H43" s="32"/>
      <c r="I43" s="15" t="s">
        <v>304</v>
      </c>
      <c r="J43" s="42"/>
      <c r="K43" s="15">
        <v>2</v>
      </c>
      <c r="L43" s="42"/>
      <c r="M43" s="43"/>
      <c r="N43" s="32"/>
      <c r="O43" s="40" t="s">
        <v>187</v>
      </c>
      <c r="P43" s="32"/>
      <c r="Q43" s="33" t="s">
        <v>666</v>
      </c>
    </row>
    <row r="44" spans="1:17" ht="408">
      <c r="A44" s="15"/>
      <c r="B44" s="35"/>
      <c r="C44" s="31">
        <v>0.38124999999999998</v>
      </c>
      <c r="D44" s="30" t="s">
        <v>916</v>
      </c>
      <c r="E44" s="32"/>
      <c r="F44" s="15" t="s">
        <v>394</v>
      </c>
      <c r="G44" s="15" t="s">
        <v>395</v>
      </c>
      <c r="H44" s="32"/>
      <c r="I44" s="15" t="s">
        <v>188</v>
      </c>
      <c r="J44" s="42"/>
      <c r="K44" s="15">
        <v>4</v>
      </c>
      <c r="L44" s="42"/>
      <c r="M44" s="43"/>
      <c r="N44" s="32"/>
      <c r="O44" s="40" t="s">
        <v>189</v>
      </c>
      <c r="P44" s="32"/>
      <c r="Q44" s="33" t="s">
        <v>666</v>
      </c>
    </row>
    <row r="45" spans="1:17" ht="252">
      <c r="A45" s="15"/>
      <c r="B45" s="35"/>
      <c r="C45" s="31">
        <v>0.38194444444444442</v>
      </c>
      <c r="D45" s="30" t="s">
        <v>917</v>
      </c>
      <c r="E45" s="32"/>
      <c r="F45" s="15" t="s">
        <v>394</v>
      </c>
      <c r="G45" s="15" t="s">
        <v>395</v>
      </c>
      <c r="H45" s="32"/>
      <c r="I45" s="15" t="s">
        <v>177</v>
      </c>
      <c r="J45" s="40"/>
      <c r="K45" s="15">
        <v>6</v>
      </c>
      <c r="L45" s="42"/>
      <c r="M45" s="43"/>
      <c r="N45" s="32"/>
      <c r="O45" s="36" t="s">
        <v>725</v>
      </c>
      <c r="P45" s="32"/>
      <c r="Q45" s="33" t="s">
        <v>666</v>
      </c>
    </row>
    <row r="46" spans="1:17" ht="180">
      <c r="A46" s="15"/>
      <c r="B46" s="35"/>
      <c r="C46" s="31">
        <v>0.38333333333333403</v>
      </c>
      <c r="D46" s="30" t="s">
        <v>918</v>
      </c>
      <c r="E46" s="32"/>
      <c r="F46" s="15" t="s">
        <v>394</v>
      </c>
      <c r="G46" s="15" t="s">
        <v>327</v>
      </c>
      <c r="H46" s="32"/>
      <c r="I46" s="15" t="s">
        <v>188</v>
      </c>
      <c r="J46" s="42"/>
      <c r="K46" s="15">
        <v>4</v>
      </c>
      <c r="L46" s="42"/>
      <c r="M46" s="43" t="s">
        <v>190</v>
      </c>
      <c r="N46" s="32"/>
      <c r="O46" s="36" t="s">
        <v>191</v>
      </c>
      <c r="P46" s="32"/>
      <c r="Q46" s="33" t="s">
        <v>666</v>
      </c>
    </row>
    <row r="47" spans="1:17" ht="360">
      <c r="A47" s="15"/>
      <c r="B47" s="35"/>
      <c r="C47" s="31">
        <v>0.38541666666666669</v>
      </c>
      <c r="D47" s="30" t="s">
        <v>919</v>
      </c>
      <c r="E47" s="32"/>
      <c r="F47" s="15" t="s">
        <v>394</v>
      </c>
      <c r="G47" s="15" t="s">
        <v>726</v>
      </c>
      <c r="H47" s="32"/>
      <c r="I47" s="15" t="s">
        <v>177</v>
      </c>
      <c r="J47" s="40"/>
      <c r="K47" s="15">
        <v>8</v>
      </c>
      <c r="L47" s="42"/>
      <c r="M47" s="43" t="s">
        <v>727</v>
      </c>
      <c r="N47" s="32"/>
      <c r="O47" s="36" t="s">
        <v>728</v>
      </c>
      <c r="P47" s="32"/>
      <c r="Q47" s="33" t="s">
        <v>666</v>
      </c>
    </row>
    <row r="48" spans="1:17" ht="396">
      <c r="A48" s="15"/>
      <c r="B48" s="35"/>
      <c r="C48" s="31">
        <v>0.38541666666666702</v>
      </c>
      <c r="D48" s="30" t="s">
        <v>919</v>
      </c>
      <c r="E48" s="32"/>
      <c r="F48" s="15" t="s">
        <v>394</v>
      </c>
      <c r="G48" s="15" t="s">
        <v>395</v>
      </c>
      <c r="H48" s="32"/>
      <c r="I48" s="15" t="s">
        <v>296</v>
      </c>
      <c r="J48" s="42"/>
      <c r="K48" s="15">
        <v>7</v>
      </c>
      <c r="L48" s="42"/>
      <c r="M48" s="43" t="s">
        <v>192</v>
      </c>
      <c r="N48" s="32"/>
      <c r="O48" s="36" t="s">
        <v>193</v>
      </c>
      <c r="P48" s="32"/>
      <c r="Q48" s="33" t="s">
        <v>666</v>
      </c>
    </row>
    <row r="49" spans="1:17" ht="408">
      <c r="A49" s="15"/>
      <c r="B49" s="35"/>
      <c r="C49" s="31">
        <v>0.38750000000000001</v>
      </c>
      <c r="D49" s="30" t="s">
        <v>920</v>
      </c>
      <c r="E49" s="32"/>
      <c r="F49" s="15" t="s">
        <v>394</v>
      </c>
      <c r="G49" s="15" t="s">
        <v>194</v>
      </c>
      <c r="H49" s="32"/>
      <c r="I49" s="15" t="s">
        <v>328</v>
      </c>
      <c r="J49" s="42"/>
      <c r="K49" s="15">
        <v>6</v>
      </c>
      <c r="L49" s="42"/>
      <c r="M49" s="43"/>
      <c r="N49" s="32"/>
      <c r="O49" s="36" t="s">
        <v>195</v>
      </c>
      <c r="P49" s="32"/>
      <c r="Q49" s="33" t="s">
        <v>666</v>
      </c>
    </row>
    <row r="50" spans="1:17" ht="409.5">
      <c r="A50" s="15"/>
      <c r="B50" s="35"/>
      <c r="C50" s="31">
        <v>0.3888888888888889</v>
      </c>
      <c r="D50" s="30" t="s">
        <v>921</v>
      </c>
      <c r="E50" s="32"/>
      <c r="F50" s="15" t="s">
        <v>394</v>
      </c>
      <c r="G50" s="15" t="s">
        <v>395</v>
      </c>
      <c r="H50" s="32"/>
      <c r="I50" s="15" t="s">
        <v>348</v>
      </c>
      <c r="J50" s="40"/>
      <c r="K50" s="15">
        <v>9</v>
      </c>
      <c r="L50" s="42"/>
      <c r="M50" s="43" t="s">
        <v>729</v>
      </c>
      <c r="N50" s="32"/>
      <c r="O50" s="36" t="s">
        <v>730</v>
      </c>
      <c r="P50" s="32"/>
      <c r="Q50" s="33" t="s">
        <v>666</v>
      </c>
    </row>
    <row r="51" spans="1:17" ht="168">
      <c r="A51" s="15"/>
      <c r="B51" s="35"/>
      <c r="C51" s="31">
        <v>0.389583333333334</v>
      </c>
      <c r="D51" s="30" t="s">
        <v>922</v>
      </c>
      <c r="E51" s="32"/>
      <c r="F51" s="15" t="s">
        <v>394</v>
      </c>
      <c r="G51" s="15" t="s">
        <v>327</v>
      </c>
      <c r="H51" s="32"/>
      <c r="I51" s="15" t="s">
        <v>350</v>
      </c>
      <c r="J51" s="42"/>
      <c r="K51" s="15">
        <v>1</v>
      </c>
      <c r="L51" s="42"/>
      <c r="M51" s="43"/>
      <c r="N51" s="32"/>
      <c r="O51" s="40" t="s">
        <v>196</v>
      </c>
      <c r="P51" s="32"/>
      <c r="Q51" s="33" t="s">
        <v>666</v>
      </c>
    </row>
    <row r="52" spans="1:17" ht="180">
      <c r="A52" s="15"/>
      <c r="B52" s="35"/>
      <c r="C52" s="31">
        <v>0.391666666666667</v>
      </c>
      <c r="D52" s="30" t="s">
        <v>923</v>
      </c>
      <c r="E52" s="32"/>
      <c r="F52" s="15" t="s">
        <v>394</v>
      </c>
      <c r="G52" s="15" t="s">
        <v>309</v>
      </c>
      <c r="H52" s="32"/>
      <c r="I52" s="15" t="s">
        <v>248</v>
      </c>
      <c r="J52" s="42"/>
      <c r="K52" s="15">
        <v>10</v>
      </c>
      <c r="L52" s="42"/>
      <c r="M52" s="43"/>
      <c r="N52" s="32"/>
      <c r="O52" s="36" t="s">
        <v>197</v>
      </c>
      <c r="P52" s="32"/>
      <c r="Q52" s="33" t="s">
        <v>666</v>
      </c>
    </row>
    <row r="53" spans="1:17" ht="288">
      <c r="A53" s="15"/>
      <c r="B53" s="35"/>
      <c r="C53" s="31">
        <v>0.3923611111111111</v>
      </c>
      <c r="D53" s="30" t="s">
        <v>924</v>
      </c>
      <c r="E53" s="32"/>
      <c r="F53" s="15" t="s">
        <v>394</v>
      </c>
      <c r="G53" s="15" t="s">
        <v>395</v>
      </c>
      <c r="H53" s="32"/>
      <c r="I53" s="15" t="s">
        <v>296</v>
      </c>
      <c r="J53" s="42"/>
      <c r="K53" s="15">
        <v>3</v>
      </c>
      <c r="L53" s="42"/>
      <c r="M53" s="43"/>
      <c r="N53" s="32"/>
      <c r="O53" s="36" t="s">
        <v>731</v>
      </c>
      <c r="P53" s="32"/>
      <c r="Q53" s="33" t="s">
        <v>666</v>
      </c>
    </row>
    <row r="54" spans="1:17" ht="252">
      <c r="A54" s="15"/>
      <c r="B54" s="35"/>
      <c r="C54" s="31">
        <v>0.39374999999999999</v>
      </c>
      <c r="D54" s="30" t="s">
        <v>925</v>
      </c>
      <c r="E54" s="32"/>
      <c r="F54" s="15" t="s">
        <v>394</v>
      </c>
      <c r="G54" s="15" t="s">
        <v>327</v>
      </c>
      <c r="H54" s="32"/>
      <c r="I54" s="15" t="s">
        <v>328</v>
      </c>
      <c r="J54" s="42"/>
      <c r="K54" s="15">
        <v>6</v>
      </c>
      <c r="L54" s="42"/>
      <c r="M54" s="43"/>
      <c r="N54" s="32"/>
      <c r="O54" s="36" t="s">
        <v>554</v>
      </c>
      <c r="P54" s="32"/>
      <c r="Q54" s="33" t="s">
        <v>666</v>
      </c>
    </row>
    <row r="55" spans="1:17" ht="360">
      <c r="A55" s="15"/>
      <c r="B55" s="35"/>
      <c r="C55" s="31">
        <v>0.39583333333333331</v>
      </c>
      <c r="D55" s="30" t="s">
        <v>926</v>
      </c>
      <c r="E55" s="32"/>
      <c r="F55" s="34"/>
      <c r="G55" s="34"/>
      <c r="H55" s="32"/>
      <c r="I55" s="15"/>
      <c r="J55" s="42"/>
      <c r="K55" s="15">
        <v>5</v>
      </c>
      <c r="L55" s="42"/>
      <c r="M55" s="43" t="s">
        <v>555</v>
      </c>
      <c r="N55" s="32"/>
      <c r="O55" s="40" t="s">
        <v>556</v>
      </c>
      <c r="P55" s="32"/>
      <c r="Q55" s="33" t="s">
        <v>666</v>
      </c>
    </row>
    <row r="56" spans="1:17" ht="132">
      <c r="A56" s="15"/>
      <c r="B56" s="35"/>
      <c r="C56" s="31">
        <v>0.39583333333333331</v>
      </c>
      <c r="D56" s="30" t="s">
        <v>926</v>
      </c>
      <c r="E56" s="32"/>
      <c r="F56" s="15" t="s">
        <v>394</v>
      </c>
      <c r="G56" s="15" t="s">
        <v>327</v>
      </c>
      <c r="H56" s="32"/>
      <c r="I56" s="15" t="s">
        <v>328</v>
      </c>
      <c r="J56" s="42"/>
      <c r="K56" s="15">
        <v>6</v>
      </c>
      <c r="L56" s="42"/>
      <c r="M56" s="43" t="s">
        <v>557</v>
      </c>
      <c r="N56" s="32"/>
      <c r="O56" s="36" t="s">
        <v>558</v>
      </c>
      <c r="P56" s="32"/>
      <c r="Q56" s="33" t="s">
        <v>666</v>
      </c>
    </row>
    <row r="57" spans="1:17" ht="216">
      <c r="A57" s="15"/>
      <c r="B57" s="35"/>
      <c r="C57" s="31">
        <v>0.39583333333333331</v>
      </c>
      <c r="D57" s="30" t="s">
        <v>926</v>
      </c>
      <c r="E57" s="32"/>
      <c r="F57" s="15" t="s">
        <v>394</v>
      </c>
      <c r="G57" s="15" t="s">
        <v>309</v>
      </c>
      <c r="H57" s="32"/>
      <c r="I57" s="15" t="s">
        <v>293</v>
      </c>
      <c r="J57" s="42"/>
      <c r="K57" s="15">
        <v>8</v>
      </c>
      <c r="L57" s="42"/>
      <c r="M57" s="43"/>
      <c r="N57" s="32"/>
      <c r="O57" s="36" t="s">
        <v>718</v>
      </c>
      <c r="P57" s="32"/>
      <c r="Q57" s="33" t="s">
        <v>666</v>
      </c>
    </row>
    <row r="58" spans="1:17" ht="409.5">
      <c r="A58" s="15"/>
      <c r="B58" s="35"/>
      <c r="C58" s="31">
        <v>0.39583333333333398</v>
      </c>
      <c r="D58" s="30" t="s">
        <v>926</v>
      </c>
      <c r="E58" s="32"/>
      <c r="F58" s="15" t="s">
        <v>394</v>
      </c>
      <c r="G58" s="15" t="s">
        <v>327</v>
      </c>
      <c r="H58" s="32"/>
      <c r="I58" s="15" t="s">
        <v>328</v>
      </c>
      <c r="J58" s="42"/>
      <c r="K58" s="15">
        <v>5</v>
      </c>
      <c r="L58" s="42"/>
      <c r="M58" s="43" t="s">
        <v>559</v>
      </c>
      <c r="N58" s="32"/>
      <c r="O58" s="36" t="s">
        <v>560</v>
      </c>
      <c r="P58" s="32"/>
      <c r="Q58" s="33" t="s">
        <v>666</v>
      </c>
    </row>
    <row r="59" spans="1:17" ht="216">
      <c r="A59" s="15"/>
      <c r="B59" s="35"/>
      <c r="C59" s="31">
        <v>0.39791666666666697</v>
      </c>
      <c r="D59" s="30" t="s">
        <v>927</v>
      </c>
      <c r="E59" s="32"/>
      <c r="F59" s="15" t="s">
        <v>394</v>
      </c>
      <c r="G59" s="15" t="s">
        <v>395</v>
      </c>
      <c r="H59" s="32"/>
      <c r="I59" s="15" t="s">
        <v>242</v>
      </c>
      <c r="J59" s="42"/>
      <c r="K59" s="15">
        <v>8</v>
      </c>
      <c r="L59" s="42"/>
      <c r="M59" s="43" t="s">
        <v>206</v>
      </c>
      <c r="N59" s="32"/>
      <c r="O59" s="36" t="s">
        <v>561</v>
      </c>
      <c r="P59" s="32"/>
      <c r="Q59" s="33" t="s">
        <v>666</v>
      </c>
    </row>
    <row r="60" spans="1:17" ht="409.5">
      <c r="A60" s="15"/>
      <c r="B60" s="35"/>
      <c r="C60" s="31">
        <v>0.39930555555555558</v>
      </c>
      <c r="D60" s="30" t="s">
        <v>928</v>
      </c>
      <c r="E60" s="32"/>
      <c r="F60" s="15" t="s">
        <v>326</v>
      </c>
      <c r="G60" s="15" t="s">
        <v>395</v>
      </c>
      <c r="H60" s="32"/>
      <c r="I60" s="15" t="s">
        <v>293</v>
      </c>
      <c r="J60" s="42"/>
      <c r="K60" s="15">
        <v>6</v>
      </c>
      <c r="L60" s="42"/>
      <c r="M60" s="43"/>
      <c r="N60" s="32"/>
      <c r="O60" s="36" t="s">
        <v>719</v>
      </c>
      <c r="P60" s="32"/>
      <c r="Q60" s="33" t="s">
        <v>666</v>
      </c>
    </row>
    <row r="61" spans="1:17" ht="409.5">
      <c r="A61" s="15"/>
      <c r="B61" s="35"/>
      <c r="C61" s="31">
        <v>0.40000000000000102</v>
      </c>
      <c r="D61" s="30" t="s">
        <v>929</v>
      </c>
      <c r="E61" s="32"/>
      <c r="F61" s="15" t="s">
        <v>326</v>
      </c>
      <c r="G61" s="15" t="s">
        <v>194</v>
      </c>
      <c r="H61" s="32"/>
      <c r="I61" s="15" t="s">
        <v>304</v>
      </c>
      <c r="J61" s="42"/>
      <c r="K61" s="15">
        <v>2</v>
      </c>
      <c r="L61" s="42"/>
      <c r="M61" s="43"/>
      <c r="N61" s="32"/>
      <c r="O61" s="40" t="s">
        <v>547</v>
      </c>
      <c r="P61" s="32"/>
      <c r="Q61" s="33" t="s">
        <v>666</v>
      </c>
    </row>
    <row r="62" spans="1:17" ht="372">
      <c r="A62" s="15"/>
      <c r="B62" s="35"/>
      <c r="C62" s="31">
        <v>0.40208333333333401</v>
      </c>
      <c r="D62" s="30" t="s">
        <v>930</v>
      </c>
      <c r="E62" s="32"/>
      <c r="F62" s="15" t="s">
        <v>394</v>
      </c>
      <c r="G62" s="15" t="s">
        <v>309</v>
      </c>
      <c r="H62" s="32"/>
      <c r="I62" s="15" t="s">
        <v>350</v>
      </c>
      <c r="J62" s="42"/>
      <c r="K62" s="15">
        <v>1</v>
      </c>
      <c r="L62" s="42"/>
      <c r="M62" s="43" t="s">
        <v>548</v>
      </c>
      <c r="N62" s="32"/>
      <c r="O62" s="36" t="s">
        <v>549</v>
      </c>
      <c r="P62" s="32"/>
      <c r="Q62" s="33" t="s">
        <v>666</v>
      </c>
    </row>
    <row r="63" spans="1:17" ht="216">
      <c r="A63" s="15"/>
      <c r="B63" s="35"/>
      <c r="C63" s="31">
        <v>0.40277777777777773</v>
      </c>
      <c r="D63" s="30" t="s">
        <v>931</v>
      </c>
      <c r="E63" s="32"/>
      <c r="F63" s="15" t="s">
        <v>394</v>
      </c>
      <c r="G63" s="15" t="s">
        <v>395</v>
      </c>
      <c r="H63" s="32"/>
      <c r="I63" s="15" t="s">
        <v>328</v>
      </c>
      <c r="J63" s="42"/>
      <c r="K63" s="15">
        <v>6</v>
      </c>
      <c r="L63" s="42"/>
      <c r="M63" s="44" t="s">
        <v>720</v>
      </c>
      <c r="N63" s="32"/>
      <c r="O63" s="36" t="s">
        <v>721</v>
      </c>
      <c r="P63" s="32"/>
      <c r="Q63" s="33" t="s">
        <v>666</v>
      </c>
    </row>
    <row r="64" spans="1:17" ht="384">
      <c r="A64" s="15"/>
      <c r="B64" s="35"/>
      <c r="C64" s="31">
        <v>0.40416666666666701</v>
      </c>
      <c r="D64" s="30" t="s">
        <v>932</v>
      </c>
      <c r="E64" s="32"/>
      <c r="F64" s="15" t="s">
        <v>394</v>
      </c>
      <c r="G64" s="15" t="s">
        <v>395</v>
      </c>
      <c r="H64" s="32"/>
      <c r="I64" s="15" t="s">
        <v>350</v>
      </c>
      <c r="J64" s="42"/>
      <c r="K64" s="15">
        <v>7</v>
      </c>
      <c r="L64" s="42"/>
      <c r="M64" s="43" t="s">
        <v>550</v>
      </c>
      <c r="N64" s="32"/>
      <c r="O64" s="36" t="s">
        <v>551</v>
      </c>
      <c r="P64" s="32"/>
      <c r="Q64" s="33" t="s">
        <v>666</v>
      </c>
    </row>
    <row r="65" spans="1:17" ht="409.5">
      <c r="A65" s="15"/>
      <c r="B65" s="35"/>
      <c r="C65" s="31">
        <v>0.40625</v>
      </c>
      <c r="D65" s="30" t="s">
        <v>933</v>
      </c>
      <c r="E65" s="32"/>
      <c r="F65" s="15" t="s">
        <v>394</v>
      </c>
      <c r="G65" s="15" t="s">
        <v>735</v>
      </c>
      <c r="H65" s="32"/>
      <c r="I65" s="15" t="s">
        <v>164</v>
      </c>
      <c r="J65" s="42"/>
      <c r="K65" s="15" t="s">
        <v>165</v>
      </c>
      <c r="L65" s="42"/>
      <c r="M65" s="44" t="s">
        <v>722</v>
      </c>
      <c r="N65" s="32"/>
      <c r="O65" s="36" t="s">
        <v>723</v>
      </c>
      <c r="P65" s="32"/>
      <c r="Q65" s="33" t="s">
        <v>666</v>
      </c>
    </row>
    <row r="66" spans="1:17" ht="360">
      <c r="A66" s="15"/>
      <c r="B66" s="35"/>
      <c r="C66" s="31">
        <v>0.406250000000001</v>
      </c>
      <c r="D66" s="30" t="s">
        <v>933</v>
      </c>
      <c r="E66" s="32"/>
      <c r="F66" s="15" t="s">
        <v>394</v>
      </c>
      <c r="G66" s="15" t="s">
        <v>395</v>
      </c>
      <c r="H66" s="32"/>
      <c r="I66" s="15" t="s">
        <v>348</v>
      </c>
      <c r="J66" s="42"/>
      <c r="K66" s="15">
        <v>6</v>
      </c>
      <c r="L66" s="42"/>
      <c r="M66" s="43"/>
      <c r="N66" s="32"/>
      <c r="O66" s="36" t="s">
        <v>552</v>
      </c>
      <c r="P66" s="32"/>
      <c r="Q66" s="33" t="s">
        <v>666</v>
      </c>
    </row>
    <row r="67" spans="1:17" ht="409.5">
      <c r="A67" s="15"/>
      <c r="B67" s="35"/>
      <c r="C67" s="31">
        <v>0.40833333333333399</v>
      </c>
      <c r="D67" s="30" t="s">
        <v>934</v>
      </c>
      <c r="E67" s="32"/>
      <c r="F67" s="15" t="s">
        <v>394</v>
      </c>
      <c r="G67" s="15" t="s">
        <v>395</v>
      </c>
      <c r="H67" s="32"/>
      <c r="I67" s="15" t="s">
        <v>315</v>
      </c>
      <c r="J67" s="42"/>
      <c r="K67" s="15">
        <v>7</v>
      </c>
      <c r="L67" s="42"/>
      <c r="M67" s="44" t="s">
        <v>553</v>
      </c>
      <c r="N67" s="32"/>
      <c r="O67" s="36" t="s">
        <v>176</v>
      </c>
      <c r="P67" s="32"/>
      <c r="Q67" s="33" t="s">
        <v>666</v>
      </c>
    </row>
    <row r="68" spans="1:17" ht="409.5">
      <c r="A68" s="15"/>
      <c r="B68" s="35"/>
      <c r="C68" s="31">
        <v>0.40972222222222227</v>
      </c>
      <c r="D68" s="30" t="s">
        <v>935</v>
      </c>
      <c r="E68" s="32"/>
      <c r="F68" s="15" t="s">
        <v>394</v>
      </c>
      <c r="G68" s="15" t="s">
        <v>309</v>
      </c>
      <c r="H68" s="32"/>
      <c r="I68" s="15" t="s">
        <v>279</v>
      </c>
      <c r="J68" s="42"/>
      <c r="K68" s="15">
        <v>13</v>
      </c>
      <c r="L68" s="42"/>
      <c r="M68" s="43"/>
      <c r="N68" s="32"/>
      <c r="O68" s="40" t="s">
        <v>709</v>
      </c>
      <c r="P68" s="32"/>
      <c r="Q68" s="33" t="s">
        <v>666</v>
      </c>
    </row>
    <row r="69" spans="1:17" ht="409.5">
      <c r="A69" s="15"/>
      <c r="B69" s="35"/>
      <c r="C69" s="31">
        <v>0.41041666666666698</v>
      </c>
      <c r="D69" s="30" t="s">
        <v>936</v>
      </c>
      <c r="E69" s="32"/>
      <c r="F69" s="15" t="s">
        <v>394</v>
      </c>
      <c r="G69" s="15" t="s">
        <v>395</v>
      </c>
      <c r="H69" s="32"/>
      <c r="I69" s="15" t="s">
        <v>177</v>
      </c>
      <c r="J69" s="42"/>
      <c r="K69" s="15">
        <v>8</v>
      </c>
      <c r="L69" s="42"/>
      <c r="M69" s="43"/>
      <c r="N69" s="32"/>
      <c r="O69" s="40" t="s">
        <v>178</v>
      </c>
      <c r="P69" s="32"/>
      <c r="Q69" s="33" t="s">
        <v>666</v>
      </c>
    </row>
    <row r="70" spans="1:17" ht="372">
      <c r="A70" s="15"/>
      <c r="B70" s="35"/>
      <c r="C70" s="31">
        <v>0.41250000000000098</v>
      </c>
      <c r="D70" s="30" t="s">
        <v>937</v>
      </c>
      <c r="E70" s="32"/>
      <c r="F70" s="15" t="s">
        <v>394</v>
      </c>
      <c r="G70" s="15" t="s">
        <v>179</v>
      </c>
      <c r="H70" s="32"/>
      <c r="I70" s="15" t="s">
        <v>304</v>
      </c>
      <c r="J70" s="42"/>
      <c r="K70" s="15">
        <v>2</v>
      </c>
      <c r="L70" s="42"/>
      <c r="M70" s="43" t="s">
        <v>180</v>
      </c>
      <c r="N70" s="32"/>
      <c r="O70" s="36" t="s">
        <v>181</v>
      </c>
      <c r="P70" s="32"/>
      <c r="Q70" s="33" t="s">
        <v>666</v>
      </c>
    </row>
    <row r="71" spans="1:17" ht="409.5">
      <c r="A71" s="15"/>
      <c r="B71" s="35"/>
      <c r="C71" s="31">
        <v>0.41319444444444442</v>
      </c>
      <c r="D71" s="30" t="s">
        <v>938</v>
      </c>
      <c r="E71" s="32"/>
      <c r="F71" s="15" t="s">
        <v>394</v>
      </c>
      <c r="G71" s="15" t="s">
        <v>710</v>
      </c>
      <c r="H71" s="32"/>
      <c r="I71" s="15" t="s">
        <v>293</v>
      </c>
      <c r="J71" s="42"/>
      <c r="K71" s="15">
        <v>6</v>
      </c>
      <c r="L71" s="42"/>
      <c r="M71" s="43" t="s">
        <v>711</v>
      </c>
      <c r="N71" s="32"/>
      <c r="O71" s="36" t="s">
        <v>712</v>
      </c>
      <c r="P71" s="32"/>
      <c r="Q71" s="33" t="s">
        <v>666</v>
      </c>
    </row>
    <row r="72" spans="1:17" ht="409.5">
      <c r="A72" s="15"/>
      <c r="B72" s="35"/>
      <c r="C72" s="31">
        <v>0.41458333333333403</v>
      </c>
      <c r="D72" s="30" t="s">
        <v>939</v>
      </c>
      <c r="E72" s="32"/>
      <c r="F72" s="15" t="s">
        <v>394</v>
      </c>
      <c r="G72" s="15" t="s">
        <v>182</v>
      </c>
      <c r="H72" s="32"/>
      <c r="I72" s="15" t="s">
        <v>293</v>
      </c>
      <c r="J72" s="42"/>
      <c r="K72" s="15">
        <v>8</v>
      </c>
      <c r="L72" s="42"/>
      <c r="M72" s="43"/>
      <c r="N72" s="32"/>
      <c r="O72" s="36" t="s">
        <v>183</v>
      </c>
      <c r="P72" s="32"/>
      <c r="Q72" s="33" t="s">
        <v>666</v>
      </c>
    </row>
    <row r="73" spans="1:17" ht="276">
      <c r="A73" s="15"/>
      <c r="B73" s="35"/>
      <c r="C73" s="31">
        <v>0.41666666666666669</v>
      </c>
      <c r="D73" s="30" t="s">
        <v>940</v>
      </c>
      <c r="E73" s="32"/>
      <c r="F73" s="34"/>
      <c r="G73" s="34"/>
      <c r="H73" s="32"/>
      <c r="I73" s="15"/>
      <c r="J73" s="42"/>
      <c r="K73" s="15">
        <v>2</v>
      </c>
      <c r="L73" s="42"/>
      <c r="M73" s="43" t="s">
        <v>184</v>
      </c>
      <c r="N73" s="32"/>
      <c r="O73" s="40" t="s">
        <v>185</v>
      </c>
      <c r="P73" s="32"/>
      <c r="Q73" s="33" t="s">
        <v>666</v>
      </c>
    </row>
    <row r="74" spans="1:17" ht="108">
      <c r="A74" s="15"/>
      <c r="B74" s="35"/>
      <c r="C74" s="31">
        <v>0.41666666666666669</v>
      </c>
      <c r="D74" s="30" t="s">
        <v>940</v>
      </c>
      <c r="E74" s="32"/>
      <c r="F74" s="34"/>
      <c r="G74" s="34"/>
      <c r="H74" s="32"/>
      <c r="I74" s="15"/>
      <c r="J74" s="42"/>
      <c r="K74" s="15">
        <v>5</v>
      </c>
      <c r="L74" s="42"/>
      <c r="M74" s="43" t="s">
        <v>186</v>
      </c>
      <c r="N74" s="32"/>
      <c r="O74" s="40" t="s">
        <v>163</v>
      </c>
      <c r="P74" s="32"/>
      <c r="Q74" s="33" t="s">
        <v>666</v>
      </c>
    </row>
    <row r="75" spans="1:17" ht="156">
      <c r="A75" s="15"/>
      <c r="B75" s="35"/>
      <c r="C75" s="31">
        <v>0.41666666666666669</v>
      </c>
      <c r="D75" s="30" t="s">
        <v>940</v>
      </c>
      <c r="E75" s="32"/>
      <c r="F75" s="15" t="s">
        <v>394</v>
      </c>
      <c r="G75" s="15" t="s">
        <v>194</v>
      </c>
      <c r="H75" s="32"/>
      <c r="I75" s="15" t="s">
        <v>248</v>
      </c>
      <c r="J75" s="42"/>
      <c r="K75" s="15">
        <v>8</v>
      </c>
      <c r="L75" s="42"/>
      <c r="M75" s="43"/>
      <c r="N75" s="32"/>
      <c r="O75" s="36" t="s">
        <v>713</v>
      </c>
      <c r="P75" s="32"/>
      <c r="Q75" s="33" t="s">
        <v>666</v>
      </c>
    </row>
    <row r="76" spans="1:17" ht="252">
      <c r="A76" s="15"/>
      <c r="B76" s="35"/>
      <c r="C76" s="31">
        <v>0.41666666666666802</v>
      </c>
      <c r="D76" s="30" t="s">
        <v>940</v>
      </c>
      <c r="E76" s="32"/>
      <c r="F76" s="15" t="s">
        <v>394</v>
      </c>
      <c r="G76" s="15" t="s">
        <v>395</v>
      </c>
      <c r="H76" s="32"/>
      <c r="I76" s="15" t="s">
        <v>164</v>
      </c>
      <c r="J76" s="42"/>
      <c r="K76" s="15" t="s">
        <v>165</v>
      </c>
      <c r="L76" s="42"/>
      <c r="M76" s="43" t="s">
        <v>166</v>
      </c>
      <c r="N76" s="32"/>
      <c r="O76" s="36" t="s">
        <v>167</v>
      </c>
      <c r="P76" s="32"/>
      <c r="Q76" s="33" t="s">
        <v>666</v>
      </c>
    </row>
    <row r="77" spans="1:17" ht="409.5">
      <c r="A77" s="15"/>
      <c r="B77" s="35"/>
      <c r="C77" s="31">
        <v>0.41875000000000101</v>
      </c>
      <c r="D77" s="30" t="s">
        <v>941</v>
      </c>
      <c r="E77" s="32"/>
      <c r="F77" s="15" t="s">
        <v>394</v>
      </c>
      <c r="G77" s="15" t="s">
        <v>303</v>
      </c>
      <c r="H77" s="32"/>
      <c r="I77" s="15" t="s">
        <v>223</v>
      </c>
      <c r="J77" s="42"/>
      <c r="K77" s="15">
        <v>12</v>
      </c>
      <c r="L77" s="42"/>
      <c r="M77" s="43"/>
      <c r="N77" s="32"/>
      <c r="O77" s="40" t="s">
        <v>168</v>
      </c>
      <c r="P77" s="32"/>
      <c r="Q77" s="33" t="s">
        <v>666</v>
      </c>
    </row>
    <row r="78" spans="1:17" ht="409.5">
      <c r="A78" s="15"/>
      <c r="B78" s="35"/>
      <c r="C78" s="31">
        <v>0.4201388888888889</v>
      </c>
      <c r="D78" s="30" t="s">
        <v>942</v>
      </c>
      <c r="E78" s="32"/>
      <c r="F78" s="15" t="s">
        <v>394</v>
      </c>
      <c r="G78" s="15" t="s">
        <v>714</v>
      </c>
      <c r="H78" s="32"/>
      <c r="I78" s="15" t="s">
        <v>177</v>
      </c>
      <c r="J78" s="42"/>
      <c r="K78" s="15">
        <v>8</v>
      </c>
      <c r="L78" s="42"/>
      <c r="M78" s="44" t="s">
        <v>715</v>
      </c>
      <c r="N78" s="32"/>
      <c r="O78" s="36" t="s">
        <v>716</v>
      </c>
      <c r="P78" s="32"/>
      <c r="Q78" s="33" t="s">
        <v>666</v>
      </c>
    </row>
    <row r="79" spans="1:17" ht="204">
      <c r="A79" s="15"/>
      <c r="B79" s="35"/>
      <c r="C79" s="31">
        <v>0.420833333333334</v>
      </c>
      <c r="D79" s="30" t="s">
        <v>943</v>
      </c>
      <c r="E79" s="32"/>
      <c r="F79" s="15" t="s">
        <v>394</v>
      </c>
      <c r="G79" s="15" t="s">
        <v>169</v>
      </c>
      <c r="H79" s="32"/>
      <c r="I79" s="15" t="s">
        <v>188</v>
      </c>
      <c r="J79" s="42"/>
      <c r="K79" s="15">
        <v>4</v>
      </c>
      <c r="L79" s="42"/>
      <c r="M79" s="43" t="s">
        <v>170</v>
      </c>
      <c r="N79" s="32"/>
      <c r="O79" s="36" t="s">
        <v>171</v>
      </c>
      <c r="P79" s="32"/>
      <c r="Q79" s="33" t="s">
        <v>666</v>
      </c>
    </row>
    <row r="80" spans="1:17" ht="324">
      <c r="A80" s="15"/>
      <c r="B80" s="35"/>
      <c r="C80" s="31">
        <v>0.422916666666668</v>
      </c>
      <c r="D80" s="30" t="s">
        <v>944</v>
      </c>
      <c r="E80" s="32"/>
      <c r="F80" s="15" t="s">
        <v>394</v>
      </c>
      <c r="G80" s="15" t="s">
        <v>172</v>
      </c>
      <c r="H80" s="32"/>
      <c r="I80" s="15" t="s">
        <v>315</v>
      </c>
      <c r="J80" s="42"/>
      <c r="K80" s="15">
        <v>7</v>
      </c>
      <c r="L80" s="42"/>
      <c r="M80" s="44" t="s">
        <v>173</v>
      </c>
      <c r="N80" s="32"/>
      <c r="O80" s="36" t="s">
        <v>174</v>
      </c>
      <c r="P80" s="32"/>
      <c r="Q80" s="33" t="s">
        <v>666</v>
      </c>
    </row>
    <row r="81" spans="1:17" ht="228">
      <c r="A81" s="15"/>
      <c r="B81" s="35"/>
      <c r="C81" s="31">
        <v>0.4236111111111111</v>
      </c>
      <c r="D81" s="30" t="s">
        <v>945</v>
      </c>
      <c r="E81" s="32"/>
      <c r="F81" s="15" t="s">
        <v>394</v>
      </c>
      <c r="G81" s="15" t="s">
        <v>395</v>
      </c>
      <c r="H81" s="32"/>
      <c r="I81" s="15" t="s">
        <v>396</v>
      </c>
      <c r="J81" s="42"/>
      <c r="K81" s="15">
        <v>12</v>
      </c>
      <c r="L81" s="42"/>
      <c r="M81" s="43" t="s">
        <v>397</v>
      </c>
      <c r="N81" s="32"/>
      <c r="O81" s="36" t="s">
        <v>398</v>
      </c>
      <c r="P81" s="32"/>
      <c r="Q81" s="33" t="s">
        <v>666</v>
      </c>
    </row>
    <row r="82" spans="1:17" ht="409.5">
      <c r="A82" s="15"/>
      <c r="B82" s="35"/>
      <c r="C82" s="31">
        <v>0.4236111111111111</v>
      </c>
      <c r="D82" s="30" t="s">
        <v>945</v>
      </c>
      <c r="E82" s="32"/>
      <c r="F82" s="15" t="s">
        <v>394</v>
      </c>
      <c r="G82" s="15" t="s">
        <v>717</v>
      </c>
      <c r="H82" s="32"/>
      <c r="I82" s="15" t="s">
        <v>454</v>
      </c>
      <c r="J82" s="42"/>
      <c r="K82" s="15">
        <v>11</v>
      </c>
      <c r="L82" s="42"/>
      <c r="M82" s="43"/>
      <c r="N82" s="32"/>
      <c r="O82" s="36" t="s">
        <v>701</v>
      </c>
      <c r="P82" s="32"/>
      <c r="Q82" s="33" t="s">
        <v>666</v>
      </c>
    </row>
    <row r="83" spans="1:17" ht="409.5">
      <c r="A83" s="15"/>
      <c r="B83" s="35"/>
      <c r="C83" s="31">
        <v>0.42500000000000099</v>
      </c>
      <c r="D83" s="30" t="s">
        <v>946</v>
      </c>
      <c r="E83" s="32"/>
      <c r="F83" s="15" t="s">
        <v>394</v>
      </c>
      <c r="G83" s="15" t="s">
        <v>395</v>
      </c>
      <c r="H83" s="32"/>
      <c r="I83" s="15" t="s">
        <v>177</v>
      </c>
      <c r="J83" s="42"/>
      <c r="K83" s="15">
        <v>11</v>
      </c>
      <c r="L83" s="42"/>
      <c r="M83" s="43" t="s">
        <v>175</v>
      </c>
      <c r="N83" s="32"/>
      <c r="O83" s="36" t="s">
        <v>130</v>
      </c>
      <c r="P83" s="32"/>
      <c r="Q83" s="33" t="s">
        <v>666</v>
      </c>
    </row>
    <row r="84" spans="1:17" ht="300">
      <c r="A84" s="15"/>
      <c r="B84" s="35"/>
      <c r="C84" s="31">
        <v>0.42708333333333331</v>
      </c>
      <c r="D84" s="30" t="s">
        <v>947</v>
      </c>
      <c r="E84" s="32"/>
      <c r="F84" s="15" t="s">
        <v>394</v>
      </c>
      <c r="G84" s="15" t="s">
        <v>230</v>
      </c>
      <c r="H84" s="32"/>
      <c r="I84" s="15" t="s">
        <v>293</v>
      </c>
      <c r="J84" s="42"/>
      <c r="K84" s="15">
        <v>6</v>
      </c>
      <c r="L84" s="42"/>
      <c r="M84" s="43" t="s">
        <v>450</v>
      </c>
      <c r="N84" s="32"/>
      <c r="O84" s="36" t="s">
        <v>702</v>
      </c>
      <c r="P84" s="32"/>
      <c r="Q84" s="33" t="s">
        <v>666</v>
      </c>
    </row>
    <row r="85" spans="1:17" ht="372">
      <c r="A85" s="15"/>
      <c r="B85" s="35"/>
      <c r="C85" s="31">
        <v>0.42708333333333398</v>
      </c>
      <c r="D85" s="30" t="s">
        <v>947</v>
      </c>
      <c r="E85" s="32"/>
      <c r="F85" s="15" t="s">
        <v>394</v>
      </c>
      <c r="G85" s="15" t="s">
        <v>309</v>
      </c>
      <c r="H85" s="32"/>
      <c r="I85" s="15" t="s">
        <v>296</v>
      </c>
      <c r="J85" s="42"/>
      <c r="K85" s="15">
        <v>3</v>
      </c>
      <c r="L85" s="42"/>
      <c r="M85" s="43" t="s">
        <v>1141</v>
      </c>
      <c r="N85" s="32"/>
      <c r="O85" s="36" t="s">
        <v>536</v>
      </c>
      <c r="P85" s="32"/>
      <c r="Q85" s="33" t="s">
        <v>666</v>
      </c>
    </row>
    <row r="86" spans="1:17" ht="409.5">
      <c r="A86" s="15"/>
      <c r="B86" s="35"/>
      <c r="C86" s="31">
        <v>0.42916666666666797</v>
      </c>
      <c r="D86" s="30" t="s">
        <v>948</v>
      </c>
      <c r="E86" s="32"/>
      <c r="F86" s="15" t="s">
        <v>394</v>
      </c>
      <c r="G86" s="15" t="s">
        <v>537</v>
      </c>
      <c r="H86" s="32"/>
      <c r="I86" s="15" t="s">
        <v>350</v>
      </c>
      <c r="J86" s="42"/>
      <c r="K86" s="15">
        <v>1</v>
      </c>
      <c r="L86" s="42"/>
      <c r="M86" s="43"/>
      <c r="N86" s="32"/>
      <c r="O86" s="40" t="s">
        <v>538</v>
      </c>
      <c r="P86" s="32"/>
      <c r="Q86" s="33" t="s">
        <v>666</v>
      </c>
    </row>
    <row r="87" spans="1:17" ht="312">
      <c r="A87" s="15"/>
      <c r="B87" s="35"/>
      <c r="C87" s="31">
        <v>0.43055555555555558</v>
      </c>
      <c r="D87" s="30" t="s">
        <v>949</v>
      </c>
      <c r="E87" s="32"/>
      <c r="F87" s="15" t="s">
        <v>394</v>
      </c>
      <c r="G87" s="15" t="s">
        <v>309</v>
      </c>
      <c r="H87" s="34"/>
      <c r="I87" s="15" t="s">
        <v>177</v>
      </c>
      <c r="J87" s="40"/>
      <c r="K87" s="15">
        <v>13</v>
      </c>
      <c r="L87" s="42"/>
      <c r="M87" s="43"/>
      <c r="N87" s="32"/>
      <c r="O87" s="36" t="s">
        <v>703</v>
      </c>
      <c r="P87" s="32"/>
      <c r="Q87" s="33" t="s">
        <v>666</v>
      </c>
    </row>
    <row r="88" spans="1:17" ht="409.5">
      <c r="A88" s="15"/>
      <c r="B88" s="35"/>
      <c r="C88" s="31">
        <v>0.43125000000000102</v>
      </c>
      <c r="D88" s="30" t="s">
        <v>950</v>
      </c>
      <c r="E88" s="32"/>
      <c r="F88" s="15" t="s">
        <v>394</v>
      </c>
      <c r="G88" s="15" t="s">
        <v>194</v>
      </c>
      <c r="H88" s="32"/>
      <c r="I88" s="15" t="s">
        <v>328</v>
      </c>
      <c r="J88" s="42"/>
      <c r="K88" s="15">
        <v>6</v>
      </c>
      <c r="L88" s="42"/>
      <c r="M88" s="43" t="s">
        <v>539</v>
      </c>
      <c r="N88" s="32"/>
      <c r="O88" s="36" t="s">
        <v>540</v>
      </c>
      <c r="P88" s="32"/>
      <c r="Q88" s="33" t="s">
        <v>666</v>
      </c>
    </row>
    <row r="89" spans="1:17" ht="156">
      <c r="A89" s="15"/>
      <c r="B89" s="35"/>
      <c r="C89" s="31">
        <v>0.43333333333333501</v>
      </c>
      <c r="D89" s="30" t="s">
        <v>951</v>
      </c>
      <c r="E89" s="32"/>
      <c r="F89" s="15" t="s">
        <v>394</v>
      </c>
      <c r="G89" s="15" t="s">
        <v>395</v>
      </c>
      <c r="H89" s="32"/>
      <c r="I89" s="15" t="s">
        <v>315</v>
      </c>
      <c r="J89" s="42"/>
      <c r="K89" s="15">
        <v>7</v>
      </c>
      <c r="L89" s="42"/>
      <c r="M89" s="43" t="s">
        <v>541</v>
      </c>
      <c r="N89" s="32"/>
      <c r="O89" s="36" t="s">
        <v>542</v>
      </c>
      <c r="P89" s="32"/>
      <c r="Q89" s="33" t="s">
        <v>666</v>
      </c>
    </row>
    <row r="90" spans="1:17" ht="336">
      <c r="A90" s="15"/>
      <c r="B90" s="35"/>
      <c r="C90" s="31">
        <v>0.43402777777777773</v>
      </c>
      <c r="D90" s="30" t="s">
        <v>952</v>
      </c>
      <c r="E90" s="32"/>
      <c r="F90" s="15" t="s">
        <v>326</v>
      </c>
      <c r="G90" s="15" t="s">
        <v>395</v>
      </c>
      <c r="H90" s="32"/>
      <c r="I90" s="15" t="s">
        <v>328</v>
      </c>
      <c r="J90" s="42"/>
      <c r="K90" s="15">
        <v>6</v>
      </c>
      <c r="L90" s="42"/>
      <c r="M90" s="43" t="s">
        <v>511</v>
      </c>
      <c r="N90" s="32"/>
      <c r="O90" s="36" t="s">
        <v>704</v>
      </c>
      <c r="P90" s="32"/>
      <c r="Q90" s="33" t="s">
        <v>666</v>
      </c>
    </row>
    <row r="91" spans="1:17" ht="192">
      <c r="A91" s="15"/>
      <c r="B91" s="35"/>
      <c r="C91" s="31">
        <v>0.43541666666666801</v>
      </c>
      <c r="D91" s="30" t="s">
        <v>953</v>
      </c>
      <c r="E91" s="32"/>
      <c r="F91" s="15" t="s">
        <v>394</v>
      </c>
      <c r="G91" s="15" t="s">
        <v>527</v>
      </c>
      <c r="H91" s="32"/>
      <c r="I91" s="15" t="s">
        <v>298</v>
      </c>
      <c r="J91" s="42"/>
      <c r="K91" s="15">
        <v>15</v>
      </c>
      <c r="L91" s="42"/>
      <c r="M91" s="43" t="s">
        <v>209</v>
      </c>
      <c r="N91" s="32"/>
      <c r="O91" s="36" t="s">
        <v>528</v>
      </c>
      <c r="P91" s="32"/>
      <c r="Q91" s="33" t="s">
        <v>666</v>
      </c>
    </row>
    <row r="92" spans="1:17" ht="108">
      <c r="A92" s="15"/>
      <c r="B92" s="35"/>
      <c r="C92" s="31">
        <v>0.4375</v>
      </c>
      <c r="D92" s="30" t="s">
        <v>954</v>
      </c>
      <c r="E92" s="32"/>
      <c r="F92" s="15" t="s">
        <v>394</v>
      </c>
      <c r="G92" s="15" t="s">
        <v>705</v>
      </c>
      <c r="H92" s="32"/>
      <c r="I92" s="15" t="s">
        <v>293</v>
      </c>
      <c r="J92" s="42"/>
      <c r="K92" s="15">
        <v>2</v>
      </c>
      <c r="L92" s="42"/>
      <c r="M92" s="43" t="s">
        <v>706</v>
      </c>
      <c r="N92" s="32"/>
      <c r="O92" s="41" t="s">
        <v>707</v>
      </c>
      <c r="P92" s="32"/>
      <c r="Q92" s="33" t="s">
        <v>666</v>
      </c>
    </row>
    <row r="93" spans="1:17" ht="300">
      <c r="A93" s="15"/>
      <c r="B93" s="35"/>
      <c r="C93" s="31">
        <v>0.4375</v>
      </c>
      <c r="D93" s="30" t="s">
        <v>954</v>
      </c>
      <c r="E93" s="32"/>
      <c r="F93" s="15" t="s">
        <v>394</v>
      </c>
      <c r="G93" s="15" t="s">
        <v>395</v>
      </c>
      <c r="H93" s="32"/>
      <c r="I93" s="15" t="s">
        <v>248</v>
      </c>
      <c r="J93" s="42"/>
      <c r="K93" s="15">
        <v>10</v>
      </c>
      <c r="L93" s="42"/>
      <c r="M93" s="43"/>
      <c r="N93" s="32"/>
      <c r="O93" s="36" t="s">
        <v>708</v>
      </c>
      <c r="P93" s="32"/>
      <c r="Q93" s="33" t="s">
        <v>666</v>
      </c>
    </row>
    <row r="94" spans="1:17" ht="336">
      <c r="A94" s="15"/>
      <c r="B94" s="35"/>
      <c r="C94" s="31">
        <v>0.437500000000001</v>
      </c>
      <c r="D94" s="30" t="s">
        <v>954</v>
      </c>
      <c r="E94" s="32"/>
      <c r="F94" s="15" t="s">
        <v>394</v>
      </c>
      <c r="G94" s="15" t="s">
        <v>395</v>
      </c>
      <c r="H94" s="32"/>
      <c r="I94" s="15" t="s">
        <v>242</v>
      </c>
      <c r="J94" s="42"/>
      <c r="K94" s="15" t="s">
        <v>529</v>
      </c>
      <c r="L94" s="42"/>
      <c r="M94" s="43"/>
      <c r="N94" s="32"/>
      <c r="O94" s="40" t="s">
        <v>530</v>
      </c>
      <c r="P94" s="32"/>
      <c r="Q94" s="33" t="s">
        <v>666</v>
      </c>
    </row>
    <row r="95" spans="1:17" ht="108">
      <c r="A95" s="15"/>
      <c r="B95" s="35"/>
      <c r="C95" s="31">
        <v>0.43958333333333499</v>
      </c>
      <c r="D95" s="30" t="s">
        <v>955</v>
      </c>
      <c r="E95" s="32"/>
      <c r="F95" s="15" t="s">
        <v>394</v>
      </c>
      <c r="G95" s="15" t="s">
        <v>395</v>
      </c>
      <c r="H95" s="32"/>
      <c r="I95" s="15" t="s">
        <v>328</v>
      </c>
      <c r="J95" s="42"/>
      <c r="K95" s="15">
        <v>5</v>
      </c>
      <c r="L95" s="42"/>
      <c r="M95" s="43"/>
      <c r="N95" s="32"/>
      <c r="O95" s="40" t="s">
        <v>531</v>
      </c>
      <c r="P95" s="32"/>
      <c r="Q95" s="33" t="s">
        <v>666</v>
      </c>
    </row>
    <row r="96" spans="1:17" ht="409.5">
      <c r="A96" s="15"/>
      <c r="B96" s="35"/>
      <c r="C96" s="31">
        <v>0.44097222222222227</v>
      </c>
      <c r="D96" s="30" t="s">
        <v>818</v>
      </c>
      <c r="E96" s="32"/>
      <c r="F96" s="15" t="s">
        <v>326</v>
      </c>
      <c r="G96" s="15" t="s">
        <v>746</v>
      </c>
      <c r="H96" s="32"/>
      <c r="I96" s="15" t="s">
        <v>350</v>
      </c>
      <c r="J96" s="42"/>
      <c r="K96" s="15">
        <v>1</v>
      </c>
      <c r="L96" s="42"/>
      <c r="M96" s="43"/>
      <c r="N96" s="32"/>
      <c r="O96" s="36" t="s">
        <v>690</v>
      </c>
      <c r="P96" s="32"/>
      <c r="Q96" s="33" t="s">
        <v>666</v>
      </c>
    </row>
    <row r="97" spans="1:17" ht="409.5">
      <c r="A97" s="15"/>
      <c r="B97" s="35"/>
      <c r="C97" s="31">
        <v>0.44166666666666798</v>
      </c>
      <c r="D97" s="30" t="s">
        <v>819</v>
      </c>
      <c r="E97" s="32"/>
      <c r="F97" s="15" t="s">
        <v>326</v>
      </c>
      <c r="G97" s="15" t="s">
        <v>395</v>
      </c>
      <c r="H97" s="32"/>
      <c r="I97" s="15" t="s">
        <v>304</v>
      </c>
      <c r="J97" s="42"/>
      <c r="K97" s="15">
        <v>2</v>
      </c>
      <c r="L97" s="42"/>
      <c r="M97" s="43"/>
      <c r="N97" s="32"/>
      <c r="O97" s="40" t="s">
        <v>532</v>
      </c>
      <c r="P97" s="32"/>
      <c r="Q97" s="33" t="s">
        <v>666</v>
      </c>
    </row>
    <row r="98" spans="1:17" ht="408">
      <c r="A98" s="15"/>
      <c r="B98" s="35"/>
      <c r="C98" s="31">
        <v>0.44375000000000198</v>
      </c>
      <c r="D98" s="30" t="s">
        <v>820</v>
      </c>
      <c r="E98" s="32"/>
      <c r="F98" s="15" t="s">
        <v>394</v>
      </c>
      <c r="G98" s="15" t="s">
        <v>303</v>
      </c>
      <c r="H98" s="32"/>
      <c r="I98" s="15" t="s">
        <v>223</v>
      </c>
      <c r="J98" s="42"/>
      <c r="K98" s="15">
        <v>12</v>
      </c>
      <c r="L98" s="42"/>
      <c r="M98" s="43" t="s">
        <v>533</v>
      </c>
      <c r="N98" s="32"/>
      <c r="O98" s="40" t="s">
        <v>534</v>
      </c>
      <c r="P98" s="32"/>
      <c r="Q98" s="33" t="s">
        <v>666</v>
      </c>
    </row>
    <row r="99" spans="1:17" ht="324">
      <c r="A99" s="15"/>
      <c r="B99" s="35"/>
      <c r="C99" s="31">
        <v>0.44444444444444442</v>
      </c>
      <c r="D99" s="30" t="s">
        <v>821</v>
      </c>
      <c r="E99" s="32"/>
      <c r="F99" s="15" t="s">
        <v>394</v>
      </c>
      <c r="G99" s="15" t="s">
        <v>395</v>
      </c>
      <c r="H99" s="32"/>
      <c r="I99" s="15" t="s">
        <v>293</v>
      </c>
      <c r="J99" s="42"/>
      <c r="K99" s="15">
        <v>8</v>
      </c>
      <c r="L99" s="42"/>
      <c r="M99" s="43"/>
      <c r="N99" s="32"/>
      <c r="O99" s="36" t="s">
        <v>691</v>
      </c>
      <c r="P99" s="32"/>
      <c r="Q99" s="33" t="s">
        <v>666</v>
      </c>
    </row>
    <row r="100" spans="1:17" ht="288">
      <c r="A100" s="15"/>
      <c r="B100" s="35"/>
      <c r="C100" s="31">
        <v>0.44583333333333502</v>
      </c>
      <c r="D100" s="30" t="s">
        <v>822</v>
      </c>
      <c r="E100" s="32"/>
      <c r="F100" s="15" t="s">
        <v>394</v>
      </c>
      <c r="G100" s="15" t="s">
        <v>343</v>
      </c>
      <c r="H100" s="32"/>
      <c r="I100" s="15" t="s">
        <v>298</v>
      </c>
      <c r="J100" s="42"/>
      <c r="K100" s="15">
        <v>15</v>
      </c>
      <c r="L100" s="42"/>
      <c r="M100" s="43"/>
      <c r="N100" s="32"/>
      <c r="O100" s="36" t="s">
        <v>520</v>
      </c>
      <c r="P100" s="32"/>
      <c r="Q100" s="33" t="s">
        <v>666</v>
      </c>
    </row>
    <row r="101" spans="1:17" ht="108">
      <c r="A101" s="15"/>
      <c r="B101" s="35"/>
      <c r="C101" s="31">
        <v>0.44791666666666669</v>
      </c>
      <c r="D101" s="30" t="s">
        <v>823</v>
      </c>
      <c r="E101" s="32"/>
      <c r="F101" s="34"/>
      <c r="G101" s="34"/>
      <c r="H101" s="32"/>
      <c r="I101" s="15"/>
      <c r="J101" s="42"/>
      <c r="K101" s="15">
        <v>5</v>
      </c>
      <c r="L101" s="42"/>
      <c r="M101" s="43" t="s">
        <v>521</v>
      </c>
      <c r="N101" s="32"/>
      <c r="O101" s="40" t="s">
        <v>522</v>
      </c>
      <c r="P101" s="32"/>
      <c r="Q101" s="33" t="s">
        <v>666</v>
      </c>
    </row>
    <row r="102" spans="1:17" ht="264">
      <c r="A102" s="15"/>
      <c r="B102" s="35"/>
      <c r="C102" s="31">
        <v>0.44791666666666669</v>
      </c>
      <c r="D102" s="30" t="s">
        <v>823</v>
      </c>
      <c r="E102" s="32"/>
      <c r="F102" s="34"/>
      <c r="G102" s="34"/>
      <c r="H102" s="32"/>
      <c r="I102" s="15"/>
      <c r="J102" s="42"/>
      <c r="K102" s="15">
        <v>5</v>
      </c>
      <c r="L102" s="42"/>
      <c r="M102" s="43" t="s">
        <v>523</v>
      </c>
      <c r="N102" s="32"/>
      <c r="O102" s="36" t="s">
        <v>524</v>
      </c>
      <c r="P102" s="32"/>
      <c r="Q102" s="33" t="s">
        <v>666</v>
      </c>
    </row>
    <row r="103" spans="1:17" ht="132">
      <c r="A103" s="15"/>
      <c r="B103" s="35"/>
      <c r="C103" s="31">
        <v>0.44791666666666669</v>
      </c>
      <c r="D103" s="30" t="s">
        <v>823</v>
      </c>
      <c r="E103" s="32"/>
      <c r="F103" s="15" t="s">
        <v>394</v>
      </c>
      <c r="G103" s="15" t="s">
        <v>395</v>
      </c>
      <c r="H103" s="32"/>
      <c r="I103" s="15" t="s">
        <v>248</v>
      </c>
      <c r="J103" s="42"/>
      <c r="K103" s="15">
        <v>10</v>
      </c>
      <c r="L103" s="42"/>
      <c r="M103" s="43" t="s">
        <v>692</v>
      </c>
      <c r="N103" s="32"/>
      <c r="O103" s="36" t="s">
        <v>693</v>
      </c>
      <c r="P103" s="32"/>
      <c r="Q103" s="33" t="s">
        <v>666</v>
      </c>
    </row>
    <row r="104" spans="1:17" ht="409.5">
      <c r="A104" s="15"/>
      <c r="B104" s="35"/>
      <c r="C104" s="31">
        <v>0.44791666666666802</v>
      </c>
      <c r="D104" s="30" t="s">
        <v>823</v>
      </c>
      <c r="E104" s="32"/>
      <c r="F104" s="15" t="s">
        <v>394</v>
      </c>
      <c r="G104" s="15" t="s">
        <v>395</v>
      </c>
      <c r="H104" s="32"/>
      <c r="I104" s="15" t="s">
        <v>248</v>
      </c>
      <c r="J104" s="42"/>
      <c r="K104" s="15">
        <v>10</v>
      </c>
      <c r="L104" s="42"/>
      <c r="M104" s="43"/>
      <c r="N104" s="32"/>
      <c r="O104" s="36" t="s">
        <v>525</v>
      </c>
      <c r="P104" s="32"/>
      <c r="Q104" s="33" t="s">
        <v>666</v>
      </c>
    </row>
    <row r="105" spans="1:17" ht="409.5">
      <c r="A105" s="15"/>
      <c r="B105" s="35"/>
      <c r="C105" s="31">
        <v>0.45000000000000201</v>
      </c>
      <c r="D105" s="30" t="s">
        <v>824</v>
      </c>
      <c r="E105" s="32"/>
      <c r="F105" s="15" t="s">
        <v>394</v>
      </c>
      <c r="G105" s="15" t="s">
        <v>395</v>
      </c>
      <c r="H105" s="32"/>
      <c r="I105" s="15" t="s">
        <v>293</v>
      </c>
      <c r="J105" s="42"/>
      <c r="K105" s="15">
        <v>8</v>
      </c>
      <c r="L105" s="42"/>
      <c r="M105" s="43" t="s">
        <v>526</v>
      </c>
      <c r="N105" s="32"/>
      <c r="O105" s="36" t="s">
        <v>510</v>
      </c>
      <c r="P105" s="32"/>
      <c r="Q105" s="33" t="s">
        <v>666</v>
      </c>
    </row>
    <row r="106" spans="1:17" ht="204">
      <c r="A106" s="15"/>
      <c r="B106" s="35"/>
      <c r="C106" s="31">
        <v>0.45138888888888901</v>
      </c>
      <c r="D106" s="30" t="s">
        <v>825</v>
      </c>
      <c r="E106" s="32"/>
      <c r="F106" s="15" t="s">
        <v>394</v>
      </c>
      <c r="G106" s="15" t="s">
        <v>336</v>
      </c>
      <c r="H106" s="32"/>
      <c r="I106" s="15" t="s">
        <v>454</v>
      </c>
      <c r="J106" s="42"/>
      <c r="K106" s="15" t="s">
        <v>694</v>
      </c>
      <c r="L106" s="42"/>
      <c r="M106" s="43" t="s">
        <v>695</v>
      </c>
      <c r="N106" s="32"/>
      <c r="O106" s="40" t="s">
        <v>696</v>
      </c>
      <c r="P106" s="32"/>
      <c r="Q106" s="33" t="s">
        <v>666</v>
      </c>
    </row>
    <row r="107" spans="1:17" ht="288">
      <c r="A107" s="15"/>
      <c r="B107" s="35"/>
      <c r="C107" s="31">
        <v>0.452083333333335</v>
      </c>
      <c r="D107" s="30" t="s">
        <v>826</v>
      </c>
      <c r="E107" s="32"/>
      <c r="F107" s="15" t="s">
        <v>394</v>
      </c>
      <c r="G107" s="15" t="s">
        <v>395</v>
      </c>
      <c r="H107" s="32"/>
      <c r="I107" s="15" t="s">
        <v>242</v>
      </c>
      <c r="J107" s="42"/>
      <c r="K107" s="15">
        <v>9</v>
      </c>
      <c r="L107" s="42"/>
      <c r="M107" s="43" t="s">
        <v>511</v>
      </c>
      <c r="N107" s="32"/>
      <c r="O107" s="36" t="s">
        <v>512</v>
      </c>
      <c r="P107" s="32"/>
      <c r="Q107" s="33" t="s">
        <v>666</v>
      </c>
    </row>
    <row r="108" spans="1:17" ht="180">
      <c r="A108" s="15"/>
      <c r="B108" s="35"/>
      <c r="C108" s="31">
        <v>0.454166666666668</v>
      </c>
      <c r="D108" s="30" t="s">
        <v>827</v>
      </c>
      <c r="E108" s="32"/>
      <c r="F108" s="15" t="s">
        <v>394</v>
      </c>
      <c r="G108" s="15" t="s">
        <v>309</v>
      </c>
      <c r="H108" s="32"/>
      <c r="I108" s="15" t="s">
        <v>348</v>
      </c>
      <c r="J108" s="40"/>
      <c r="K108" s="15">
        <v>8</v>
      </c>
      <c r="L108" s="42"/>
      <c r="M108" s="43"/>
      <c r="N108" s="32"/>
      <c r="O108" s="36" t="s">
        <v>513</v>
      </c>
      <c r="P108" s="32"/>
      <c r="Q108" s="33" t="s">
        <v>666</v>
      </c>
    </row>
    <row r="109" spans="1:17" ht="168">
      <c r="A109" s="15"/>
      <c r="B109" s="35"/>
      <c r="C109" s="31">
        <v>0.45486111111111099</v>
      </c>
      <c r="D109" s="30" t="s">
        <v>828</v>
      </c>
      <c r="E109" s="32"/>
      <c r="F109" s="15" t="s">
        <v>326</v>
      </c>
      <c r="G109" s="15" t="s">
        <v>395</v>
      </c>
      <c r="H109" s="32"/>
      <c r="I109" s="15" t="s">
        <v>697</v>
      </c>
      <c r="J109" s="42"/>
      <c r="K109" s="15" t="s">
        <v>698</v>
      </c>
      <c r="L109" s="42"/>
      <c r="M109" s="43"/>
      <c r="N109" s="32"/>
      <c r="O109" s="36" t="s">
        <v>699</v>
      </c>
      <c r="P109" s="32"/>
      <c r="Q109" s="33" t="s">
        <v>666</v>
      </c>
    </row>
    <row r="110" spans="1:17" ht="409.5">
      <c r="A110" s="15"/>
      <c r="B110" s="35"/>
      <c r="C110" s="31">
        <v>0.45625000000000199</v>
      </c>
      <c r="D110" s="30" t="s">
        <v>829</v>
      </c>
      <c r="E110" s="32"/>
      <c r="F110" s="15" t="s">
        <v>394</v>
      </c>
      <c r="G110" s="15" t="s">
        <v>303</v>
      </c>
      <c r="H110" s="32"/>
      <c r="I110" s="15" t="s">
        <v>304</v>
      </c>
      <c r="J110" s="42"/>
      <c r="K110" s="15">
        <v>2</v>
      </c>
      <c r="L110" s="42"/>
      <c r="M110" s="43"/>
      <c r="N110" s="32"/>
      <c r="O110" s="40" t="s">
        <v>514</v>
      </c>
      <c r="P110" s="32"/>
      <c r="Q110" s="33" t="s">
        <v>666</v>
      </c>
    </row>
    <row r="111" spans="1:17" ht="204">
      <c r="A111" s="15"/>
      <c r="B111" s="35"/>
      <c r="C111" s="31">
        <v>0.45833333333333298</v>
      </c>
      <c r="D111" s="30" t="s">
        <v>830</v>
      </c>
      <c r="E111" s="32"/>
      <c r="F111" s="15" t="s">
        <v>394</v>
      </c>
      <c r="G111" s="15" t="s">
        <v>303</v>
      </c>
      <c r="H111" s="32"/>
      <c r="I111" s="15" t="s">
        <v>304</v>
      </c>
      <c r="J111" s="42"/>
      <c r="K111" s="15">
        <v>2</v>
      </c>
      <c r="L111" s="42"/>
      <c r="M111" s="43"/>
      <c r="N111" s="32"/>
      <c r="O111" s="40" t="s">
        <v>700</v>
      </c>
      <c r="P111" s="32"/>
      <c r="Q111" s="33" t="s">
        <v>666</v>
      </c>
    </row>
    <row r="112" spans="1:17" ht="409.5">
      <c r="A112" s="15"/>
      <c r="B112" s="35"/>
      <c r="C112" s="31">
        <v>0.45833333333333331</v>
      </c>
      <c r="D112" s="30" t="s">
        <v>830</v>
      </c>
      <c r="E112" s="32"/>
      <c r="F112" s="34" t="s">
        <v>399</v>
      </c>
      <c r="G112" s="15" t="s">
        <v>400</v>
      </c>
      <c r="H112" s="32"/>
      <c r="I112" s="15"/>
      <c r="J112" s="42"/>
      <c r="K112" s="15" t="s">
        <v>401</v>
      </c>
      <c r="L112" s="42"/>
      <c r="M112" s="43"/>
      <c r="N112" s="32"/>
      <c r="O112" s="36" t="s">
        <v>357</v>
      </c>
      <c r="P112" s="32"/>
      <c r="Q112" s="33" t="s">
        <v>666</v>
      </c>
    </row>
    <row r="113" spans="1:17" ht="264">
      <c r="A113" s="15"/>
      <c r="B113" s="35"/>
      <c r="C113" s="31">
        <v>0.45833333333333331</v>
      </c>
      <c r="D113" s="30" t="s">
        <v>830</v>
      </c>
      <c r="E113" s="32"/>
      <c r="F113" s="15" t="s">
        <v>358</v>
      </c>
      <c r="G113" s="15" t="s">
        <v>400</v>
      </c>
      <c r="H113" s="32"/>
      <c r="I113" s="15" t="s">
        <v>359</v>
      </c>
      <c r="J113" s="42"/>
      <c r="K113" s="16" t="s">
        <v>423</v>
      </c>
      <c r="L113" s="42"/>
      <c r="M113" s="43"/>
      <c r="N113" s="32"/>
      <c r="O113" s="36" t="s">
        <v>360</v>
      </c>
      <c r="P113" s="32"/>
      <c r="Q113" s="33" t="s">
        <v>666</v>
      </c>
    </row>
    <row r="114" spans="1:17" ht="108">
      <c r="A114" s="15"/>
      <c r="B114" s="35"/>
      <c r="C114" s="31">
        <v>0.45833333333333331</v>
      </c>
      <c r="D114" s="30" t="s">
        <v>830</v>
      </c>
      <c r="E114" s="32"/>
      <c r="F114" s="34"/>
      <c r="G114" s="34"/>
      <c r="H114" s="32"/>
      <c r="I114" s="15"/>
      <c r="J114" s="42"/>
      <c r="K114" s="15">
        <v>5</v>
      </c>
      <c r="L114" s="42"/>
      <c r="M114" s="43"/>
      <c r="N114" s="32"/>
      <c r="O114" s="36" t="s">
        <v>361</v>
      </c>
      <c r="P114" s="32"/>
      <c r="Q114" s="33" t="s">
        <v>666</v>
      </c>
    </row>
    <row r="115" spans="1:17" ht="372">
      <c r="A115" s="15"/>
      <c r="B115" s="35"/>
      <c r="C115" s="31">
        <v>0.45833333333333331</v>
      </c>
      <c r="D115" s="30" t="s">
        <v>830</v>
      </c>
      <c r="E115" s="32"/>
      <c r="F115" s="34"/>
      <c r="G115" s="34"/>
      <c r="H115" s="32"/>
      <c r="I115" s="15"/>
      <c r="J115" s="42"/>
      <c r="K115" s="15">
        <v>5</v>
      </c>
      <c r="L115" s="42"/>
      <c r="M115" s="43"/>
      <c r="N115" s="32"/>
      <c r="O115" s="36" t="s">
        <v>362</v>
      </c>
      <c r="P115" s="32"/>
      <c r="Q115" s="33" t="s">
        <v>666</v>
      </c>
    </row>
    <row r="116" spans="1:17" ht="409.5">
      <c r="A116" s="15"/>
      <c r="B116" s="35"/>
      <c r="C116" s="31">
        <v>0.45833333333333331</v>
      </c>
      <c r="D116" s="30" t="s">
        <v>830</v>
      </c>
      <c r="E116" s="32"/>
      <c r="F116" s="34"/>
      <c r="G116" s="34"/>
      <c r="H116" s="32"/>
      <c r="I116" s="15"/>
      <c r="J116" s="42"/>
      <c r="K116" s="15">
        <v>2</v>
      </c>
      <c r="L116" s="42"/>
      <c r="M116" s="43"/>
      <c r="N116" s="32"/>
      <c r="O116" s="36" t="s">
        <v>737</v>
      </c>
      <c r="P116" s="32"/>
      <c r="Q116" s="33" t="s">
        <v>666</v>
      </c>
    </row>
    <row r="117" spans="1:17" ht="132">
      <c r="A117" s="15"/>
      <c r="B117" s="35"/>
      <c r="C117" s="31">
        <v>0.45833333333333331</v>
      </c>
      <c r="D117" s="30" t="s">
        <v>830</v>
      </c>
      <c r="E117" s="32"/>
      <c r="F117" s="34"/>
      <c r="G117" s="34"/>
      <c r="H117" s="32"/>
      <c r="I117" s="15"/>
      <c r="J117" s="42"/>
      <c r="K117" s="15">
        <v>5</v>
      </c>
      <c r="L117" s="42"/>
      <c r="M117" s="43"/>
      <c r="N117" s="32"/>
      <c r="O117" s="36" t="s">
        <v>738</v>
      </c>
      <c r="P117" s="32"/>
      <c r="Q117" s="33" t="s">
        <v>666</v>
      </c>
    </row>
    <row r="118" spans="1:17" ht="72">
      <c r="A118" s="15"/>
      <c r="B118" s="35"/>
      <c r="C118" s="31">
        <v>0.45833333333333331</v>
      </c>
      <c r="D118" s="30" t="s">
        <v>830</v>
      </c>
      <c r="E118" s="32"/>
      <c r="F118" s="34"/>
      <c r="G118" s="34"/>
      <c r="H118" s="32"/>
      <c r="I118" s="15"/>
      <c r="J118" s="42"/>
      <c r="K118" s="15">
        <v>5</v>
      </c>
      <c r="L118" s="42"/>
      <c r="M118" s="43" t="s">
        <v>739</v>
      </c>
      <c r="N118" s="32"/>
      <c r="O118" s="36" t="s">
        <v>740</v>
      </c>
      <c r="P118" s="32"/>
      <c r="Q118" s="33" t="s">
        <v>666</v>
      </c>
    </row>
    <row r="119" spans="1:17" ht="192">
      <c r="A119" s="15"/>
      <c r="B119" s="35"/>
      <c r="C119" s="31">
        <v>0.45833333333333331</v>
      </c>
      <c r="D119" s="30" t="s">
        <v>830</v>
      </c>
      <c r="E119" s="32"/>
      <c r="F119" s="34"/>
      <c r="G119" s="34"/>
      <c r="H119" s="32"/>
      <c r="I119" s="15"/>
      <c r="J119" s="42"/>
      <c r="K119" s="15" t="s">
        <v>401</v>
      </c>
      <c r="L119" s="42"/>
      <c r="M119" s="43"/>
      <c r="N119" s="32"/>
      <c r="O119" s="40" t="s">
        <v>342</v>
      </c>
      <c r="P119" s="32"/>
      <c r="Q119" s="33" t="s">
        <v>666</v>
      </c>
    </row>
    <row r="120" spans="1:17" ht="409.5">
      <c r="A120" s="15"/>
      <c r="B120" s="35"/>
      <c r="C120" s="31">
        <v>0.45833333333333331</v>
      </c>
      <c r="D120" s="30" t="s">
        <v>830</v>
      </c>
      <c r="E120" s="32"/>
      <c r="F120" s="15" t="s">
        <v>394</v>
      </c>
      <c r="G120" s="15" t="s">
        <v>343</v>
      </c>
      <c r="H120" s="32"/>
      <c r="I120" s="15" t="s">
        <v>344</v>
      </c>
      <c r="J120" s="42"/>
      <c r="K120" s="15">
        <v>15</v>
      </c>
      <c r="L120" s="42"/>
      <c r="M120" s="43" t="s">
        <v>345</v>
      </c>
      <c r="N120" s="32"/>
      <c r="O120" s="36" t="s">
        <v>346</v>
      </c>
      <c r="P120" s="32"/>
      <c r="Q120" s="33" t="s">
        <v>666</v>
      </c>
    </row>
    <row r="121" spans="1:17" ht="409.5">
      <c r="A121" s="15"/>
      <c r="B121" s="35"/>
      <c r="C121" s="31">
        <v>0.45833333333333331</v>
      </c>
      <c r="D121" s="30" t="s">
        <v>830</v>
      </c>
      <c r="E121" s="32"/>
      <c r="F121" s="15" t="s">
        <v>394</v>
      </c>
      <c r="G121" s="15" t="s">
        <v>347</v>
      </c>
      <c r="H121" s="32"/>
      <c r="I121" s="15" t="s">
        <v>348</v>
      </c>
      <c r="J121" s="42"/>
      <c r="K121" s="15">
        <v>15</v>
      </c>
      <c r="L121" s="42"/>
      <c r="M121" s="43"/>
      <c r="N121" s="32"/>
      <c r="O121" s="36" t="s">
        <v>349</v>
      </c>
      <c r="P121" s="32"/>
      <c r="Q121" s="33" t="s">
        <v>666</v>
      </c>
    </row>
    <row r="122" spans="1:17" ht="288">
      <c r="A122" s="15"/>
      <c r="B122" s="35"/>
      <c r="C122" s="31">
        <v>0.45833333333333498</v>
      </c>
      <c r="D122" s="30" t="s">
        <v>830</v>
      </c>
      <c r="E122" s="32"/>
      <c r="F122" s="15" t="s">
        <v>394</v>
      </c>
      <c r="G122" s="15" t="s">
        <v>303</v>
      </c>
      <c r="H122" s="32"/>
      <c r="I122" s="15" t="s">
        <v>223</v>
      </c>
      <c r="J122" s="42"/>
      <c r="K122" s="15">
        <v>12</v>
      </c>
      <c r="L122" s="42"/>
      <c r="M122" s="43" t="s">
        <v>533</v>
      </c>
      <c r="N122" s="32"/>
      <c r="O122" s="36" t="s">
        <v>515</v>
      </c>
      <c r="P122" s="32"/>
      <c r="Q122" s="33" t="s">
        <v>666</v>
      </c>
    </row>
    <row r="123" spans="1:17" ht="336">
      <c r="A123" s="15"/>
      <c r="B123" s="35"/>
      <c r="C123" s="31">
        <v>0.46041666666666903</v>
      </c>
      <c r="D123" s="30" t="s">
        <v>831</v>
      </c>
      <c r="E123" s="32"/>
      <c r="F123" s="15" t="s">
        <v>394</v>
      </c>
      <c r="G123" s="15" t="s">
        <v>516</v>
      </c>
      <c r="H123" s="32"/>
      <c r="I123" s="15" t="s">
        <v>296</v>
      </c>
      <c r="J123" s="42"/>
      <c r="K123" s="15">
        <v>3</v>
      </c>
      <c r="L123" s="42"/>
      <c r="M123" s="43" t="s">
        <v>517</v>
      </c>
      <c r="N123" s="32"/>
      <c r="O123" s="40" t="s">
        <v>518</v>
      </c>
      <c r="P123" s="32"/>
      <c r="Q123" s="33" t="s">
        <v>666</v>
      </c>
    </row>
    <row r="124" spans="1:17" ht="204">
      <c r="A124" s="15"/>
      <c r="B124" s="35"/>
      <c r="C124" s="31">
        <v>0.46180555555555503</v>
      </c>
      <c r="D124" s="30" t="s">
        <v>832</v>
      </c>
      <c r="E124" s="32"/>
      <c r="F124" s="15" t="s">
        <v>394</v>
      </c>
      <c r="G124" s="15" t="s">
        <v>309</v>
      </c>
      <c r="H124" s="32"/>
      <c r="I124" s="15" t="s">
        <v>248</v>
      </c>
      <c r="J124" s="42"/>
      <c r="K124" s="15">
        <v>10</v>
      </c>
      <c r="L124" s="42"/>
      <c r="M124" s="43"/>
      <c r="N124" s="32"/>
      <c r="O124" s="36" t="s">
        <v>660</v>
      </c>
      <c r="P124" s="32"/>
      <c r="Q124" s="33" t="s">
        <v>666</v>
      </c>
    </row>
    <row r="125" spans="1:17" ht="276">
      <c r="A125" s="15"/>
      <c r="B125" s="35"/>
      <c r="C125" s="31">
        <v>0.46250000000000202</v>
      </c>
      <c r="D125" s="30" t="s">
        <v>833</v>
      </c>
      <c r="E125" s="32"/>
      <c r="F125" s="15" t="s">
        <v>394</v>
      </c>
      <c r="G125" s="15" t="s">
        <v>309</v>
      </c>
      <c r="H125" s="32"/>
      <c r="I125" s="15" t="s">
        <v>248</v>
      </c>
      <c r="J125" s="42"/>
      <c r="K125" s="15">
        <v>10</v>
      </c>
      <c r="L125" s="42"/>
      <c r="M125" s="43" t="s">
        <v>519</v>
      </c>
      <c r="N125" s="32"/>
      <c r="O125" s="36" t="s">
        <v>500</v>
      </c>
      <c r="P125" s="32"/>
      <c r="Q125" s="33" t="s">
        <v>666</v>
      </c>
    </row>
    <row r="126" spans="1:17" ht="409.5">
      <c r="A126" s="15"/>
      <c r="B126" s="35"/>
      <c r="C126" s="31">
        <v>0.46458333333333501</v>
      </c>
      <c r="D126" s="30" t="s">
        <v>834</v>
      </c>
      <c r="E126" s="32"/>
      <c r="F126" s="15" t="s">
        <v>394</v>
      </c>
      <c r="G126" s="15" t="s">
        <v>395</v>
      </c>
      <c r="H126" s="32"/>
      <c r="I126" s="15" t="s">
        <v>177</v>
      </c>
      <c r="J126" s="40"/>
      <c r="K126" s="15">
        <v>15</v>
      </c>
      <c r="L126" s="42"/>
      <c r="M126" s="43" t="s">
        <v>501</v>
      </c>
      <c r="N126" s="32"/>
      <c r="O126" s="36" t="s">
        <v>502</v>
      </c>
      <c r="P126" s="32"/>
      <c r="Q126" s="33" t="s">
        <v>666</v>
      </c>
    </row>
    <row r="127" spans="1:17" ht="409.5">
      <c r="A127" s="15"/>
      <c r="B127" s="35"/>
      <c r="C127" s="31">
        <v>0.46527777777777773</v>
      </c>
      <c r="D127" s="30" t="s">
        <v>835</v>
      </c>
      <c r="E127" s="32"/>
      <c r="F127" s="15" t="s">
        <v>394</v>
      </c>
      <c r="G127" s="15" t="s">
        <v>343</v>
      </c>
      <c r="H127" s="32"/>
      <c r="I127" s="15" t="s">
        <v>350</v>
      </c>
      <c r="J127" s="42"/>
      <c r="K127" s="15" t="s">
        <v>351</v>
      </c>
      <c r="L127" s="42"/>
      <c r="M127" s="43" t="s">
        <v>352</v>
      </c>
      <c r="N127" s="32"/>
      <c r="O127" s="36" t="s">
        <v>325</v>
      </c>
      <c r="P127" s="32"/>
      <c r="Q127" s="33" t="s">
        <v>666</v>
      </c>
    </row>
    <row r="128" spans="1:17" ht="312">
      <c r="A128" s="15"/>
      <c r="B128" s="35"/>
      <c r="C128" s="31">
        <v>0.46527777777777773</v>
      </c>
      <c r="D128" s="30" t="s">
        <v>835</v>
      </c>
      <c r="E128" s="32"/>
      <c r="F128" s="15" t="s">
        <v>394</v>
      </c>
      <c r="G128" s="15" t="s">
        <v>395</v>
      </c>
      <c r="H128" s="32"/>
      <c r="I128" s="15" t="s">
        <v>350</v>
      </c>
      <c r="J128" s="42"/>
      <c r="K128" s="15">
        <v>1</v>
      </c>
      <c r="L128" s="42"/>
      <c r="M128" s="43" t="s">
        <v>661</v>
      </c>
      <c r="N128" s="32"/>
      <c r="O128" s="36" t="s">
        <v>662</v>
      </c>
      <c r="P128" s="32"/>
      <c r="Q128" s="33" t="s">
        <v>666</v>
      </c>
    </row>
    <row r="129" spans="1:17" ht="336">
      <c r="A129" s="15"/>
      <c r="B129" s="35"/>
      <c r="C129" s="31">
        <v>0.46666666666666901</v>
      </c>
      <c r="D129" s="30" t="s">
        <v>836</v>
      </c>
      <c r="E129" s="32"/>
      <c r="F129" s="15" t="s">
        <v>394</v>
      </c>
      <c r="G129" s="15" t="s">
        <v>503</v>
      </c>
      <c r="H129" s="32"/>
      <c r="I129" s="15" t="s">
        <v>350</v>
      </c>
      <c r="J129" s="42"/>
      <c r="K129" s="15">
        <v>7</v>
      </c>
      <c r="L129" s="42"/>
      <c r="M129" s="43" t="s">
        <v>550</v>
      </c>
      <c r="N129" s="32"/>
      <c r="O129" s="36" t="s">
        <v>504</v>
      </c>
      <c r="P129" s="32"/>
      <c r="Q129" s="33" t="s">
        <v>666</v>
      </c>
    </row>
    <row r="130" spans="1:17" ht="409.5">
      <c r="A130" s="15"/>
      <c r="B130" s="35"/>
      <c r="C130" s="31">
        <v>0.468750000000002</v>
      </c>
      <c r="D130" s="30" t="s">
        <v>837</v>
      </c>
      <c r="E130" s="32"/>
      <c r="F130" s="15" t="s">
        <v>326</v>
      </c>
      <c r="G130" s="15" t="s">
        <v>395</v>
      </c>
      <c r="H130" s="32"/>
      <c r="I130" s="15" t="s">
        <v>350</v>
      </c>
      <c r="J130" s="42"/>
      <c r="K130" s="15">
        <v>1</v>
      </c>
      <c r="L130" s="42"/>
      <c r="M130" s="43" t="s">
        <v>511</v>
      </c>
      <c r="N130" s="32"/>
      <c r="O130" s="36" t="s">
        <v>505</v>
      </c>
      <c r="P130" s="32"/>
      <c r="Q130" s="33" t="s">
        <v>666</v>
      </c>
    </row>
    <row r="131" spans="1:17" ht="372">
      <c r="A131" s="15"/>
      <c r="B131" s="35"/>
      <c r="C131" s="31">
        <v>0.47083333333333499</v>
      </c>
      <c r="D131" s="30" t="s">
        <v>838</v>
      </c>
      <c r="E131" s="32"/>
      <c r="F131" s="15" t="s">
        <v>394</v>
      </c>
      <c r="G131" s="15" t="s">
        <v>395</v>
      </c>
      <c r="H131" s="32"/>
      <c r="I131" s="15" t="s">
        <v>293</v>
      </c>
      <c r="J131" s="42"/>
      <c r="K131" s="15">
        <v>8</v>
      </c>
      <c r="L131" s="42"/>
      <c r="M131" s="43"/>
      <c r="N131" s="32"/>
      <c r="O131" s="36" t="s">
        <v>506</v>
      </c>
      <c r="P131" s="32"/>
      <c r="Q131" s="33" t="s">
        <v>666</v>
      </c>
    </row>
    <row r="132" spans="1:17" ht="288">
      <c r="A132" s="15"/>
      <c r="B132" s="35"/>
      <c r="C132" s="31">
        <v>0.47222222222222227</v>
      </c>
      <c r="D132" s="30" t="s">
        <v>839</v>
      </c>
      <c r="E132" s="32"/>
      <c r="F132" s="15" t="s">
        <v>326</v>
      </c>
      <c r="G132" s="15" t="s">
        <v>327</v>
      </c>
      <c r="H132" s="32"/>
      <c r="I132" s="15" t="s">
        <v>328</v>
      </c>
      <c r="J132" s="42"/>
      <c r="K132" s="15">
        <v>6</v>
      </c>
      <c r="L132" s="42"/>
      <c r="M132" s="43" t="s">
        <v>329</v>
      </c>
      <c r="N132" s="32"/>
      <c r="O132" s="40" t="s">
        <v>330</v>
      </c>
      <c r="P132" s="32"/>
      <c r="Q132" s="33" t="s">
        <v>666</v>
      </c>
    </row>
    <row r="133" spans="1:17" ht="276">
      <c r="A133" s="15"/>
      <c r="B133" s="35"/>
      <c r="C133" s="31">
        <v>0.47291666666666898</v>
      </c>
      <c r="D133" s="30" t="s">
        <v>840</v>
      </c>
      <c r="E133" s="32"/>
      <c r="F133" s="15" t="s">
        <v>394</v>
      </c>
      <c r="G133" s="15" t="s">
        <v>527</v>
      </c>
      <c r="H133" s="32"/>
      <c r="I133" s="15" t="s">
        <v>298</v>
      </c>
      <c r="J133" s="42"/>
      <c r="K133" s="15">
        <v>15</v>
      </c>
      <c r="L133" s="42"/>
      <c r="M133" s="43" t="s">
        <v>209</v>
      </c>
      <c r="N133" s="32"/>
      <c r="O133" s="36" t="s">
        <v>507</v>
      </c>
      <c r="P133" s="32"/>
      <c r="Q133" s="33" t="s">
        <v>666</v>
      </c>
    </row>
    <row r="134" spans="1:17" ht="156">
      <c r="A134" s="15"/>
      <c r="B134" s="35"/>
      <c r="C134" s="31">
        <v>0.47500000000000198</v>
      </c>
      <c r="D134" s="30" t="s">
        <v>841</v>
      </c>
      <c r="E134" s="32"/>
      <c r="F134" s="15" t="s">
        <v>394</v>
      </c>
      <c r="G134" s="15" t="s">
        <v>395</v>
      </c>
      <c r="H134" s="32"/>
      <c r="I134" s="15" t="s">
        <v>242</v>
      </c>
      <c r="J134" s="42"/>
      <c r="K134" s="15">
        <v>9</v>
      </c>
      <c r="L134" s="42"/>
      <c r="M134" s="43"/>
      <c r="N134" s="32"/>
      <c r="O134" s="40" t="s">
        <v>508</v>
      </c>
      <c r="P134" s="32"/>
      <c r="Q134" s="33" t="s">
        <v>666</v>
      </c>
    </row>
    <row r="135" spans="1:17" ht="132">
      <c r="A135" s="15"/>
      <c r="B135" s="35"/>
      <c r="C135" s="31">
        <v>0.47708333333333602</v>
      </c>
      <c r="D135" s="30" t="s">
        <v>842</v>
      </c>
      <c r="E135" s="32"/>
      <c r="F135" s="15" t="s">
        <v>394</v>
      </c>
      <c r="G135" s="15" t="s">
        <v>527</v>
      </c>
      <c r="H135" s="32"/>
      <c r="I135" s="15" t="s">
        <v>344</v>
      </c>
      <c r="J135" s="42"/>
      <c r="K135" s="15">
        <v>15</v>
      </c>
      <c r="L135" s="42"/>
      <c r="M135" s="43"/>
      <c r="N135" s="32"/>
      <c r="O135" s="40" t="s">
        <v>509</v>
      </c>
      <c r="P135" s="32"/>
      <c r="Q135" s="33" t="s">
        <v>666</v>
      </c>
    </row>
    <row r="136" spans="1:17" ht="156">
      <c r="A136" s="15"/>
      <c r="B136" s="35"/>
      <c r="C136" s="31">
        <v>0.47916666666666669</v>
      </c>
      <c r="D136" s="30" t="s">
        <v>843</v>
      </c>
      <c r="E136" s="32"/>
      <c r="F136" s="34"/>
      <c r="G136" s="34"/>
      <c r="H136" s="32"/>
      <c r="I136" s="15"/>
      <c r="J136" s="42"/>
      <c r="K136" s="15">
        <v>5</v>
      </c>
      <c r="L136" s="42"/>
      <c r="M136" s="43"/>
      <c r="N136" s="32"/>
      <c r="O136" s="40" t="s">
        <v>331</v>
      </c>
      <c r="P136" s="32"/>
      <c r="Q136" s="33" t="s">
        <v>666</v>
      </c>
    </row>
    <row r="137" spans="1:17" ht="168">
      <c r="A137" s="15"/>
      <c r="B137" s="35"/>
      <c r="C137" s="31">
        <v>0.47916666666666669</v>
      </c>
      <c r="D137" s="30" t="s">
        <v>843</v>
      </c>
      <c r="E137" s="32"/>
      <c r="F137" s="34"/>
      <c r="G137" s="34"/>
      <c r="H137" s="32"/>
      <c r="I137" s="15"/>
      <c r="J137" s="42"/>
      <c r="K137" s="15">
        <v>5</v>
      </c>
      <c r="L137" s="42"/>
      <c r="M137" s="43"/>
      <c r="N137" s="32"/>
      <c r="O137" s="40" t="s">
        <v>332</v>
      </c>
      <c r="P137" s="32"/>
      <c r="Q137" s="33" t="s">
        <v>666</v>
      </c>
    </row>
    <row r="138" spans="1:17" ht="372">
      <c r="A138" s="15"/>
      <c r="B138" s="35"/>
      <c r="C138" s="31">
        <v>0.47916666666666669</v>
      </c>
      <c r="D138" s="30" t="s">
        <v>843</v>
      </c>
      <c r="E138" s="32"/>
      <c r="F138" s="15" t="s">
        <v>394</v>
      </c>
      <c r="G138" s="15" t="s">
        <v>395</v>
      </c>
      <c r="H138" s="32"/>
      <c r="I138" s="15" t="s">
        <v>333</v>
      </c>
      <c r="J138" s="42"/>
      <c r="K138" s="15">
        <v>5</v>
      </c>
      <c r="L138" s="42"/>
      <c r="M138" s="43" t="s">
        <v>334</v>
      </c>
      <c r="N138" s="32"/>
      <c r="O138" s="40" t="s">
        <v>335</v>
      </c>
      <c r="P138" s="32"/>
      <c r="Q138" s="33" t="s">
        <v>666</v>
      </c>
    </row>
    <row r="139" spans="1:17" ht="409.5">
      <c r="A139" s="15"/>
      <c r="B139" s="35"/>
      <c r="C139" s="31">
        <v>0.47916666666666902</v>
      </c>
      <c r="D139" s="30" t="s">
        <v>843</v>
      </c>
      <c r="E139" s="32"/>
      <c r="F139" s="15" t="s">
        <v>394</v>
      </c>
      <c r="G139" s="15" t="s">
        <v>395</v>
      </c>
      <c r="H139" s="32"/>
      <c r="I139" s="15" t="s">
        <v>350</v>
      </c>
      <c r="J139" s="42"/>
      <c r="K139" s="15">
        <v>1</v>
      </c>
      <c r="L139" s="42"/>
      <c r="M139" s="43"/>
      <c r="N139" s="32"/>
      <c r="O139" s="36" t="s">
        <v>495</v>
      </c>
      <c r="P139" s="32"/>
      <c r="Q139" s="33" t="s">
        <v>666</v>
      </c>
    </row>
    <row r="140" spans="1:17" ht="409.5">
      <c r="A140" s="15"/>
      <c r="B140" s="35"/>
      <c r="C140" s="31">
        <v>0.48125000000000201</v>
      </c>
      <c r="D140" s="30" t="s">
        <v>844</v>
      </c>
      <c r="E140" s="32"/>
      <c r="F140" s="15" t="s">
        <v>394</v>
      </c>
      <c r="G140" s="15" t="s">
        <v>309</v>
      </c>
      <c r="H140" s="32"/>
      <c r="I140" s="15" t="s">
        <v>177</v>
      </c>
      <c r="J140" s="40"/>
      <c r="K140" s="15">
        <v>13</v>
      </c>
      <c r="L140" s="42"/>
      <c r="M140" s="43" t="s">
        <v>496</v>
      </c>
      <c r="N140" s="32"/>
      <c r="O140" s="36" t="s">
        <v>497</v>
      </c>
      <c r="P140" s="32"/>
      <c r="Q140" s="33" t="s">
        <v>666</v>
      </c>
    </row>
    <row r="141" spans="1:17" ht="216">
      <c r="A141" s="15"/>
      <c r="B141" s="35"/>
      <c r="C141" s="31">
        <v>0.4826388888888889</v>
      </c>
      <c r="D141" s="30" t="s">
        <v>845</v>
      </c>
      <c r="E141" s="32"/>
      <c r="F141" s="15" t="s">
        <v>394</v>
      </c>
      <c r="G141" s="15" t="s">
        <v>336</v>
      </c>
      <c r="H141" s="32"/>
      <c r="I141" s="15" t="s">
        <v>333</v>
      </c>
      <c r="J141" s="42"/>
      <c r="K141" s="15">
        <v>5</v>
      </c>
      <c r="L141" s="42"/>
      <c r="M141" s="43"/>
      <c r="N141" s="32"/>
      <c r="O141" s="36" t="s">
        <v>337</v>
      </c>
      <c r="P141" s="32"/>
      <c r="Q141" s="33" t="s">
        <v>666</v>
      </c>
    </row>
    <row r="142" spans="1:17" ht="409.5">
      <c r="A142" s="15"/>
      <c r="B142" s="35"/>
      <c r="C142" s="31">
        <v>0.483333333333336</v>
      </c>
      <c r="D142" s="30" t="s">
        <v>846</v>
      </c>
      <c r="E142" s="32"/>
      <c r="F142" s="15" t="s">
        <v>394</v>
      </c>
      <c r="G142" s="15" t="s">
        <v>309</v>
      </c>
      <c r="H142" s="32"/>
      <c r="I142" s="15"/>
      <c r="J142" s="42"/>
      <c r="K142" s="15" t="s">
        <v>498</v>
      </c>
      <c r="L142" s="42"/>
      <c r="M142" s="43"/>
      <c r="N142" s="32"/>
      <c r="O142" s="36" t="s">
        <v>499</v>
      </c>
      <c r="P142" s="32"/>
      <c r="Q142" s="33" t="s">
        <v>666</v>
      </c>
    </row>
    <row r="143" spans="1:17" ht="409.5">
      <c r="A143" s="15"/>
      <c r="B143" s="35"/>
      <c r="C143" s="31">
        <v>0.48541666666666899</v>
      </c>
      <c r="D143" s="30" t="s">
        <v>847</v>
      </c>
      <c r="E143" s="32"/>
      <c r="F143" s="15" t="s">
        <v>394</v>
      </c>
      <c r="G143" s="15" t="s">
        <v>320</v>
      </c>
      <c r="H143" s="32"/>
      <c r="I143" s="15" t="s">
        <v>328</v>
      </c>
      <c r="J143" s="42"/>
      <c r="K143" s="15">
        <v>6</v>
      </c>
      <c r="L143" s="42"/>
      <c r="M143" s="43"/>
      <c r="N143" s="32"/>
      <c r="O143" s="36" t="s">
        <v>485</v>
      </c>
      <c r="P143" s="32"/>
      <c r="Q143" s="33" t="s">
        <v>666</v>
      </c>
    </row>
    <row r="144" spans="1:17" ht="409.5">
      <c r="A144" s="15"/>
      <c r="B144" s="35"/>
      <c r="C144" s="31">
        <v>0.48750000000000299</v>
      </c>
      <c r="D144" s="30" t="s">
        <v>848</v>
      </c>
      <c r="E144" s="32"/>
      <c r="F144" s="15" t="s">
        <v>394</v>
      </c>
      <c r="G144" s="15" t="s">
        <v>486</v>
      </c>
      <c r="H144" s="32"/>
      <c r="I144" s="15" t="s">
        <v>315</v>
      </c>
      <c r="J144" s="42"/>
      <c r="K144" s="15">
        <v>7</v>
      </c>
      <c r="L144" s="42"/>
      <c r="M144" s="44" t="s">
        <v>487</v>
      </c>
      <c r="N144" s="32"/>
      <c r="O144" s="36" t="s">
        <v>488</v>
      </c>
      <c r="P144" s="32"/>
      <c r="Q144" s="33" t="s">
        <v>666</v>
      </c>
    </row>
    <row r="145" spans="1:17" ht="384">
      <c r="A145" s="15"/>
      <c r="B145" s="35"/>
      <c r="C145" s="31">
        <v>0.48958333333333598</v>
      </c>
      <c r="D145" s="30" t="s">
        <v>849</v>
      </c>
      <c r="E145" s="32"/>
      <c r="F145" s="15" t="s">
        <v>394</v>
      </c>
      <c r="G145" s="15" t="s">
        <v>309</v>
      </c>
      <c r="H145" s="32"/>
      <c r="I145" s="15" t="s">
        <v>328</v>
      </c>
      <c r="J145" s="42"/>
      <c r="K145" s="15">
        <v>13</v>
      </c>
      <c r="L145" s="42"/>
      <c r="M145" s="43" t="s">
        <v>489</v>
      </c>
      <c r="N145" s="32"/>
      <c r="O145" s="40" t="s">
        <v>490</v>
      </c>
      <c r="P145" s="32"/>
      <c r="Q145" s="33" t="s">
        <v>666</v>
      </c>
    </row>
    <row r="146" spans="1:17" ht="204">
      <c r="A146" s="15"/>
      <c r="B146" s="35"/>
      <c r="C146" s="31">
        <v>0.49166666666666903</v>
      </c>
      <c r="D146" s="30" t="s">
        <v>850</v>
      </c>
      <c r="E146" s="32"/>
      <c r="F146" s="15" t="s">
        <v>394</v>
      </c>
      <c r="G146" s="15" t="s">
        <v>336</v>
      </c>
      <c r="H146" s="32"/>
      <c r="I146" s="15" t="s">
        <v>177</v>
      </c>
      <c r="J146" s="40"/>
      <c r="K146" s="15">
        <v>13</v>
      </c>
      <c r="L146" s="42"/>
      <c r="M146" s="43" t="s">
        <v>491</v>
      </c>
      <c r="N146" s="32"/>
      <c r="O146" s="36" t="s">
        <v>492</v>
      </c>
      <c r="P146" s="32"/>
      <c r="Q146" s="33" t="s">
        <v>666</v>
      </c>
    </row>
    <row r="147" spans="1:17" ht="288">
      <c r="A147" s="15"/>
      <c r="B147" s="35"/>
      <c r="C147" s="31">
        <v>0.49375000000000302</v>
      </c>
      <c r="D147" s="30" t="s">
        <v>851</v>
      </c>
      <c r="E147" s="32"/>
      <c r="F147" s="15" t="s">
        <v>394</v>
      </c>
      <c r="G147" s="15" t="s">
        <v>493</v>
      </c>
      <c r="H147" s="32"/>
      <c r="I147" s="15" t="s">
        <v>177</v>
      </c>
      <c r="J147" s="40"/>
      <c r="K147" s="15">
        <v>8</v>
      </c>
      <c r="L147" s="42"/>
      <c r="M147" s="43" t="s">
        <v>494</v>
      </c>
      <c r="N147" s="32"/>
      <c r="O147" s="36" t="s">
        <v>479</v>
      </c>
      <c r="P147" s="32"/>
      <c r="Q147" s="33" t="s">
        <v>666</v>
      </c>
    </row>
    <row r="148" spans="1:17" ht="409.5">
      <c r="A148" s="15"/>
      <c r="B148" s="35"/>
      <c r="C148" s="31">
        <v>0.49583333333333601</v>
      </c>
      <c r="D148" s="30" t="s">
        <v>852</v>
      </c>
      <c r="E148" s="32"/>
      <c r="F148" s="15" t="s">
        <v>394</v>
      </c>
      <c r="G148" s="15" t="s">
        <v>395</v>
      </c>
      <c r="H148" s="32"/>
      <c r="I148" s="15" t="s">
        <v>248</v>
      </c>
      <c r="J148" s="42"/>
      <c r="K148" s="15">
        <v>10</v>
      </c>
      <c r="L148" s="42"/>
      <c r="M148" s="43"/>
      <c r="N148" s="32"/>
      <c r="O148" s="36" t="s">
        <v>480</v>
      </c>
      <c r="P148" s="32"/>
      <c r="Q148" s="33" t="s">
        <v>666</v>
      </c>
    </row>
    <row r="149" spans="1:17" ht="264">
      <c r="A149" s="15"/>
      <c r="B149" s="35"/>
      <c r="C149" s="31">
        <v>0.49791666666667</v>
      </c>
      <c r="D149" s="30" t="s">
        <v>853</v>
      </c>
      <c r="E149" s="32"/>
      <c r="F149" s="15" t="s">
        <v>326</v>
      </c>
      <c r="G149" s="15" t="s">
        <v>395</v>
      </c>
      <c r="H149" s="32"/>
      <c r="I149" s="15" t="s">
        <v>350</v>
      </c>
      <c r="J149" s="42"/>
      <c r="K149" s="15">
        <v>1</v>
      </c>
      <c r="L149" s="42"/>
      <c r="M149" s="43" t="s">
        <v>511</v>
      </c>
      <c r="N149" s="32"/>
      <c r="O149" s="36" t="s">
        <v>481</v>
      </c>
      <c r="P149" s="32"/>
      <c r="Q149" s="33" t="s">
        <v>666</v>
      </c>
    </row>
    <row r="150" spans="1:17" ht="228">
      <c r="A150" s="15"/>
      <c r="B150" s="35"/>
      <c r="C150" s="31">
        <v>0.5</v>
      </c>
      <c r="D150" s="30" t="s">
        <v>854</v>
      </c>
      <c r="E150" s="32"/>
      <c r="F150" s="34"/>
      <c r="G150" s="34"/>
      <c r="H150" s="32"/>
      <c r="I150" s="15"/>
      <c r="J150" s="42"/>
      <c r="K150" s="15">
        <v>2</v>
      </c>
      <c r="L150" s="42"/>
      <c r="M150" s="43" t="s">
        <v>338</v>
      </c>
      <c r="N150" s="32"/>
      <c r="O150" s="40" t="s">
        <v>339</v>
      </c>
      <c r="P150" s="32"/>
      <c r="Q150" s="33" t="s">
        <v>666</v>
      </c>
    </row>
    <row r="151" spans="1:17" ht="204">
      <c r="A151" s="15"/>
      <c r="B151" s="35"/>
      <c r="C151" s="31">
        <v>0.5</v>
      </c>
      <c r="D151" s="30" t="s">
        <v>854</v>
      </c>
      <c r="E151" s="32"/>
      <c r="F151" s="34"/>
      <c r="G151" s="34"/>
      <c r="H151" s="32"/>
      <c r="I151" s="15"/>
      <c r="J151" s="42"/>
      <c r="K151" s="15">
        <v>5</v>
      </c>
      <c r="L151" s="42"/>
      <c r="M151" s="43"/>
      <c r="N151" s="32"/>
      <c r="O151" s="36" t="s">
        <v>340</v>
      </c>
      <c r="P151" s="32"/>
      <c r="Q151" s="33" t="s">
        <v>666</v>
      </c>
    </row>
    <row r="152" spans="1:17" ht="288">
      <c r="A152" s="15"/>
      <c r="B152" s="35"/>
      <c r="C152" s="31">
        <v>0.5</v>
      </c>
      <c r="D152" s="30" t="s">
        <v>854</v>
      </c>
      <c r="E152" s="32"/>
      <c r="F152" s="34"/>
      <c r="G152" s="34"/>
      <c r="H152" s="32"/>
      <c r="I152" s="15"/>
      <c r="J152" s="42"/>
      <c r="K152" s="15">
        <v>5</v>
      </c>
      <c r="L152" s="42"/>
      <c r="M152" s="43"/>
      <c r="N152" s="32"/>
      <c r="O152" s="36" t="s">
        <v>313</v>
      </c>
      <c r="P152" s="32"/>
      <c r="Q152" s="33" t="s">
        <v>666</v>
      </c>
    </row>
    <row r="153" spans="1:17" ht="228">
      <c r="A153" s="15"/>
      <c r="B153" s="35"/>
      <c r="C153" s="31">
        <v>0.5</v>
      </c>
      <c r="D153" s="30" t="s">
        <v>854</v>
      </c>
      <c r="E153" s="32"/>
      <c r="F153" s="34"/>
      <c r="G153" s="34"/>
      <c r="H153" s="32"/>
      <c r="I153" s="15"/>
      <c r="J153" s="42"/>
      <c r="K153" s="15">
        <v>2</v>
      </c>
      <c r="L153" s="42"/>
      <c r="M153" s="43"/>
      <c r="N153" s="32"/>
      <c r="O153" s="36" t="s">
        <v>314</v>
      </c>
      <c r="P153" s="32"/>
      <c r="Q153" s="33" t="s">
        <v>666</v>
      </c>
    </row>
    <row r="154" spans="1:17" ht="409.5">
      <c r="A154" s="15"/>
      <c r="B154" s="35"/>
      <c r="C154" s="31">
        <v>0.500000000000003</v>
      </c>
      <c r="D154" s="30" t="s">
        <v>854</v>
      </c>
      <c r="E154" s="32"/>
      <c r="F154" s="15" t="s">
        <v>394</v>
      </c>
      <c r="G154" s="15" t="s">
        <v>486</v>
      </c>
      <c r="H154" s="32"/>
      <c r="I154" s="15" t="s">
        <v>315</v>
      </c>
      <c r="J154" s="42"/>
      <c r="K154" s="15">
        <v>7</v>
      </c>
      <c r="L154" s="42"/>
      <c r="M154" s="44" t="s">
        <v>482</v>
      </c>
      <c r="N154" s="32"/>
      <c r="O154" s="36" t="s">
        <v>483</v>
      </c>
      <c r="P154" s="32"/>
      <c r="Q154" s="33" t="s">
        <v>666</v>
      </c>
    </row>
    <row r="155" spans="1:17" ht="324">
      <c r="A155" s="15"/>
      <c r="B155" s="35"/>
      <c r="C155" s="31">
        <v>0.50347222222222221</v>
      </c>
      <c r="D155" s="30" t="s">
        <v>855</v>
      </c>
      <c r="E155" s="32"/>
      <c r="F155" s="15" t="s">
        <v>394</v>
      </c>
      <c r="G155" s="15" t="s">
        <v>336</v>
      </c>
      <c r="H155" s="32"/>
      <c r="I155" s="15" t="s">
        <v>315</v>
      </c>
      <c r="J155" s="42"/>
      <c r="K155" s="15">
        <v>7</v>
      </c>
      <c r="L155" s="42"/>
      <c r="M155" s="43" t="s">
        <v>316</v>
      </c>
      <c r="N155" s="32"/>
      <c r="O155" s="36" t="s">
        <v>317</v>
      </c>
      <c r="P155" s="32"/>
      <c r="Q155" s="33" t="s">
        <v>666</v>
      </c>
    </row>
    <row r="156" spans="1:17" ht="288">
      <c r="A156" s="15"/>
      <c r="B156" s="35"/>
      <c r="C156" s="31">
        <v>0.50694444444444442</v>
      </c>
      <c r="D156" s="30" t="s">
        <v>856</v>
      </c>
      <c r="E156" s="32"/>
      <c r="F156" s="15" t="s">
        <v>394</v>
      </c>
      <c r="G156" s="15" t="s">
        <v>343</v>
      </c>
      <c r="H156" s="32"/>
      <c r="I156" s="15" t="s">
        <v>344</v>
      </c>
      <c r="J156" s="42"/>
      <c r="K156" s="15">
        <v>5</v>
      </c>
      <c r="L156" s="42"/>
      <c r="M156" s="44" t="s">
        <v>318</v>
      </c>
      <c r="N156" s="32"/>
      <c r="O156" s="36" t="s">
        <v>319</v>
      </c>
      <c r="P156" s="32"/>
      <c r="Q156" s="33" t="s">
        <v>666</v>
      </c>
    </row>
    <row r="157" spans="1:17" ht="120">
      <c r="A157" s="15"/>
      <c r="B157" s="35"/>
      <c r="C157" s="31">
        <v>0.51041666666666663</v>
      </c>
      <c r="D157" s="30" t="s">
        <v>857</v>
      </c>
      <c r="E157" s="32"/>
      <c r="F157" s="15" t="s">
        <v>394</v>
      </c>
      <c r="G157" s="15" t="s">
        <v>320</v>
      </c>
      <c r="H157" s="32"/>
      <c r="I157" s="15" t="s">
        <v>328</v>
      </c>
      <c r="J157" s="42"/>
      <c r="K157" s="15">
        <v>11</v>
      </c>
      <c r="L157" s="42"/>
      <c r="M157" s="43" t="s">
        <v>321</v>
      </c>
      <c r="N157" s="32"/>
      <c r="O157" s="36" t="s">
        <v>322</v>
      </c>
      <c r="P157" s="32"/>
      <c r="Q157" s="33" t="s">
        <v>666</v>
      </c>
    </row>
    <row r="158" spans="1:17" ht="276">
      <c r="A158" s="15"/>
      <c r="B158" s="35"/>
      <c r="C158" s="31">
        <v>0.51041666666666663</v>
      </c>
      <c r="D158" s="30" t="s">
        <v>857</v>
      </c>
      <c r="E158" s="32"/>
      <c r="F158" s="34"/>
      <c r="G158" s="34"/>
      <c r="H158" s="32"/>
      <c r="I158" s="15"/>
      <c r="J158" s="42"/>
      <c r="K158" s="15">
        <v>5</v>
      </c>
      <c r="L158" s="42"/>
      <c r="M158" s="43"/>
      <c r="N158" s="32"/>
      <c r="O158" s="40" t="s">
        <v>484</v>
      </c>
      <c r="P158" s="32"/>
      <c r="Q158" s="33" t="s">
        <v>666</v>
      </c>
    </row>
    <row r="159" spans="1:17" ht="409.5">
      <c r="A159" s="15"/>
      <c r="B159" s="35"/>
      <c r="C159" s="31">
        <v>0.51388888888888895</v>
      </c>
      <c r="D159" s="30" t="s">
        <v>858</v>
      </c>
      <c r="E159" s="32"/>
      <c r="F159" s="15" t="s">
        <v>394</v>
      </c>
      <c r="G159" s="15" t="s">
        <v>323</v>
      </c>
      <c r="H159" s="32"/>
      <c r="I159" s="15" t="s">
        <v>315</v>
      </c>
      <c r="J159" s="42"/>
      <c r="K159" s="15">
        <v>7</v>
      </c>
      <c r="L159" s="42"/>
      <c r="M159" s="43"/>
      <c r="N159" s="32"/>
      <c r="O159" s="36" t="s">
        <v>324</v>
      </c>
      <c r="P159" s="32"/>
      <c r="Q159" s="33" t="s">
        <v>666</v>
      </c>
    </row>
    <row r="160" spans="1:17" ht="240">
      <c r="A160" s="15"/>
      <c r="B160" s="35"/>
      <c r="C160" s="31">
        <v>0.51388888888888895</v>
      </c>
      <c r="D160" s="30" t="s">
        <v>858</v>
      </c>
      <c r="E160" s="32"/>
      <c r="F160" s="15" t="s">
        <v>394</v>
      </c>
      <c r="G160" s="15" t="s">
        <v>336</v>
      </c>
      <c r="H160" s="32"/>
      <c r="I160" s="15" t="s">
        <v>350</v>
      </c>
      <c r="J160" s="42"/>
      <c r="K160" s="15">
        <v>1</v>
      </c>
      <c r="L160" s="42"/>
      <c r="M160" s="43" t="s">
        <v>550</v>
      </c>
      <c r="N160" s="32"/>
      <c r="O160" s="36" t="s">
        <v>470</v>
      </c>
      <c r="P160" s="32"/>
      <c r="Q160" s="33" t="s">
        <v>666</v>
      </c>
    </row>
    <row r="161" spans="1:17" ht="409.5">
      <c r="A161" s="15"/>
      <c r="B161" s="35"/>
      <c r="C161" s="31">
        <v>0.51736111111111105</v>
      </c>
      <c r="D161" s="30" t="s">
        <v>859</v>
      </c>
      <c r="E161" s="32"/>
      <c r="F161" s="15" t="s">
        <v>326</v>
      </c>
      <c r="G161" s="15" t="s">
        <v>343</v>
      </c>
      <c r="H161" s="32"/>
      <c r="I161" s="15" t="s">
        <v>344</v>
      </c>
      <c r="J161" s="42"/>
      <c r="K161" s="15">
        <v>15</v>
      </c>
      <c r="L161" s="42"/>
      <c r="M161" s="43"/>
      <c r="N161" s="32"/>
      <c r="O161" s="36" t="s">
        <v>302</v>
      </c>
      <c r="P161" s="32"/>
      <c r="Q161" s="33" t="s">
        <v>666</v>
      </c>
    </row>
    <row r="162" spans="1:17" ht="300">
      <c r="A162" s="15"/>
      <c r="B162" s="35"/>
      <c r="C162" s="31">
        <v>0.51736111111111105</v>
      </c>
      <c r="D162" s="30" t="s">
        <v>859</v>
      </c>
      <c r="E162" s="32"/>
      <c r="F162" s="15" t="s">
        <v>394</v>
      </c>
      <c r="G162" s="15" t="s">
        <v>194</v>
      </c>
      <c r="H162" s="32"/>
      <c r="I162" s="15" t="s">
        <v>293</v>
      </c>
      <c r="J162" s="42"/>
      <c r="K162" s="15">
        <v>6</v>
      </c>
      <c r="L162" s="42"/>
      <c r="M162" s="43" t="s">
        <v>471</v>
      </c>
      <c r="N162" s="32"/>
      <c r="O162" s="36" t="s">
        <v>472</v>
      </c>
      <c r="P162" s="32"/>
      <c r="Q162" s="33" t="s">
        <v>666</v>
      </c>
    </row>
    <row r="163" spans="1:17" ht="409.5">
      <c r="A163" s="15"/>
      <c r="B163" s="35"/>
      <c r="C163" s="31">
        <v>0.52083333333333337</v>
      </c>
      <c r="D163" s="30" t="s">
        <v>860</v>
      </c>
      <c r="E163" s="32"/>
      <c r="F163" s="15" t="s">
        <v>394</v>
      </c>
      <c r="G163" s="15" t="s">
        <v>303</v>
      </c>
      <c r="H163" s="32"/>
      <c r="I163" s="15" t="s">
        <v>304</v>
      </c>
      <c r="J163" s="42"/>
      <c r="K163" s="15">
        <v>2</v>
      </c>
      <c r="L163" s="42"/>
      <c r="M163" s="43"/>
      <c r="N163" s="32"/>
      <c r="O163" s="36" t="s">
        <v>305</v>
      </c>
      <c r="P163" s="32"/>
      <c r="Q163" s="33" t="s">
        <v>666</v>
      </c>
    </row>
    <row r="164" spans="1:17" ht="409.5">
      <c r="A164" s="15"/>
      <c r="B164" s="35"/>
      <c r="C164" s="31">
        <v>0.52083333333333337</v>
      </c>
      <c r="D164" s="30" t="s">
        <v>860</v>
      </c>
      <c r="E164" s="32"/>
      <c r="F164" s="15" t="s">
        <v>394</v>
      </c>
      <c r="G164" s="15" t="s">
        <v>303</v>
      </c>
      <c r="H164" s="32"/>
      <c r="I164" s="15" t="s">
        <v>296</v>
      </c>
      <c r="J164" s="42"/>
      <c r="K164" s="15">
        <v>3</v>
      </c>
      <c r="L164" s="42"/>
      <c r="M164" s="43" t="s">
        <v>473</v>
      </c>
      <c r="N164" s="32"/>
      <c r="O164" s="40" t="s">
        <v>474</v>
      </c>
      <c r="P164" s="32"/>
      <c r="Q164" s="33" t="s">
        <v>666</v>
      </c>
    </row>
    <row r="165" spans="1:17" ht="192">
      <c r="A165" s="15"/>
      <c r="B165" s="35"/>
      <c r="C165" s="31">
        <v>0.52430555555555503</v>
      </c>
      <c r="D165" s="30" t="s">
        <v>861</v>
      </c>
      <c r="E165" s="32"/>
      <c r="F165" s="15" t="s">
        <v>394</v>
      </c>
      <c r="G165" s="15" t="s">
        <v>486</v>
      </c>
      <c r="H165" s="32"/>
      <c r="I165" s="15" t="s">
        <v>315</v>
      </c>
      <c r="J165" s="42"/>
      <c r="K165" s="15">
        <v>15</v>
      </c>
      <c r="L165" s="42"/>
      <c r="M165" s="44" t="s">
        <v>475</v>
      </c>
      <c r="N165" s="32"/>
      <c r="O165" s="36" t="s">
        <v>476</v>
      </c>
      <c r="P165" s="32"/>
      <c r="Q165" s="33" t="s">
        <v>666</v>
      </c>
    </row>
    <row r="166" spans="1:17" ht="409.5">
      <c r="A166" s="15"/>
      <c r="B166" s="35"/>
      <c r="C166" s="31">
        <v>0.52430555555555558</v>
      </c>
      <c r="D166" s="30" t="s">
        <v>861</v>
      </c>
      <c r="E166" s="32"/>
      <c r="F166" s="15" t="s">
        <v>394</v>
      </c>
      <c r="G166" s="15" t="s">
        <v>395</v>
      </c>
      <c r="H166" s="32"/>
      <c r="I166" s="15" t="s">
        <v>328</v>
      </c>
      <c r="J166" s="42"/>
      <c r="K166" s="15">
        <v>13</v>
      </c>
      <c r="L166" s="42"/>
      <c r="M166" s="43" t="s">
        <v>306</v>
      </c>
      <c r="N166" s="32"/>
      <c r="O166" s="36" t="s">
        <v>307</v>
      </c>
      <c r="P166" s="32"/>
      <c r="Q166" s="33" t="s">
        <v>666</v>
      </c>
    </row>
    <row r="167" spans="1:17" ht="409.5">
      <c r="A167" s="15"/>
      <c r="B167" s="35"/>
      <c r="C167" s="31">
        <v>0.52777777777777701</v>
      </c>
      <c r="D167" s="30" t="s">
        <v>862</v>
      </c>
      <c r="E167" s="32"/>
      <c r="F167" s="15" t="s">
        <v>394</v>
      </c>
      <c r="G167" s="15" t="s">
        <v>309</v>
      </c>
      <c r="H167" s="32"/>
      <c r="I167" s="15" t="s">
        <v>350</v>
      </c>
      <c r="J167" s="42"/>
      <c r="K167" s="15">
        <v>1</v>
      </c>
      <c r="L167" s="42"/>
      <c r="M167" s="43"/>
      <c r="N167" s="32"/>
      <c r="O167" s="40" t="s">
        <v>477</v>
      </c>
      <c r="P167" s="32"/>
      <c r="Q167" s="33" t="s">
        <v>666</v>
      </c>
    </row>
    <row r="168" spans="1:17" ht="408">
      <c r="A168" s="15"/>
      <c r="B168" s="35"/>
      <c r="C168" s="31">
        <v>0.52777777777777779</v>
      </c>
      <c r="D168" s="30" t="s">
        <v>862</v>
      </c>
      <c r="E168" s="32"/>
      <c r="F168" s="15" t="s">
        <v>394</v>
      </c>
      <c r="G168" s="15" t="s">
        <v>343</v>
      </c>
      <c r="H168" s="32"/>
      <c r="I168" s="15" t="s">
        <v>344</v>
      </c>
      <c r="J168" s="42"/>
      <c r="K168" s="15">
        <v>15</v>
      </c>
      <c r="L168" s="42"/>
      <c r="M168" s="43"/>
      <c r="N168" s="32"/>
      <c r="O168" s="36" t="s">
        <v>308</v>
      </c>
      <c r="P168" s="32"/>
      <c r="Q168" s="33" t="s">
        <v>666</v>
      </c>
    </row>
    <row r="169" spans="1:17" ht="324">
      <c r="A169" s="15"/>
      <c r="B169" s="35"/>
      <c r="C169" s="31">
        <v>0.531249999999999</v>
      </c>
      <c r="D169" s="30" t="s">
        <v>863</v>
      </c>
      <c r="E169" s="32"/>
      <c r="F169" s="15" t="s">
        <v>326</v>
      </c>
      <c r="G169" s="15" t="s">
        <v>327</v>
      </c>
      <c r="H169" s="32"/>
      <c r="I169" s="15" t="s">
        <v>350</v>
      </c>
      <c r="J169" s="42"/>
      <c r="K169" s="15">
        <v>1</v>
      </c>
      <c r="L169" s="42"/>
      <c r="M169" s="43" t="s">
        <v>511</v>
      </c>
      <c r="N169" s="32"/>
      <c r="O169" s="36" t="s">
        <v>478</v>
      </c>
      <c r="P169" s="32"/>
      <c r="Q169" s="33" t="s">
        <v>666</v>
      </c>
    </row>
    <row r="170" spans="1:17" ht="288">
      <c r="A170" s="15"/>
      <c r="B170" s="35"/>
      <c r="C170" s="31">
        <v>0.53125</v>
      </c>
      <c r="D170" s="30" t="s">
        <v>863</v>
      </c>
      <c r="E170" s="32"/>
      <c r="F170" s="15" t="s">
        <v>394</v>
      </c>
      <c r="G170" s="15" t="s">
        <v>309</v>
      </c>
      <c r="H170" s="32"/>
      <c r="I170" s="15" t="s">
        <v>333</v>
      </c>
      <c r="J170" s="42"/>
      <c r="K170" s="15">
        <v>15</v>
      </c>
      <c r="L170" s="42"/>
      <c r="M170" s="43"/>
      <c r="N170" s="32"/>
      <c r="O170" s="36" t="s">
        <v>310</v>
      </c>
      <c r="P170" s="32"/>
      <c r="Q170" s="33" t="s">
        <v>666</v>
      </c>
    </row>
    <row r="171" spans="1:17" ht="409.5">
      <c r="A171" s="15"/>
      <c r="B171" s="35"/>
      <c r="C171" s="31">
        <v>0.53472222222222199</v>
      </c>
      <c r="D171" s="30" t="s">
        <v>864</v>
      </c>
      <c r="E171" s="32"/>
      <c r="F171" s="15" t="s">
        <v>394</v>
      </c>
      <c r="G171" s="15" t="s">
        <v>309</v>
      </c>
      <c r="H171" s="32"/>
      <c r="I171" s="15" t="s">
        <v>177</v>
      </c>
      <c r="J171" s="40"/>
      <c r="K171" s="15">
        <v>13</v>
      </c>
      <c r="L171" s="42"/>
      <c r="M171" s="43"/>
      <c r="N171" s="32"/>
      <c r="O171" s="36" t="s">
        <v>460</v>
      </c>
      <c r="P171" s="32"/>
      <c r="Q171" s="33" t="s">
        <v>666</v>
      </c>
    </row>
    <row r="172" spans="1:17" ht="409.5">
      <c r="A172" s="15"/>
      <c r="B172" s="35"/>
      <c r="C172" s="31">
        <v>0.53472222222222221</v>
      </c>
      <c r="D172" s="30" t="s">
        <v>864</v>
      </c>
      <c r="E172" s="32"/>
      <c r="F172" s="15" t="s">
        <v>394</v>
      </c>
      <c r="G172" s="15" t="s">
        <v>311</v>
      </c>
      <c r="H172" s="32"/>
      <c r="I172" s="15" t="s">
        <v>328</v>
      </c>
      <c r="J172" s="42"/>
      <c r="K172" s="15">
        <v>6</v>
      </c>
      <c r="L172" s="42"/>
      <c r="M172" s="43" t="s">
        <v>312</v>
      </c>
      <c r="N172" s="32"/>
      <c r="O172" s="36" t="s">
        <v>292</v>
      </c>
      <c r="P172" s="32"/>
      <c r="Q172" s="33" t="s">
        <v>666</v>
      </c>
    </row>
    <row r="173" spans="1:17" ht="180">
      <c r="A173" s="15"/>
      <c r="B173" s="35"/>
      <c r="C173" s="31">
        <v>0.53819444444444398</v>
      </c>
      <c r="D173" s="30" t="s">
        <v>865</v>
      </c>
      <c r="E173" s="32"/>
      <c r="F173" s="15" t="s">
        <v>394</v>
      </c>
      <c r="G173" s="15" t="s">
        <v>395</v>
      </c>
      <c r="H173" s="32"/>
      <c r="I173" s="15" t="s">
        <v>328</v>
      </c>
      <c r="J173" s="42"/>
      <c r="K173" s="15">
        <v>6</v>
      </c>
      <c r="L173" s="42"/>
      <c r="M173" s="43"/>
      <c r="N173" s="32"/>
      <c r="O173" s="36" t="s">
        <v>461</v>
      </c>
      <c r="P173" s="32"/>
      <c r="Q173" s="33" t="s">
        <v>666</v>
      </c>
    </row>
    <row r="174" spans="1:17" ht="324">
      <c r="A174" s="15"/>
      <c r="B174" s="35"/>
      <c r="C174" s="31">
        <v>0.53819444444444442</v>
      </c>
      <c r="D174" s="30" t="s">
        <v>865</v>
      </c>
      <c r="E174" s="32"/>
      <c r="F174" s="15" t="s">
        <v>394</v>
      </c>
      <c r="G174" s="15" t="s">
        <v>395</v>
      </c>
      <c r="H174" s="32"/>
      <c r="I174" s="15" t="s">
        <v>293</v>
      </c>
      <c r="J174" s="42"/>
      <c r="K174" s="15">
        <v>8</v>
      </c>
      <c r="L174" s="42"/>
      <c r="M174" s="43"/>
      <c r="N174" s="32"/>
      <c r="O174" s="36" t="s">
        <v>294</v>
      </c>
      <c r="P174" s="32"/>
      <c r="Q174" s="33" t="s">
        <v>666</v>
      </c>
    </row>
    <row r="175" spans="1:17" ht="204">
      <c r="A175" s="15"/>
      <c r="B175" s="35"/>
      <c r="C175" s="31">
        <v>0.54166666666666596</v>
      </c>
      <c r="D175" s="30" t="s">
        <v>866</v>
      </c>
      <c r="E175" s="32"/>
      <c r="F175" s="15" t="s">
        <v>394</v>
      </c>
      <c r="G175" s="15" t="s">
        <v>527</v>
      </c>
      <c r="H175" s="32"/>
      <c r="I175" s="15" t="s">
        <v>344</v>
      </c>
      <c r="J175" s="42"/>
      <c r="K175" s="15">
        <v>5</v>
      </c>
      <c r="L175" s="42"/>
      <c r="M175" s="43"/>
      <c r="N175" s="32"/>
      <c r="O175" s="36" t="s">
        <v>462</v>
      </c>
      <c r="P175" s="32"/>
      <c r="Q175" s="33" t="s">
        <v>666</v>
      </c>
    </row>
    <row r="176" spans="1:17" ht="312">
      <c r="A176" s="15"/>
      <c r="B176" s="35"/>
      <c r="C176" s="31">
        <v>0.54166666666666663</v>
      </c>
      <c r="D176" s="30" t="s">
        <v>866</v>
      </c>
      <c r="E176" s="32"/>
      <c r="F176" s="34"/>
      <c r="G176" s="34"/>
      <c r="H176" s="32"/>
      <c r="I176" s="15"/>
      <c r="J176" s="42"/>
      <c r="K176" s="15">
        <v>5</v>
      </c>
      <c r="L176" s="42"/>
      <c r="M176" s="43"/>
      <c r="N176" s="32"/>
      <c r="O176" s="36" t="s">
        <v>295</v>
      </c>
      <c r="P176" s="32"/>
      <c r="Q176" s="33" t="s">
        <v>666</v>
      </c>
    </row>
    <row r="177" spans="1:17" ht="216">
      <c r="A177" s="15"/>
      <c r="B177" s="35"/>
      <c r="C177" s="31">
        <v>0.54166666666666663</v>
      </c>
      <c r="D177" s="30" t="s">
        <v>866</v>
      </c>
      <c r="E177" s="32"/>
      <c r="F177" s="15" t="s">
        <v>394</v>
      </c>
      <c r="G177" s="15" t="s">
        <v>395</v>
      </c>
      <c r="H177" s="32"/>
      <c r="I177" s="15" t="s">
        <v>296</v>
      </c>
      <c r="J177" s="42"/>
      <c r="K177" s="15">
        <v>3</v>
      </c>
      <c r="L177" s="42"/>
      <c r="M177" s="43"/>
      <c r="N177" s="32"/>
      <c r="O177" s="40" t="s">
        <v>297</v>
      </c>
      <c r="P177" s="32"/>
      <c r="Q177" s="33" t="s">
        <v>666</v>
      </c>
    </row>
    <row r="178" spans="1:17" ht="156">
      <c r="A178" s="15"/>
      <c r="B178" s="35"/>
      <c r="C178" s="31">
        <v>0.54166666666666663</v>
      </c>
      <c r="D178" s="30" t="s">
        <v>866</v>
      </c>
      <c r="E178" s="32"/>
      <c r="F178" s="15" t="s">
        <v>394</v>
      </c>
      <c r="G178" s="15" t="s">
        <v>336</v>
      </c>
      <c r="H178" s="32"/>
      <c r="I178" s="15" t="s">
        <v>315</v>
      </c>
      <c r="J178" s="42"/>
      <c r="K178" s="15">
        <v>7</v>
      </c>
      <c r="L178" s="42"/>
      <c r="M178" s="43" t="s">
        <v>463</v>
      </c>
      <c r="N178" s="32"/>
      <c r="O178" s="36" t="s">
        <v>464</v>
      </c>
      <c r="P178" s="32"/>
      <c r="Q178" s="33" t="s">
        <v>666</v>
      </c>
    </row>
    <row r="179" spans="1:17" ht="409.5">
      <c r="A179" s="15"/>
      <c r="B179" s="35"/>
      <c r="C179" s="31">
        <v>0.54166666666666663</v>
      </c>
      <c r="D179" s="30" t="s">
        <v>866</v>
      </c>
      <c r="E179" s="32"/>
      <c r="F179" s="15" t="s">
        <v>394</v>
      </c>
      <c r="G179" s="15" t="s">
        <v>327</v>
      </c>
      <c r="H179" s="32"/>
      <c r="I179" s="15" t="s">
        <v>293</v>
      </c>
      <c r="J179" s="42"/>
      <c r="K179" s="15">
        <v>8</v>
      </c>
      <c r="L179" s="42"/>
      <c r="M179" s="43" t="s">
        <v>768</v>
      </c>
      <c r="N179" s="32"/>
      <c r="O179" s="39" t="s">
        <v>769</v>
      </c>
      <c r="P179" s="32"/>
      <c r="Q179" s="33" t="s">
        <v>666</v>
      </c>
    </row>
    <row r="180" spans="1:17" ht="240">
      <c r="A180" s="15"/>
      <c r="B180" s="35"/>
      <c r="C180" s="31">
        <v>0.54513888888888795</v>
      </c>
      <c r="D180" s="30" t="s">
        <v>867</v>
      </c>
      <c r="E180" s="32"/>
      <c r="F180" s="15" t="s">
        <v>394</v>
      </c>
      <c r="G180" s="15" t="s">
        <v>343</v>
      </c>
      <c r="H180" s="32"/>
      <c r="I180" s="15" t="s">
        <v>298</v>
      </c>
      <c r="J180" s="42"/>
      <c r="K180" s="15">
        <v>15</v>
      </c>
      <c r="L180" s="42"/>
      <c r="M180" s="43" t="s">
        <v>465</v>
      </c>
      <c r="N180" s="32"/>
      <c r="O180" s="36" t="s">
        <v>466</v>
      </c>
      <c r="P180" s="32"/>
      <c r="Q180" s="33" t="s">
        <v>666</v>
      </c>
    </row>
    <row r="181" spans="1:17" ht="409.5">
      <c r="A181" s="15"/>
      <c r="B181" s="35"/>
      <c r="C181" s="31">
        <v>0.54513888888888895</v>
      </c>
      <c r="D181" s="30" t="s">
        <v>867</v>
      </c>
      <c r="E181" s="32"/>
      <c r="F181" s="15" t="s">
        <v>394</v>
      </c>
      <c r="G181" s="15" t="s">
        <v>327</v>
      </c>
      <c r="H181" s="32"/>
      <c r="I181" s="15" t="s">
        <v>298</v>
      </c>
      <c r="J181" s="42"/>
      <c r="K181" s="15">
        <v>15</v>
      </c>
      <c r="L181" s="42"/>
      <c r="M181" s="43" t="s">
        <v>299</v>
      </c>
      <c r="N181" s="32"/>
      <c r="O181" s="40" t="s">
        <v>300</v>
      </c>
      <c r="P181" s="32"/>
      <c r="Q181" s="33" t="s">
        <v>666</v>
      </c>
    </row>
    <row r="182" spans="1:17" ht="252">
      <c r="A182" s="15"/>
      <c r="B182" s="35"/>
      <c r="C182" s="31">
        <v>0.54861111111111005</v>
      </c>
      <c r="D182" s="30" t="s">
        <v>868</v>
      </c>
      <c r="E182" s="32"/>
      <c r="F182" s="15" t="s">
        <v>394</v>
      </c>
      <c r="G182" s="15" t="s">
        <v>395</v>
      </c>
      <c r="H182" s="32"/>
      <c r="I182" s="15" t="s">
        <v>315</v>
      </c>
      <c r="J182" s="42"/>
      <c r="K182" s="15">
        <v>7</v>
      </c>
      <c r="L182" s="42"/>
      <c r="M182" s="43"/>
      <c r="N182" s="32"/>
      <c r="O182" s="36" t="s">
        <v>467</v>
      </c>
      <c r="P182" s="32"/>
      <c r="Q182" s="33" t="s">
        <v>666</v>
      </c>
    </row>
    <row r="183" spans="1:17" ht="348">
      <c r="A183" s="15"/>
      <c r="B183" s="35"/>
      <c r="C183" s="31">
        <v>0.54861111111111105</v>
      </c>
      <c r="D183" s="30" t="s">
        <v>868</v>
      </c>
      <c r="E183" s="32"/>
      <c r="F183" s="15" t="s">
        <v>394</v>
      </c>
      <c r="G183" s="15" t="s">
        <v>336</v>
      </c>
      <c r="H183" s="32"/>
      <c r="I183" s="15" t="s">
        <v>315</v>
      </c>
      <c r="J183" s="42"/>
      <c r="K183" s="15">
        <v>7</v>
      </c>
      <c r="L183" s="42"/>
      <c r="M183" s="43"/>
      <c r="N183" s="32"/>
      <c r="O183" s="40" t="s">
        <v>301</v>
      </c>
      <c r="P183" s="32"/>
      <c r="Q183" s="33" t="s">
        <v>666</v>
      </c>
    </row>
    <row r="184" spans="1:17" ht="409.5">
      <c r="A184" s="15"/>
      <c r="B184" s="35"/>
      <c r="C184" s="31">
        <v>0.55208333333333204</v>
      </c>
      <c r="D184" s="30" t="s">
        <v>869</v>
      </c>
      <c r="E184" s="32"/>
      <c r="F184" s="15" t="s">
        <v>394</v>
      </c>
      <c r="G184" s="15" t="s">
        <v>468</v>
      </c>
      <c r="H184" s="32"/>
      <c r="I184" s="15" t="s">
        <v>279</v>
      </c>
      <c r="J184" s="42"/>
      <c r="K184" s="15">
        <v>13</v>
      </c>
      <c r="L184" s="42"/>
      <c r="M184" s="43"/>
      <c r="N184" s="32"/>
      <c r="O184" s="40" t="s">
        <v>469</v>
      </c>
      <c r="P184" s="32"/>
      <c r="Q184" s="33" t="s">
        <v>666</v>
      </c>
    </row>
    <row r="185" spans="1:17" ht="409.5">
      <c r="A185" s="15"/>
      <c r="B185" s="35"/>
      <c r="C185" s="31">
        <v>0.55208333333333337</v>
      </c>
      <c r="D185" s="30" t="s">
        <v>869</v>
      </c>
      <c r="E185" s="32"/>
      <c r="F185" s="15" t="s">
        <v>394</v>
      </c>
      <c r="G185" s="15" t="s">
        <v>347</v>
      </c>
      <c r="H185" s="32"/>
      <c r="I185" s="15" t="s">
        <v>350</v>
      </c>
      <c r="J185" s="42"/>
      <c r="K185" s="15">
        <v>1</v>
      </c>
      <c r="L185" s="42"/>
      <c r="M185" s="43"/>
      <c r="N185" s="32"/>
      <c r="O185" s="36" t="s">
        <v>280</v>
      </c>
      <c r="P185" s="32"/>
      <c r="Q185" s="33" t="s">
        <v>666</v>
      </c>
    </row>
    <row r="186" spans="1:17" ht="409.5">
      <c r="A186" s="15"/>
      <c r="B186" s="35"/>
      <c r="C186" s="31">
        <v>0.55555555555555403</v>
      </c>
      <c r="D186" s="30" t="s">
        <v>870</v>
      </c>
      <c r="E186" s="32"/>
      <c r="F186" s="15" t="s">
        <v>326</v>
      </c>
      <c r="G186" s="15" t="s">
        <v>395</v>
      </c>
      <c r="H186" s="32"/>
      <c r="I186" s="15" t="s">
        <v>350</v>
      </c>
      <c r="J186" s="42"/>
      <c r="K186" s="15">
        <v>1</v>
      </c>
      <c r="L186" s="42"/>
      <c r="M186" s="43"/>
      <c r="N186" s="32"/>
      <c r="O186" s="36" t="s">
        <v>452</v>
      </c>
      <c r="P186" s="32"/>
      <c r="Q186" s="33" t="s">
        <v>666</v>
      </c>
    </row>
    <row r="187" spans="1:17" ht="264">
      <c r="A187" s="15"/>
      <c r="B187" s="35"/>
      <c r="C187" s="31">
        <v>0.55555555555555558</v>
      </c>
      <c r="D187" s="30" t="s">
        <v>870</v>
      </c>
      <c r="E187" s="32"/>
      <c r="F187" s="15" t="s">
        <v>394</v>
      </c>
      <c r="G187" s="15">
        <v>8</v>
      </c>
      <c r="H187" s="32"/>
      <c r="I187" s="15" t="s">
        <v>281</v>
      </c>
      <c r="J187" s="42"/>
      <c r="K187" s="15" t="s">
        <v>282</v>
      </c>
      <c r="L187" s="42"/>
      <c r="M187" s="43" t="s">
        <v>283</v>
      </c>
      <c r="N187" s="32"/>
      <c r="O187" s="36" t="s">
        <v>284</v>
      </c>
      <c r="P187" s="32"/>
      <c r="Q187" s="33" t="s">
        <v>666</v>
      </c>
    </row>
    <row r="188" spans="1:17" ht="312">
      <c r="A188" s="15"/>
      <c r="B188" s="35"/>
      <c r="C188" s="31">
        <v>0.55555555555555558</v>
      </c>
      <c r="D188" s="30" t="s">
        <v>870</v>
      </c>
      <c r="E188" s="32"/>
      <c r="F188" s="15" t="s">
        <v>394</v>
      </c>
      <c r="G188" s="15" t="s">
        <v>285</v>
      </c>
      <c r="H188" s="32"/>
      <c r="I188" s="15" t="s">
        <v>344</v>
      </c>
      <c r="J188" s="42"/>
      <c r="K188" s="15">
        <v>5</v>
      </c>
      <c r="L188" s="42"/>
      <c r="M188" s="43"/>
      <c r="N188" s="32"/>
      <c r="O188" s="36" t="s">
        <v>286</v>
      </c>
      <c r="P188" s="32"/>
      <c r="Q188" s="33" t="s">
        <v>666</v>
      </c>
    </row>
    <row r="189" spans="1:17" ht="132">
      <c r="A189" s="15"/>
      <c r="B189" s="35"/>
      <c r="C189" s="31">
        <v>0.55902777777777601</v>
      </c>
      <c r="D189" s="30" t="s">
        <v>871</v>
      </c>
      <c r="E189" s="32"/>
      <c r="F189" s="15" t="s">
        <v>394</v>
      </c>
      <c r="G189" s="15" t="s">
        <v>395</v>
      </c>
      <c r="H189" s="32"/>
      <c r="I189" s="15" t="s">
        <v>328</v>
      </c>
      <c r="J189" s="42"/>
      <c r="K189" s="15">
        <v>6</v>
      </c>
      <c r="L189" s="42"/>
      <c r="M189" s="43" t="s">
        <v>511</v>
      </c>
      <c r="N189" s="32"/>
      <c r="O189" s="36" t="s">
        <v>453</v>
      </c>
      <c r="P189" s="32"/>
      <c r="Q189" s="33" t="s">
        <v>666</v>
      </c>
    </row>
    <row r="190" spans="1:17" ht="384">
      <c r="A190" s="15"/>
      <c r="B190" s="35"/>
      <c r="C190" s="31">
        <v>0.55902777777777779</v>
      </c>
      <c r="D190" s="30" t="s">
        <v>871</v>
      </c>
      <c r="E190" s="32"/>
      <c r="F190" s="15" t="s">
        <v>394</v>
      </c>
      <c r="G190" s="15" t="s">
        <v>395</v>
      </c>
      <c r="H190" s="32"/>
      <c r="I190" s="15" t="s">
        <v>350</v>
      </c>
      <c r="J190" s="42"/>
      <c r="K190" s="15">
        <v>1</v>
      </c>
      <c r="L190" s="42"/>
      <c r="M190" s="43" t="s">
        <v>287</v>
      </c>
      <c r="N190" s="32"/>
      <c r="O190" s="40" t="s">
        <v>288</v>
      </c>
      <c r="P190" s="32"/>
      <c r="Q190" s="33" t="s">
        <v>666</v>
      </c>
    </row>
    <row r="191" spans="1:17" ht="264">
      <c r="A191" s="15"/>
      <c r="B191" s="35"/>
      <c r="C191" s="31">
        <v>0.562499999999998</v>
      </c>
      <c r="D191" s="30" t="s">
        <v>872</v>
      </c>
      <c r="E191" s="32"/>
      <c r="F191" s="15" t="s">
        <v>394</v>
      </c>
      <c r="G191" s="15" t="s">
        <v>527</v>
      </c>
      <c r="H191" s="32"/>
      <c r="I191" s="15" t="s">
        <v>454</v>
      </c>
      <c r="J191" s="42"/>
      <c r="K191" s="15">
        <v>11</v>
      </c>
      <c r="L191" s="42"/>
      <c r="M191" s="43"/>
      <c r="N191" s="32"/>
      <c r="O191" s="36" t="s">
        <v>455</v>
      </c>
      <c r="P191" s="32"/>
      <c r="Q191" s="33" t="s">
        <v>666</v>
      </c>
    </row>
    <row r="192" spans="1:17" ht="336">
      <c r="A192" s="15"/>
      <c r="B192" s="35"/>
      <c r="C192" s="31">
        <v>0.5625</v>
      </c>
      <c r="D192" s="30" t="s">
        <v>872</v>
      </c>
      <c r="E192" s="32"/>
      <c r="F192" s="15" t="s">
        <v>394</v>
      </c>
      <c r="G192" s="15" t="s">
        <v>327</v>
      </c>
      <c r="H192" s="32"/>
      <c r="I192" s="15" t="s">
        <v>328</v>
      </c>
      <c r="J192" s="42"/>
      <c r="K192" s="15">
        <v>6</v>
      </c>
      <c r="L192" s="42"/>
      <c r="M192" s="43"/>
      <c r="N192" s="32"/>
      <c r="O192" s="36" t="s">
        <v>289</v>
      </c>
      <c r="P192" s="32"/>
      <c r="Q192" s="33" t="s">
        <v>666</v>
      </c>
    </row>
    <row r="193" spans="1:17" ht="276">
      <c r="A193" s="15"/>
      <c r="B193" s="35"/>
      <c r="C193" s="31">
        <v>0.56597222222221999</v>
      </c>
      <c r="D193" s="30" t="s">
        <v>873</v>
      </c>
      <c r="E193" s="32"/>
      <c r="F193" s="15" t="s">
        <v>394</v>
      </c>
      <c r="G193" s="15" t="s">
        <v>327</v>
      </c>
      <c r="H193" s="32"/>
      <c r="I193" s="15" t="s">
        <v>293</v>
      </c>
      <c r="J193" s="42"/>
      <c r="K193" s="15">
        <v>3</v>
      </c>
      <c r="L193" s="42"/>
      <c r="M193" s="44" t="s">
        <v>456</v>
      </c>
      <c r="N193" s="32"/>
      <c r="O193" s="36" t="s">
        <v>457</v>
      </c>
      <c r="P193" s="32"/>
      <c r="Q193" s="33" t="s">
        <v>666</v>
      </c>
    </row>
    <row r="194" spans="1:17" ht="348">
      <c r="A194" s="15"/>
      <c r="B194" s="35"/>
      <c r="C194" s="31">
        <v>0.56597222222222221</v>
      </c>
      <c r="D194" s="30" t="s">
        <v>873</v>
      </c>
      <c r="E194" s="32"/>
      <c r="F194" s="15" t="s">
        <v>394</v>
      </c>
      <c r="G194" s="15" t="s">
        <v>327</v>
      </c>
      <c r="H194" s="32"/>
      <c r="I194" s="15" t="s">
        <v>350</v>
      </c>
      <c r="J194" s="42"/>
      <c r="K194" s="15">
        <v>1</v>
      </c>
      <c r="L194" s="42"/>
      <c r="M194" s="43" t="s">
        <v>290</v>
      </c>
      <c r="N194" s="32"/>
      <c r="O194" s="36" t="s">
        <v>291</v>
      </c>
      <c r="P194" s="32"/>
      <c r="Q194" s="33" t="s">
        <v>666</v>
      </c>
    </row>
    <row r="195" spans="1:17" ht="228">
      <c r="A195" s="15"/>
      <c r="B195" s="35"/>
      <c r="C195" s="31">
        <v>0.56944444444444298</v>
      </c>
      <c r="D195" s="30" t="s">
        <v>874</v>
      </c>
      <c r="E195" s="32"/>
      <c r="F195" s="15" t="s">
        <v>394</v>
      </c>
      <c r="G195" s="15" t="s">
        <v>309</v>
      </c>
      <c r="H195" s="32"/>
      <c r="I195" s="15" t="s">
        <v>458</v>
      </c>
      <c r="J195" s="40"/>
      <c r="K195" s="15">
        <v>13</v>
      </c>
      <c r="L195" s="42"/>
      <c r="M195" s="43"/>
      <c r="N195" s="32"/>
      <c r="O195" s="40" t="s">
        <v>459</v>
      </c>
      <c r="P195" s="32"/>
      <c r="Q195" s="33" t="s">
        <v>666</v>
      </c>
    </row>
    <row r="196" spans="1:17" ht="409.5">
      <c r="A196" s="15"/>
      <c r="B196" s="35"/>
      <c r="C196" s="31">
        <v>0.56944444444444442</v>
      </c>
      <c r="D196" s="30" t="s">
        <v>874</v>
      </c>
      <c r="E196" s="32"/>
      <c r="F196" s="15" t="s">
        <v>394</v>
      </c>
      <c r="G196" s="15" t="s">
        <v>336</v>
      </c>
      <c r="H196" s="32"/>
      <c r="I196" s="15" t="s">
        <v>350</v>
      </c>
      <c r="J196" s="42"/>
      <c r="K196" s="15">
        <v>1</v>
      </c>
      <c r="L196" s="42"/>
      <c r="M196" s="43"/>
      <c r="N196" s="32"/>
      <c r="O196" s="36" t="s">
        <v>268</v>
      </c>
      <c r="P196" s="32"/>
      <c r="Q196" s="33" t="s">
        <v>666</v>
      </c>
    </row>
    <row r="197" spans="1:17" ht="360">
      <c r="A197" s="15"/>
      <c r="B197" s="35"/>
      <c r="C197" s="31">
        <v>0.57638888888888695</v>
      </c>
      <c r="D197" s="30" t="s">
        <v>875</v>
      </c>
      <c r="E197" s="32"/>
      <c r="F197" s="15" t="s">
        <v>394</v>
      </c>
      <c r="G197" s="15" t="s">
        <v>327</v>
      </c>
      <c r="H197" s="32"/>
      <c r="I197" s="15" t="s">
        <v>248</v>
      </c>
      <c r="J197" s="42"/>
      <c r="K197" s="15">
        <v>10</v>
      </c>
      <c r="L197" s="42"/>
      <c r="M197" s="43"/>
      <c r="N197" s="32"/>
      <c r="O197" s="36" t="s">
        <v>439</v>
      </c>
      <c r="P197" s="32"/>
      <c r="Q197" s="33" t="s">
        <v>666</v>
      </c>
    </row>
    <row r="198" spans="1:17" ht="276">
      <c r="A198" s="15"/>
      <c r="B198" s="35"/>
      <c r="C198" s="31">
        <v>0.57638888888888895</v>
      </c>
      <c r="D198" s="30" t="s">
        <v>875</v>
      </c>
      <c r="E198" s="32"/>
      <c r="F198" s="15" t="s">
        <v>399</v>
      </c>
      <c r="G198" s="34" t="s">
        <v>269</v>
      </c>
      <c r="H198" s="32"/>
      <c r="I198" s="15" t="s">
        <v>293</v>
      </c>
      <c r="J198" s="42"/>
      <c r="K198" s="15">
        <v>8</v>
      </c>
      <c r="L198" s="42"/>
      <c r="M198" s="43"/>
      <c r="N198" s="32"/>
      <c r="O198" s="36" t="s">
        <v>270</v>
      </c>
      <c r="P198" s="32"/>
      <c r="Q198" s="33" t="s">
        <v>666</v>
      </c>
    </row>
    <row r="199" spans="1:17" ht="396">
      <c r="A199" s="15"/>
      <c r="B199" s="35"/>
      <c r="C199" s="31">
        <v>0.57638888888888895</v>
      </c>
      <c r="D199" s="30" t="s">
        <v>875</v>
      </c>
      <c r="E199" s="32"/>
      <c r="F199" s="15" t="s">
        <v>394</v>
      </c>
      <c r="G199" s="15" t="s">
        <v>395</v>
      </c>
      <c r="H199" s="32"/>
      <c r="I199" s="15" t="s">
        <v>315</v>
      </c>
      <c r="J199" s="42"/>
      <c r="K199" s="15">
        <v>7</v>
      </c>
      <c r="L199" s="42"/>
      <c r="M199" s="43"/>
      <c r="N199" s="32"/>
      <c r="O199" s="40" t="s">
        <v>271</v>
      </c>
      <c r="P199" s="32"/>
      <c r="Q199" s="33" t="s">
        <v>666</v>
      </c>
    </row>
    <row r="200" spans="1:17" ht="264">
      <c r="A200" s="15"/>
      <c r="B200" s="35"/>
      <c r="C200" s="31">
        <v>0.57986111111110905</v>
      </c>
      <c r="D200" s="30" t="s">
        <v>876</v>
      </c>
      <c r="E200" s="32"/>
      <c r="F200" s="15" t="s">
        <v>394</v>
      </c>
      <c r="G200" s="15" t="s">
        <v>395</v>
      </c>
      <c r="H200" s="32"/>
      <c r="I200" s="15" t="s">
        <v>328</v>
      </c>
      <c r="J200" s="42"/>
      <c r="K200" s="15">
        <v>6</v>
      </c>
      <c r="L200" s="42"/>
      <c r="M200" s="43" t="s">
        <v>511</v>
      </c>
      <c r="N200" s="32"/>
      <c r="O200" s="36" t="s">
        <v>440</v>
      </c>
      <c r="P200" s="32"/>
      <c r="Q200" s="33" t="s">
        <v>666</v>
      </c>
    </row>
    <row r="201" spans="1:17" ht="264">
      <c r="A201" s="15"/>
      <c r="B201" s="35"/>
      <c r="C201" s="31">
        <v>0.57986111111111105</v>
      </c>
      <c r="D201" s="30" t="s">
        <v>876</v>
      </c>
      <c r="E201" s="32"/>
      <c r="F201" s="15" t="s">
        <v>394</v>
      </c>
      <c r="G201" s="15" t="s">
        <v>272</v>
      </c>
      <c r="H201" s="32"/>
      <c r="I201" s="15" t="s">
        <v>328</v>
      </c>
      <c r="J201" s="42"/>
      <c r="K201" s="15">
        <v>6</v>
      </c>
      <c r="L201" s="42"/>
      <c r="M201" s="43" t="s">
        <v>273</v>
      </c>
      <c r="N201" s="32"/>
      <c r="O201" s="36" t="s">
        <v>274</v>
      </c>
      <c r="P201" s="32"/>
      <c r="Q201" s="33" t="s">
        <v>666</v>
      </c>
    </row>
    <row r="202" spans="1:17" ht="409.5">
      <c r="A202" s="15"/>
      <c r="B202" s="35"/>
      <c r="C202" s="31">
        <v>0.58333333333333104</v>
      </c>
      <c r="D202" s="30" t="s">
        <v>877</v>
      </c>
      <c r="E202" s="32"/>
      <c r="F202" s="15" t="s">
        <v>394</v>
      </c>
      <c r="G202" s="15" t="s">
        <v>441</v>
      </c>
      <c r="H202" s="32"/>
      <c r="I202" s="15" t="s">
        <v>304</v>
      </c>
      <c r="J202" s="42"/>
      <c r="K202" s="15">
        <v>2</v>
      </c>
      <c r="L202" s="42"/>
      <c r="M202" s="43"/>
      <c r="N202" s="32"/>
      <c r="O202" s="40" t="s">
        <v>442</v>
      </c>
      <c r="P202" s="32"/>
      <c r="Q202" s="33" t="s">
        <v>666</v>
      </c>
    </row>
    <row r="203" spans="1:17" ht="108">
      <c r="A203" s="15"/>
      <c r="B203" s="35"/>
      <c r="C203" s="31">
        <v>0.58333333333333337</v>
      </c>
      <c r="D203" s="30" t="s">
        <v>877</v>
      </c>
      <c r="E203" s="32"/>
      <c r="F203" s="15" t="s">
        <v>358</v>
      </c>
      <c r="G203" s="15" t="s">
        <v>400</v>
      </c>
      <c r="H203" s="32"/>
      <c r="I203" s="15" t="s">
        <v>359</v>
      </c>
      <c r="J203" s="42"/>
      <c r="K203" s="15" t="s">
        <v>423</v>
      </c>
      <c r="L203" s="42"/>
      <c r="M203" s="43"/>
      <c r="N203" s="32"/>
      <c r="O203" s="36" t="s">
        <v>275</v>
      </c>
      <c r="P203" s="32"/>
      <c r="Q203" s="33" t="s">
        <v>666</v>
      </c>
    </row>
    <row r="204" spans="1:17" ht="156">
      <c r="A204" s="15"/>
      <c r="B204" s="35"/>
      <c r="C204" s="31">
        <v>0.58333333333333337</v>
      </c>
      <c r="D204" s="30" t="s">
        <v>877</v>
      </c>
      <c r="E204" s="32"/>
      <c r="F204" s="34" t="s">
        <v>399</v>
      </c>
      <c r="G204" s="34" t="s">
        <v>276</v>
      </c>
      <c r="H204" s="32"/>
      <c r="I204" s="15"/>
      <c r="J204" s="42"/>
      <c r="K204" s="15">
        <v>12</v>
      </c>
      <c r="L204" s="42"/>
      <c r="M204" s="43"/>
      <c r="N204" s="32"/>
      <c r="O204" s="36" t="s">
        <v>277</v>
      </c>
      <c r="P204" s="32"/>
      <c r="Q204" s="33" t="s">
        <v>666</v>
      </c>
    </row>
    <row r="205" spans="1:17" ht="409.5">
      <c r="A205" s="15"/>
      <c r="B205" s="35"/>
      <c r="C205" s="31">
        <v>0.58333333333333337</v>
      </c>
      <c r="D205" s="30" t="s">
        <v>877</v>
      </c>
      <c r="E205" s="32"/>
      <c r="F205" s="15" t="s">
        <v>394</v>
      </c>
      <c r="G205" s="15" t="s">
        <v>309</v>
      </c>
      <c r="H205" s="32"/>
      <c r="I205" s="15" t="s">
        <v>350</v>
      </c>
      <c r="J205" s="42"/>
      <c r="K205" s="15">
        <v>1</v>
      </c>
      <c r="L205" s="42"/>
      <c r="M205" s="43"/>
      <c r="N205" s="32"/>
      <c r="O205" s="36" t="s">
        <v>278</v>
      </c>
      <c r="P205" s="32"/>
      <c r="Q205" s="33" t="s">
        <v>666</v>
      </c>
    </row>
    <row r="206" spans="1:17" ht="409.5">
      <c r="A206" s="15"/>
      <c r="B206" s="35"/>
      <c r="C206" s="31">
        <v>0.58333333333333337</v>
      </c>
      <c r="D206" s="30" t="s">
        <v>877</v>
      </c>
      <c r="E206" s="32"/>
      <c r="F206" s="15" t="s">
        <v>394</v>
      </c>
      <c r="G206" s="15" t="s">
        <v>395</v>
      </c>
      <c r="H206" s="32"/>
      <c r="I206" s="15" t="s">
        <v>293</v>
      </c>
      <c r="J206" s="42"/>
      <c r="K206" s="15" t="s">
        <v>443</v>
      </c>
      <c r="L206" s="42"/>
      <c r="M206" s="43" t="s">
        <v>444</v>
      </c>
      <c r="N206" s="32"/>
      <c r="O206" s="39" t="s">
        <v>445</v>
      </c>
      <c r="P206" s="32"/>
      <c r="Q206" s="33" t="s">
        <v>666</v>
      </c>
    </row>
    <row r="207" spans="1:17" ht="264">
      <c r="A207" s="15"/>
      <c r="B207" s="35"/>
      <c r="C207" s="31">
        <v>0.58333333333333337</v>
      </c>
      <c r="D207" s="30" t="s">
        <v>877</v>
      </c>
      <c r="E207" s="32"/>
      <c r="F207" s="15" t="s">
        <v>326</v>
      </c>
      <c r="G207" s="15" t="s">
        <v>400</v>
      </c>
      <c r="H207" s="32"/>
      <c r="I207" s="15" t="s">
        <v>359</v>
      </c>
      <c r="J207" s="42"/>
      <c r="K207" s="15" t="s">
        <v>423</v>
      </c>
      <c r="L207" s="42"/>
      <c r="M207" s="43" t="s">
        <v>446</v>
      </c>
      <c r="N207" s="32"/>
      <c r="O207" s="36" t="s">
        <v>219</v>
      </c>
      <c r="P207" s="32"/>
      <c r="Q207" s="33" t="s">
        <v>666</v>
      </c>
    </row>
    <row r="208" spans="1:17" ht="180">
      <c r="A208" s="15"/>
      <c r="B208" s="35"/>
      <c r="C208" s="31">
        <v>0.58333333333333337</v>
      </c>
      <c r="D208" s="30" t="s">
        <v>877</v>
      </c>
      <c r="E208" s="32"/>
      <c r="F208" s="34"/>
      <c r="G208" s="34"/>
      <c r="H208" s="32"/>
      <c r="I208" s="15"/>
      <c r="J208" s="42"/>
      <c r="K208" s="15">
        <v>7</v>
      </c>
      <c r="L208" s="42"/>
      <c r="M208" s="43" t="s">
        <v>447</v>
      </c>
      <c r="N208" s="32"/>
      <c r="O208" s="36" t="s">
        <v>448</v>
      </c>
      <c r="P208" s="32"/>
      <c r="Q208" s="33" t="s">
        <v>666</v>
      </c>
    </row>
    <row r="209" spans="1:17" ht="276">
      <c r="A209" s="15"/>
      <c r="B209" s="35"/>
      <c r="C209" s="31">
        <v>0.58333333333333337</v>
      </c>
      <c r="D209" s="30" t="s">
        <v>877</v>
      </c>
      <c r="E209" s="32"/>
      <c r="F209" s="15" t="s">
        <v>326</v>
      </c>
      <c r="G209" s="15" t="s">
        <v>400</v>
      </c>
      <c r="H209" s="32"/>
      <c r="I209" s="15" t="s">
        <v>359</v>
      </c>
      <c r="J209" s="42"/>
      <c r="K209" s="15" t="s">
        <v>663</v>
      </c>
      <c r="L209" s="42"/>
      <c r="M209" s="43" t="s">
        <v>664</v>
      </c>
      <c r="N209" s="32"/>
      <c r="O209" s="40" t="s">
        <v>665</v>
      </c>
      <c r="P209" s="32"/>
      <c r="Q209" s="33" t="s">
        <v>666</v>
      </c>
    </row>
    <row r="210" spans="1:17" ht="409.5">
      <c r="A210" s="15"/>
      <c r="B210" s="35"/>
      <c r="C210" s="31">
        <v>0.58680555555555558</v>
      </c>
      <c r="D210" s="30" t="s">
        <v>878</v>
      </c>
      <c r="E210" s="32"/>
      <c r="F210" s="15" t="s">
        <v>394</v>
      </c>
      <c r="G210" s="15" t="s">
        <v>327</v>
      </c>
      <c r="H210" s="32"/>
      <c r="I210" s="15" t="s">
        <v>279</v>
      </c>
      <c r="J210" s="42"/>
      <c r="K210" s="15">
        <v>13</v>
      </c>
      <c r="L210" s="42"/>
      <c r="M210" s="43"/>
      <c r="N210" s="32"/>
      <c r="O210" s="36" t="s">
        <v>258</v>
      </c>
      <c r="P210" s="32"/>
      <c r="Q210" s="33" t="s">
        <v>666</v>
      </c>
    </row>
    <row r="211" spans="1:17" ht="156">
      <c r="A211" s="15"/>
      <c r="B211" s="35"/>
      <c r="C211" s="31">
        <v>0.58680555555555558</v>
      </c>
      <c r="D211" s="30" t="s">
        <v>878</v>
      </c>
      <c r="E211" s="32"/>
      <c r="F211" s="15" t="s">
        <v>394</v>
      </c>
      <c r="G211" s="15" t="s">
        <v>527</v>
      </c>
      <c r="H211" s="32"/>
      <c r="I211" s="15" t="s">
        <v>344</v>
      </c>
      <c r="J211" s="42"/>
      <c r="K211" s="15">
        <v>15</v>
      </c>
      <c r="L211" s="42"/>
      <c r="M211" s="43"/>
      <c r="N211" s="32"/>
      <c r="O211" s="40" t="s">
        <v>449</v>
      </c>
      <c r="P211" s="32"/>
      <c r="Q211" s="33" t="s">
        <v>666</v>
      </c>
    </row>
    <row r="212" spans="1:17" ht="264">
      <c r="A212" s="15"/>
      <c r="B212" s="35"/>
      <c r="C212" s="31">
        <v>0.59027777777777779</v>
      </c>
      <c r="D212" s="30" t="s">
        <v>879</v>
      </c>
      <c r="E212" s="32"/>
      <c r="F212" s="15" t="s">
        <v>394</v>
      </c>
      <c r="G212" s="15" t="s">
        <v>327</v>
      </c>
      <c r="H212" s="32"/>
      <c r="I212" s="15" t="s">
        <v>279</v>
      </c>
      <c r="J212" s="42"/>
      <c r="K212" s="15">
        <v>7</v>
      </c>
      <c r="L212" s="42"/>
      <c r="M212" s="43"/>
      <c r="N212" s="32"/>
      <c r="O212" s="36" t="s">
        <v>259</v>
      </c>
      <c r="P212" s="32"/>
      <c r="Q212" s="33" t="s">
        <v>666</v>
      </c>
    </row>
    <row r="213" spans="1:17" ht="240">
      <c r="A213" s="15"/>
      <c r="B213" s="35"/>
      <c r="C213" s="31">
        <v>0.59027777777777779</v>
      </c>
      <c r="D213" s="30" t="s">
        <v>879</v>
      </c>
      <c r="E213" s="32"/>
      <c r="F213" s="15" t="s">
        <v>394</v>
      </c>
      <c r="G213" s="15" t="s">
        <v>320</v>
      </c>
      <c r="H213" s="32"/>
      <c r="I213" s="15" t="s">
        <v>293</v>
      </c>
      <c r="J213" s="42"/>
      <c r="K213" s="15">
        <v>6</v>
      </c>
      <c r="L213" s="42"/>
      <c r="M213" s="43" t="s">
        <v>450</v>
      </c>
      <c r="N213" s="32"/>
      <c r="O213" s="36" t="s">
        <v>451</v>
      </c>
      <c r="P213" s="32"/>
      <c r="Q213" s="33" t="s">
        <v>666</v>
      </c>
    </row>
    <row r="214" spans="1:17" ht="360">
      <c r="A214" s="15"/>
      <c r="B214" s="35"/>
      <c r="C214" s="31">
        <v>0.59375</v>
      </c>
      <c r="D214" s="30" t="s">
        <v>880</v>
      </c>
      <c r="E214" s="32"/>
      <c r="F214" s="15" t="s">
        <v>394</v>
      </c>
      <c r="G214" s="15" t="s">
        <v>395</v>
      </c>
      <c r="H214" s="32"/>
      <c r="I214" s="15" t="s">
        <v>333</v>
      </c>
      <c r="J214" s="42"/>
      <c r="K214" s="15">
        <v>8</v>
      </c>
      <c r="L214" s="42"/>
      <c r="M214" s="43"/>
      <c r="N214" s="32"/>
      <c r="O214" s="36" t="s">
        <v>260</v>
      </c>
      <c r="P214" s="32"/>
      <c r="Q214" s="33" t="s">
        <v>666</v>
      </c>
    </row>
    <row r="215" spans="1:17" ht="300">
      <c r="A215" s="15"/>
      <c r="B215" s="35"/>
      <c r="C215" s="31">
        <v>0.59375</v>
      </c>
      <c r="D215" s="30" t="s">
        <v>880</v>
      </c>
      <c r="E215" s="32"/>
      <c r="F215" s="15" t="s">
        <v>394</v>
      </c>
      <c r="G215" s="15" t="s">
        <v>327</v>
      </c>
      <c r="H215" s="32"/>
      <c r="I215" s="15" t="s">
        <v>315</v>
      </c>
      <c r="J215" s="42"/>
      <c r="K215" s="15">
        <v>12</v>
      </c>
      <c r="L215" s="42"/>
      <c r="M215" s="43"/>
      <c r="N215" s="32"/>
      <c r="O215" s="40" t="s">
        <v>261</v>
      </c>
      <c r="P215" s="32"/>
      <c r="Q215" s="33" t="s">
        <v>666</v>
      </c>
    </row>
    <row r="216" spans="1:17" ht="216">
      <c r="A216" s="15"/>
      <c r="B216" s="35"/>
      <c r="C216" s="31">
        <v>0.59375</v>
      </c>
      <c r="D216" s="30" t="s">
        <v>880</v>
      </c>
      <c r="E216" s="32"/>
      <c r="F216" s="15" t="s">
        <v>394</v>
      </c>
      <c r="G216" s="15" t="s">
        <v>395</v>
      </c>
      <c r="H216" s="32"/>
      <c r="I216" s="15" t="s">
        <v>279</v>
      </c>
      <c r="J216" s="42"/>
      <c r="K216" s="15">
        <v>13</v>
      </c>
      <c r="L216" s="42"/>
      <c r="M216" s="43"/>
      <c r="N216" s="32"/>
      <c r="O216" s="40" t="s">
        <v>402</v>
      </c>
      <c r="P216" s="32"/>
      <c r="Q216" s="33" t="s">
        <v>666</v>
      </c>
    </row>
    <row r="217" spans="1:17" ht="336">
      <c r="A217" s="15"/>
      <c r="B217" s="35"/>
      <c r="C217" s="31">
        <v>0.59722222222222221</v>
      </c>
      <c r="D217" s="30" t="s">
        <v>881</v>
      </c>
      <c r="E217" s="32"/>
      <c r="F217" s="15" t="s">
        <v>394</v>
      </c>
      <c r="G217" s="15" t="s">
        <v>395</v>
      </c>
      <c r="H217" s="32"/>
      <c r="I217" s="15" t="s">
        <v>296</v>
      </c>
      <c r="J217" s="42"/>
      <c r="K217" s="15">
        <v>3</v>
      </c>
      <c r="L217" s="42"/>
      <c r="M217" s="43"/>
      <c r="N217" s="32"/>
      <c r="O217" s="40" t="s">
        <v>262</v>
      </c>
      <c r="P217" s="32"/>
      <c r="Q217" s="33" t="s">
        <v>666</v>
      </c>
    </row>
    <row r="218" spans="1:17" ht="409.5">
      <c r="A218" s="15"/>
      <c r="B218" s="35"/>
      <c r="C218" s="31">
        <v>0.59722222222222221</v>
      </c>
      <c r="D218" s="30" t="s">
        <v>881</v>
      </c>
      <c r="E218" s="32"/>
      <c r="F218" s="15" t="s">
        <v>394</v>
      </c>
      <c r="G218" s="15" t="s">
        <v>320</v>
      </c>
      <c r="H218" s="32"/>
      <c r="I218" s="15" t="s">
        <v>293</v>
      </c>
      <c r="J218" s="42"/>
      <c r="K218" s="15">
        <v>8</v>
      </c>
      <c r="L218" s="42"/>
      <c r="M218" s="43" t="s">
        <v>471</v>
      </c>
      <c r="N218" s="32"/>
      <c r="O218" s="36" t="s">
        <v>403</v>
      </c>
      <c r="P218" s="32"/>
      <c r="Q218" s="33" t="s">
        <v>666</v>
      </c>
    </row>
    <row r="219" spans="1:17" ht="409.5">
      <c r="A219" s="15"/>
      <c r="B219" s="35"/>
      <c r="C219" s="31">
        <v>0.60069444444444442</v>
      </c>
      <c r="D219" s="30" t="s">
        <v>882</v>
      </c>
      <c r="E219" s="32"/>
      <c r="F219" s="15" t="s">
        <v>394</v>
      </c>
      <c r="G219" s="15" t="s">
        <v>395</v>
      </c>
      <c r="H219" s="32"/>
      <c r="I219" s="15" t="s">
        <v>350</v>
      </c>
      <c r="J219" s="42"/>
      <c r="K219" s="15">
        <v>1</v>
      </c>
      <c r="L219" s="42"/>
      <c r="M219" s="43"/>
      <c r="N219" s="32"/>
      <c r="O219" s="36" t="s">
        <v>263</v>
      </c>
      <c r="P219" s="32"/>
      <c r="Q219" s="33" t="s">
        <v>666</v>
      </c>
    </row>
    <row r="220" spans="1:17" ht="168">
      <c r="A220" s="15"/>
      <c r="B220" s="35"/>
      <c r="C220" s="31">
        <v>0.60416666666666663</v>
      </c>
      <c r="D220" s="30" t="s">
        <v>883</v>
      </c>
      <c r="E220" s="32"/>
      <c r="F220" s="15" t="s">
        <v>394</v>
      </c>
      <c r="G220" s="15" t="s">
        <v>343</v>
      </c>
      <c r="H220" s="32"/>
      <c r="I220" s="15" t="s">
        <v>344</v>
      </c>
      <c r="J220" s="42"/>
      <c r="K220" s="15">
        <v>5</v>
      </c>
      <c r="L220" s="42"/>
      <c r="M220" s="44" t="s">
        <v>264</v>
      </c>
      <c r="N220" s="32"/>
      <c r="O220" s="36" t="s">
        <v>265</v>
      </c>
      <c r="P220" s="32"/>
      <c r="Q220" s="33" t="s">
        <v>666</v>
      </c>
    </row>
    <row r="221" spans="1:17" ht="324">
      <c r="A221" s="15"/>
      <c r="B221" s="35"/>
      <c r="C221" s="31">
        <v>0.60416666666666663</v>
      </c>
      <c r="D221" s="30" t="s">
        <v>883</v>
      </c>
      <c r="E221" s="32"/>
      <c r="F221" s="15" t="s">
        <v>394</v>
      </c>
      <c r="G221" s="15" t="s">
        <v>395</v>
      </c>
      <c r="H221" s="32"/>
      <c r="I221" s="15" t="s">
        <v>293</v>
      </c>
      <c r="J221" s="42"/>
      <c r="K221" s="15">
        <v>6</v>
      </c>
      <c r="L221" s="42"/>
      <c r="M221" s="43"/>
      <c r="N221" s="32"/>
      <c r="O221" s="36" t="s">
        <v>404</v>
      </c>
      <c r="P221" s="32"/>
      <c r="Q221" s="33" t="s">
        <v>666</v>
      </c>
    </row>
    <row r="222" spans="1:17" ht="409.5">
      <c r="A222" s="15"/>
      <c r="B222" s="35"/>
      <c r="C222" s="31">
        <v>0.60763888888888895</v>
      </c>
      <c r="D222" s="30" t="s">
        <v>884</v>
      </c>
      <c r="E222" s="32"/>
      <c r="F222" s="15" t="s">
        <v>394</v>
      </c>
      <c r="G222" s="15" t="s">
        <v>266</v>
      </c>
      <c r="H222" s="32"/>
      <c r="I222" s="15" t="s">
        <v>350</v>
      </c>
      <c r="J222" s="42"/>
      <c r="K222" s="15">
        <v>1</v>
      </c>
      <c r="L222" s="42"/>
      <c r="M222" s="43" t="s">
        <v>267</v>
      </c>
      <c r="N222" s="32"/>
      <c r="O222" s="36" t="s">
        <v>244</v>
      </c>
      <c r="P222" s="32"/>
      <c r="Q222" s="33" t="s">
        <v>666</v>
      </c>
    </row>
    <row r="223" spans="1:17" ht="252">
      <c r="A223" s="15"/>
      <c r="B223" s="35"/>
      <c r="C223" s="31">
        <v>0.60763888888888895</v>
      </c>
      <c r="D223" s="30" t="s">
        <v>884</v>
      </c>
      <c r="E223" s="32"/>
      <c r="F223" s="15" t="s">
        <v>394</v>
      </c>
      <c r="G223" s="15" t="s">
        <v>303</v>
      </c>
      <c r="H223" s="32"/>
      <c r="I223" s="15" t="s">
        <v>223</v>
      </c>
      <c r="J223" s="42"/>
      <c r="K223" s="15">
        <v>12</v>
      </c>
      <c r="L223" s="42"/>
      <c r="M223" s="43"/>
      <c r="N223" s="32"/>
      <c r="O223" s="36" t="s">
        <v>405</v>
      </c>
      <c r="P223" s="32"/>
      <c r="Q223" s="33" t="s">
        <v>666</v>
      </c>
    </row>
    <row r="224" spans="1:17" ht="408">
      <c r="A224" s="15"/>
      <c r="B224" s="35"/>
      <c r="C224" s="31">
        <v>0.61111111111111105</v>
      </c>
      <c r="D224" s="30" t="s">
        <v>885</v>
      </c>
      <c r="E224" s="32"/>
      <c r="F224" s="15" t="s">
        <v>394</v>
      </c>
      <c r="G224" s="15" t="s">
        <v>245</v>
      </c>
      <c r="H224" s="32"/>
      <c r="I224" s="15" t="s">
        <v>344</v>
      </c>
      <c r="J224" s="42"/>
      <c r="K224" s="15">
        <v>5</v>
      </c>
      <c r="L224" s="42"/>
      <c r="M224" s="44" t="s">
        <v>246</v>
      </c>
      <c r="N224" s="32"/>
      <c r="O224" s="36" t="s">
        <v>247</v>
      </c>
      <c r="P224" s="32"/>
      <c r="Q224" s="33" t="s">
        <v>666</v>
      </c>
    </row>
    <row r="225" spans="1:17" ht="348">
      <c r="A225" s="15"/>
      <c r="B225" s="35"/>
      <c r="C225" s="31">
        <v>0.61111111111111105</v>
      </c>
      <c r="D225" s="30" t="s">
        <v>885</v>
      </c>
      <c r="E225" s="32"/>
      <c r="F225" s="15" t="s">
        <v>394</v>
      </c>
      <c r="G225" s="15" t="s">
        <v>395</v>
      </c>
      <c r="H225" s="32"/>
      <c r="I225" s="15" t="s">
        <v>350</v>
      </c>
      <c r="J225" s="42"/>
      <c r="K225" s="15">
        <v>1</v>
      </c>
      <c r="L225" s="42"/>
      <c r="M225" s="43" t="s">
        <v>406</v>
      </c>
      <c r="N225" s="32"/>
      <c r="O225" s="36" t="s">
        <v>407</v>
      </c>
      <c r="P225" s="32"/>
      <c r="Q225" s="33" t="s">
        <v>666</v>
      </c>
    </row>
    <row r="226" spans="1:17" ht="288">
      <c r="A226" s="15"/>
      <c r="B226" s="35"/>
      <c r="C226" s="31">
        <v>0.61458333333333337</v>
      </c>
      <c r="D226" s="30" t="s">
        <v>886</v>
      </c>
      <c r="E226" s="32"/>
      <c r="F226" s="15" t="s">
        <v>394</v>
      </c>
      <c r="G226" s="15" t="s">
        <v>309</v>
      </c>
      <c r="H226" s="32"/>
      <c r="I226" s="15" t="s">
        <v>248</v>
      </c>
      <c r="J226" s="42"/>
      <c r="K226" s="15">
        <v>1</v>
      </c>
      <c r="L226" s="42"/>
      <c r="M226" s="43" t="s">
        <v>249</v>
      </c>
      <c r="N226" s="32"/>
      <c r="O226" s="36" t="s">
        <v>250</v>
      </c>
      <c r="P226" s="32"/>
      <c r="Q226" s="33" t="s">
        <v>666</v>
      </c>
    </row>
    <row r="227" spans="1:17" ht="384">
      <c r="A227" s="15"/>
      <c r="B227" s="35"/>
      <c r="C227" s="31">
        <v>0.61458333333333404</v>
      </c>
      <c r="D227" s="30" t="s">
        <v>886</v>
      </c>
      <c r="E227" s="32"/>
      <c r="F227" s="15" t="s">
        <v>394</v>
      </c>
      <c r="G227" s="15" t="s">
        <v>347</v>
      </c>
      <c r="H227" s="32"/>
      <c r="I227" s="15" t="s">
        <v>248</v>
      </c>
      <c r="J227" s="42"/>
      <c r="K227" s="15" t="s">
        <v>792</v>
      </c>
      <c r="L227" s="42"/>
      <c r="M227" s="43"/>
      <c r="N227" s="32"/>
      <c r="O227" s="36" t="s">
        <v>756</v>
      </c>
      <c r="P227" s="32"/>
      <c r="Q227" s="33" t="s">
        <v>666</v>
      </c>
    </row>
    <row r="228" spans="1:17" ht="252">
      <c r="A228" s="15"/>
      <c r="B228" s="35"/>
      <c r="C228" s="31">
        <v>0.61805555555555558</v>
      </c>
      <c r="D228" s="30" t="s">
        <v>887</v>
      </c>
      <c r="E228" s="32"/>
      <c r="F228" s="15" t="s">
        <v>251</v>
      </c>
      <c r="G228" s="15" t="s">
        <v>327</v>
      </c>
      <c r="H228" s="32"/>
      <c r="I228" s="15" t="s">
        <v>296</v>
      </c>
      <c r="J228" s="42"/>
      <c r="K228" s="15">
        <v>7</v>
      </c>
      <c r="L228" s="42"/>
      <c r="M228" s="43" t="s">
        <v>252</v>
      </c>
      <c r="N228" s="32"/>
      <c r="O228" s="36" t="s">
        <v>253</v>
      </c>
      <c r="P228" s="32"/>
      <c r="Q228" s="33" t="s">
        <v>666</v>
      </c>
    </row>
    <row r="229" spans="1:17" ht="300">
      <c r="A229" s="15"/>
      <c r="B229" s="35"/>
      <c r="C229" s="31">
        <v>0.61805555555555602</v>
      </c>
      <c r="D229" s="30" t="s">
        <v>887</v>
      </c>
      <c r="E229" s="32"/>
      <c r="F229" s="15" t="s">
        <v>394</v>
      </c>
      <c r="G229" s="15" t="s">
        <v>320</v>
      </c>
      <c r="H229" s="32"/>
      <c r="I229" s="15" t="s">
        <v>293</v>
      </c>
      <c r="J229" s="42"/>
      <c r="K229" s="15">
        <v>6</v>
      </c>
      <c r="L229" s="42"/>
      <c r="M229" s="43" t="s">
        <v>757</v>
      </c>
      <c r="N229" s="32"/>
      <c r="O229" s="36" t="s">
        <v>758</v>
      </c>
      <c r="P229" s="32"/>
      <c r="Q229" s="33" t="s">
        <v>666</v>
      </c>
    </row>
    <row r="230" spans="1:17" ht="409.5">
      <c r="A230" s="15"/>
      <c r="B230" s="35"/>
      <c r="C230" s="31">
        <v>0.62152777777777779</v>
      </c>
      <c r="D230" s="30" t="s">
        <v>888</v>
      </c>
      <c r="E230" s="32"/>
      <c r="F230" s="15" t="s">
        <v>394</v>
      </c>
      <c r="G230" s="15" t="s">
        <v>323</v>
      </c>
      <c r="H230" s="32"/>
      <c r="I230" s="15" t="s">
        <v>315</v>
      </c>
      <c r="J230" s="42"/>
      <c r="K230" s="15">
        <v>12</v>
      </c>
      <c r="L230" s="42"/>
      <c r="M230" s="43" t="s">
        <v>254</v>
      </c>
      <c r="N230" s="32"/>
      <c r="O230" s="40" t="s">
        <v>255</v>
      </c>
      <c r="P230" s="32"/>
      <c r="Q230" s="33" t="s">
        <v>666</v>
      </c>
    </row>
    <row r="231" spans="1:17" ht="240">
      <c r="A231" s="15"/>
      <c r="B231" s="35"/>
      <c r="C231" s="31">
        <v>0.62152777777777801</v>
      </c>
      <c r="D231" s="30" t="s">
        <v>888</v>
      </c>
      <c r="E231" s="32"/>
      <c r="F231" s="15" t="s">
        <v>394</v>
      </c>
      <c r="G231" s="15" t="s">
        <v>395</v>
      </c>
      <c r="H231" s="32"/>
      <c r="I231" s="15" t="s">
        <v>164</v>
      </c>
      <c r="J231" s="42"/>
      <c r="K231" s="15" t="s">
        <v>165</v>
      </c>
      <c r="L231" s="42"/>
      <c r="M231" s="43"/>
      <c r="N231" s="32"/>
      <c r="O231" s="36" t="s">
        <v>759</v>
      </c>
      <c r="P231" s="32"/>
      <c r="Q231" s="33" t="s">
        <v>666</v>
      </c>
    </row>
    <row r="232" spans="1:17" ht="132">
      <c r="A232" s="15"/>
      <c r="B232" s="35"/>
      <c r="C232" s="31">
        <v>0.625</v>
      </c>
      <c r="D232" s="30" t="s">
        <v>889</v>
      </c>
      <c r="E232" s="32"/>
      <c r="F232" s="34"/>
      <c r="G232" s="34"/>
      <c r="H232" s="32"/>
      <c r="I232" s="15"/>
      <c r="J232" s="42"/>
      <c r="K232" s="15">
        <v>5</v>
      </c>
      <c r="L232" s="42"/>
      <c r="M232" s="43"/>
      <c r="N232" s="32"/>
      <c r="O232" s="36" t="s">
        <v>256</v>
      </c>
      <c r="P232" s="32"/>
      <c r="Q232" s="33" t="s">
        <v>666</v>
      </c>
    </row>
    <row r="233" spans="1:17" ht="156">
      <c r="A233" s="15"/>
      <c r="B233" s="35"/>
      <c r="C233" s="31">
        <v>0.625</v>
      </c>
      <c r="D233" s="30" t="s">
        <v>889</v>
      </c>
      <c r="E233" s="32"/>
      <c r="F233" s="34"/>
      <c r="G233" s="34"/>
      <c r="H233" s="32"/>
      <c r="I233" s="15"/>
      <c r="J233" s="42"/>
      <c r="K233" s="15">
        <v>15</v>
      </c>
      <c r="L233" s="42"/>
      <c r="M233" s="43" t="s">
        <v>257</v>
      </c>
      <c r="N233" s="32"/>
      <c r="O233" s="36" t="s">
        <v>232</v>
      </c>
      <c r="P233" s="32"/>
      <c r="Q233" s="33" t="s">
        <v>666</v>
      </c>
    </row>
    <row r="234" spans="1:17" ht="156">
      <c r="A234" s="15"/>
      <c r="B234" s="35"/>
      <c r="C234" s="31">
        <v>0.625</v>
      </c>
      <c r="D234" s="30" t="s">
        <v>889</v>
      </c>
      <c r="E234" s="32"/>
      <c r="F234" s="34"/>
      <c r="G234" s="34"/>
      <c r="H234" s="32"/>
      <c r="I234" s="15"/>
      <c r="J234" s="42"/>
      <c r="K234" s="15">
        <v>5</v>
      </c>
      <c r="L234" s="42"/>
      <c r="M234" s="43" t="s">
        <v>233</v>
      </c>
      <c r="N234" s="32"/>
      <c r="O234" s="40" t="s">
        <v>234</v>
      </c>
      <c r="P234" s="32"/>
      <c r="Q234" s="33" t="s">
        <v>666</v>
      </c>
    </row>
    <row r="235" spans="1:17" ht="168">
      <c r="A235" s="15"/>
      <c r="B235" s="35"/>
      <c r="C235" s="31">
        <v>0.625</v>
      </c>
      <c r="D235" s="30" t="s">
        <v>889</v>
      </c>
      <c r="E235" s="32"/>
      <c r="F235" s="34"/>
      <c r="G235" s="34"/>
      <c r="H235" s="32"/>
      <c r="I235" s="15"/>
      <c r="J235" s="42"/>
      <c r="K235" s="15" t="s">
        <v>282</v>
      </c>
      <c r="L235" s="42"/>
      <c r="M235" s="43"/>
      <c r="N235" s="32"/>
      <c r="O235" s="40" t="s">
        <v>760</v>
      </c>
      <c r="P235" s="32"/>
      <c r="Q235" s="33" t="s">
        <v>666</v>
      </c>
    </row>
    <row r="236" spans="1:17" ht="252">
      <c r="A236" s="15"/>
      <c r="B236" s="35"/>
      <c r="C236" s="31">
        <v>0.625</v>
      </c>
      <c r="D236" s="30" t="s">
        <v>889</v>
      </c>
      <c r="E236" s="32"/>
      <c r="F236" s="15" t="s">
        <v>394</v>
      </c>
      <c r="G236" s="15" t="s">
        <v>320</v>
      </c>
      <c r="H236" s="32"/>
      <c r="I236" s="15" t="s">
        <v>328</v>
      </c>
      <c r="J236" s="42"/>
      <c r="K236" s="15">
        <v>6</v>
      </c>
      <c r="L236" s="42"/>
      <c r="M236" s="43" t="s">
        <v>761</v>
      </c>
      <c r="N236" s="32"/>
      <c r="O236" s="36" t="s">
        <v>762</v>
      </c>
      <c r="P236" s="32"/>
      <c r="Q236" s="33" t="s">
        <v>666</v>
      </c>
    </row>
    <row r="237" spans="1:17" ht="108">
      <c r="A237" s="15"/>
      <c r="B237" s="35"/>
      <c r="C237" s="31">
        <v>0.625</v>
      </c>
      <c r="D237" s="30" t="s">
        <v>889</v>
      </c>
      <c r="E237" s="32"/>
      <c r="F237" s="34"/>
      <c r="G237" s="34"/>
      <c r="H237" s="32"/>
      <c r="I237" s="15"/>
      <c r="J237" s="42"/>
      <c r="K237" s="15" t="s">
        <v>401</v>
      </c>
      <c r="L237" s="42"/>
      <c r="M237" s="43" t="s">
        <v>763</v>
      </c>
      <c r="N237" s="32"/>
      <c r="O237" s="36" t="s">
        <v>764</v>
      </c>
      <c r="P237" s="32"/>
      <c r="Q237" s="33" t="s">
        <v>666</v>
      </c>
    </row>
    <row r="238" spans="1:17" ht="409.5">
      <c r="A238" s="15"/>
      <c r="B238" s="35"/>
      <c r="C238" s="31">
        <v>0.625</v>
      </c>
      <c r="D238" s="30" t="s">
        <v>889</v>
      </c>
      <c r="E238" s="32"/>
      <c r="F238" s="15" t="s">
        <v>394</v>
      </c>
      <c r="G238" s="15" t="s">
        <v>395</v>
      </c>
      <c r="H238" s="32"/>
      <c r="I238" s="15" t="s">
        <v>248</v>
      </c>
      <c r="J238" s="42"/>
      <c r="K238" s="15">
        <v>3</v>
      </c>
      <c r="L238" s="42"/>
      <c r="M238" s="43" t="s">
        <v>765</v>
      </c>
      <c r="N238" s="32"/>
      <c r="O238" s="36" t="s">
        <v>766</v>
      </c>
      <c r="P238" s="32"/>
      <c r="Q238" s="33" t="s">
        <v>666</v>
      </c>
    </row>
    <row r="239" spans="1:17" ht="108">
      <c r="A239" s="15"/>
      <c r="B239" s="35"/>
      <c r="C239" s="31" t="s">
        <v>235</v>
      </c>
      <c r="D239" s="30" t="s">
        <v>235</v>
      </c>
      <c r="E239" s="32"/>
      <c r="F239" s="34"/>
      <c r="G239" s="34"/>
      <c r="H239" s="15"/>
      <c r="I239" s="15"/>
      <c r="J239" s="42"/>
      <c r="K239" s="15">
        <v>5</v>
      </c>
      <c r="L239" s="42"/>
      <c r="M239" s="43"/>
      <c r="N239" s="32"/>
      <c r="O239" s="40" t="s">
        <v>236</v>
      </c>
      <c r="P239" s="32"/>
      <c r="Q239" s="33" t="s">
        <v>666</v>
      </c>
    </row>
  </sheetData>
  <customSheetViews>
    <customSheetView guid="{795CE737-CFBD-47E1-A5F3-F6879A411FBA}" showPageBreaks="1">
      <selection activeCell="A2" sqref="A2:Q239"/>
    </customSheetView>
    <customSheetView guid="{6D5C82C1-3F67-4DCA-9285-CC6695655904}">
      <selection activeCell="A2" sqref="A2:Q239"/>
    </customSheetView>
    <customSheetView guid="{3225D158-A05E-4956-976D-0A8BB346F3CD}">
      <selection activeCell="A2" sqref="A2:Q239"/>
    </customSheetView>
    <customSheetView guid="{5BBCA58B-D765-479F-9504-1E4279142E7F}">
      <selection activeCell="A2" sqref="A2:Q239"/>
    </customSheetView>
    <customSheetView guid="{C75FF036-91FF-4E44-9156-54230F8F355B}">
      <selection activeCell="A2" sqref="A2:Q239"/>
    </customSheetView>
    <customSheetView guid="{21D272AB-5ED3-41C2-B2AC-DB44252878EA}">
      <selection activeCell="A2" sqref="A2:Q239"/>
    </customSheetView>
  </customSheetViews>
  <phoneticPr fontId="24" type="noConversion"/>
  <pageMargins left="0.7" right="0.7" top="0.75" bottom="0.75" header="0.3" footer="0.3"/>
  <legacyDrawing r:id="rId1"/>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I240"/>
  <sheetViews>
    <sheetView topLeftCell="A14" workbookViewId="0">
      <selection activeCell="F14" sqref="F14"/>
    </sheetView>
  </sheetViews>
  <sheetFormatPr baseColWidth="10" defaultColWidth="8.83203125" defaultRowHeight="12"/>
  <cols>
    <col min="1" max="1" width="5.5" style="87" customWidth="1"/>
    <col min="2" max="2" width="14.6640625" style="87" hidden="1" customWidth="1"/>
    <col min="3" max="3" width="12.6640625" style="88" customWidth="1"/>
    <col min="4" max="4" width="14.1640625" style="87" customWidth="1"/>
    <col min="5" max="5" width="14" style="87" customWidth="1"/>
    <col min="6" max="6" width="37.5" style="87" customWidth="1"/>
    <col min="7" max="7" width="33" style="87" customWidth="1"/>
    <col min="8" max="8" width="8.83203125" style="87"/>
    <col min="9" max="9" width="8.83203125" style="92"/>
  </cols>
  <sheetData>
    <row r="1" spans="1:9" s="84" customFormat="1" ht="40">
      <c r="A1" s="89" t="s">
        <v>1556</v>
      </c>
      <c r="B1" s="89" t="s">
        <v>131</v>
      </c>
      <c r="C1" s="90" t="s">
        <v>1552</v>
      </c>
      <c r="D1" s="89" t="s">
        <v>408</v>
      </c>
      <c r="E1" s="89" t="s">
        <v>1557</v>
      </c>
      <c r="F1" s="89" t="s">
        <v>1558</v>
      </c>
      <c r="G1" s="89" t="s">
        <v>1553</v>
      </c>
      <c r="H1" s="89" t="s">
        <v>1555</v>
      </c>
      <c r="I1" s="91" t="s">
        <v>1554</v>
      </c>
    </row>
    <row r="2" spans="1:9" s="27" customFormat="1" ht="20">
      <c r="A2" s="85">
        <f>'Excercise - Al '!A2</f>
        <v>1</v>
      </c>
      <c r="B2" s="85" t="s">
        <v>132</v>
      </c>
      <c r="C2" s="86">
        <f>'Excercise - Al '!E2</f>
        <v>40298.208333333336</v>
      </c>
      <c r="D2" s="85" t="str">
        <f>IF('Excercise - Al '!F2&lt;&gt;0,'Excercise - Al '!F2,"")</f>
        <v>31st CHEM BDE - Notifies select staff</v>
      </c>
      <c r="E2" s="85" t="str">
        <f>IF('Excercise - Al '!G2&lt;&gt;"","MODE: "&amp;'Excercise - Al '!G2,"")&amp;IF('Excercise - Al '!H2&lt;&gt;"","   FROM: "&amp;'Excercise - Al '!H2,"")&amp;IF('Excercise - Al '!I2&lt;&gt;"","   INJECTED BY: "&amp;'Excercise - Al '!I2,"")&amp;IF('Excercise - Al '!J2&lt;&gt;"","   SEND TO: "&amp;'Excercise - Al '!J2,"")</f>
        <v>MODE: Not Injected</v>
      </c>
      <c r="F2" s="85" t="str">
        <f>IF('Excercise - Al '!K2&lt;&gt;"","STORYLINE: "&amp;'Excercise - Al '!K2,"")&amp;IF('Excercise - Al '!M2&lt;&gt;"","   DESCRIPTION: "&amp;'Excercise - Al '!M2,"")&amp;IF('Excercise - Al '!O2&lt;&gt;"","   NOTES/REMARKS: "&amp;'Excercise - Al '!O2,"")&amp;IF('Excercise - Al '!Q2&lt;&gt;"","   BACKGROUND INFO: "&amp;'Excercise - Al '!Q2,"")</f>
        <v/>
      </c>
      <c r="G2" s="85" t="str">
        <f>IF('Excercise - Al '!P2&lt;&gt;"","IMPLEMENTER: "&amp;'Excercise - Al '!P2,"")</f>
        <v/>
      </c>
      <c r="H2" s="85" t="str">
        <f>IF('Excercise - Al '!N2&lt;&gt;"","EXPECTED ACTIONS: "&amp;'Excercise - Al '!N2,"")</f>
        <v/>
      </c>
      <c r="I2" s="85" t="str">
        <f>'Excercise - Al '!R2</f>
        <v>Napier</v>
      </c>
    </row>
    <row r="3" spans="1:9" s="27" customFormat="1" ht="60">
      <c r="A3" s="85">
        <f>'Excercise - Al '!A3</f>
        <v>2</v>
      </c>
      <c r="B3" s="85"/>
      <c r="C3" s="86">
        <f>'Excercise - Al '!E3</f>
        <v>40299.166666666664</v>
      </c>
      <c r="D3" s="85" t="str">
        <f>IF('Excercise - Al '!F3&lt;&gt;0,'Excercise - Al '!F3,"")</f>
        <v>INFO</v>
      </c>
      <c r="E3" s="85" t="str">
        <f>IF('Excercise - Al '!G3&lt;&gt;"","MODE: "&amp;'Excercise - Al '!G3,"")&amp;IF('Excercise - Al '!H3&lt;&gt;"","   FROM: "&amp;'Excercise - Al '!H3,"")&amp;IF('Excercise - Al '!I3&lt;&gt;"","   INJECTED BY: "&amp;'Excercise - Al '!I3,"")&amp;IF('Excercise - Al '!J3&lt;&gt;"","   SEND TO: "&amp;'Excercise - Al '!J3,"")</f>
        <v>MODE: Email   FROM: Simcell - National Hurricane Center   INJECTED BY: KEANE   SEND TO: JOC, All</v>
      </c>
      <c r="F3" s="85" t="str">
        <f>IF('Excercise - Al '!K3&lt;&gt;"","STORYLINE: "&amp;'Excercise - Al '!K3,"")&amp;IF('Excercise - Al '!M3&lt;&gt;"","   DESCRIPTION: "&amp;'Excercise - Al '!M3,"")&amp;IF('Excercise - Al '!O3&lt;&gt;"","   NOTES/REMARKS: "&amp;'Excercise - Al '!O3,"")&amp;IF('Excercise - Al '!Q3&lt;&gt;"","   BACKGROUND INFO: "&amp;'Excercise - Al '!Q3,"")</f>
        <v>STORYLINE: Tropical Depression One Forms   DESCRIPTION: Tropical Depression One Forms</v>
      </c>
      <c r="G3" s="85" t="str">
        <f>IF('Excercise - Al '!P3&lt;&gt;"","IMPLEMENTER: "&amp;'Excercise - Al '!P3,"")</f>
        <v xml:space="preserve">IMPLEMENTER: On 01 May, 0400 HRS CDT, The National Hurricane Center issues Tropical Depression Advisory "One".  Current Location 14.5 N 74.1 W Max Sustained Wind 30mph  </v>
      </c>
      <c r="H3" s="85" t="str">
        <f>IF('Excercise - Al '!N3&lt;&gt;"","EXPECTED ACTIONS: "&amp;'Excercise - Al '!N3,"")</f>
        <v/>
      </c>
      <c r="I3" s="85" t="str">
        <f>'Excercise - Al '!R3</f>
        <v>Keane</v>
      </c>
    </row>
    <row r="4" spans="1:9" s="27" customFormat="1" ht="40">
      <c r="A4" s="85">
        <f>'Excercise - Al '!A4</f>
        <v>3</v>
      </c>
      <c r="B4" s="85"/>
      <c r="C4" s="86">
        <f>'Excercise - Al '!E4</f>
        <v>40299.208333333336</v>
      </c>
      <c r="D4" s="85" t="str">
        <f>IF('Excercise - Al '!F4&lt;&gt;0,'Excercise - Al '!F4,"")</f>
        <v>31st CHEM BDE - Telecon with unit CDRs  and issue verbal WARNO</v>
      </c>
      <c r="E4" s="85" t="str">
        <f>IF('Excercise - Al '!G4&lt;&gt;"","MODE: "&amp;'Excercise - Al '!G4,"")&amp;IF('Excercise - Al '!H4&lt;&gt;"","   FROM: "&amp;'Excercise - Al '!H4,"")&amp;IF('Excercise - Al '!I4&lt;&gt;"","   INJECTED BY: "&amp;'Excercise - Al '!I4,"")&amp;IF('Excercise - Al '!J4&lt;&gt;"","   SEND TO: "&amp;'Excercise - Al '!J4,"")</f>
        <v>MODE: Not Injected</v>
      </c>
      <c r="F4" s="85" t="str">
        <f>IF('Excercise - Al '!K4&lt;&gt;"","STORYLINE: "&amp;'Excercise - Al '!K4,"")&amp;IF('Excercise - Al '!M4&lt;&gt;"","   DESCRIPTION: "&amp;'Excercise - Al '!M4,"")&amp;IF('Excercise - Al '!O4&lt;&gt;"","   NOTES/REMARKS: "&amp;'Excercise - Al '!O4,"")&amp;IF('Excercise - Al '!Q4&lt;&gt;"","   BACKGROUND INFO: "&amp;'Excercise - Al '!Q4,"")</f>
        <v/>
      </c>
      <c r="G4" s="85" t="str">
        <f>IF('Excercise - Al '!P4&lt;&gt;"","IMPLEMENTER: "&amp;'Excercise - Al '!P4,"")</f>
        <v/>
      </c>
      <c r="H4" s="85" t="str">
        <f>IF('Excercise - Al '!N4&lt;&gt;"","EXPECTED ACTIONS: "&amp;'Excercise - Al '!N4,"")</f>
        <v/>
      </c>
      <c r="I4" s="85" t="str">
        <f>'Excercise - Al '!R4</f>
        <v>Napier</v>
      </c>
    </row>
    <row r="5" spans="1:9" s="27" customFormat="1" ht="40">
      <c r="A5" s="85">
        <f>'Excercise - Al '!A5</f>
        <v>4</v>
      </c>
      <c r="B5" s="85"/>
      <c r="C5" s="86">
        <f>'Excercise - Al '!E5</f>
        <v>40299.208333333336</v>
      </c>
      <c r="D5" s="85" t="str">
        <f>IF('Excercise - Al '!F5&lt;&gt;0,'Excercise - Al '!F5,"")</f>
        <v>31st CHEM BDE - Test alert roster of key personnel and for the 1165th and 690th</v>
      </c>
      <c r="E5" s="85" t="str">
        <f>IF('Excercise - Al '!G5&lt;&gt;"","MODE: "&amp;'Excercise - Al '!G5,"")&amp;IF('Excercise - Al '!H5&lt;&gt;"","   FROM: "&amp;'Excercise - Al '!H5,"")&amp;IF('Excercise - Al '!I5&lt;&gt;"","   INJECTED BY: "&amp;'Excercise - Al '!I5,"")&amp;IF('Excercise - Al '!J5&lt;&gt;"","   SEND TO: "&amp;'Excercise - Al '!J5,"")</f>
        <v>MODE: Not Injected</v>
      </c>
      <c r="F5" s="85" t="str">
        <f>IF('Excercise - Al '!K5&lt;&gt;"","STORYLINE: "&amp;'Excercise - Al '!K5,"")&amp;IF('Excercise - Al '!M5&lt;&gt;"","   DESCRIPTION: "&amp;'Excercise - Al '!M5,"")&amp;IF('Excercise - Al '!O5&lt;&gt;"","   NOTES/REMARKS: "&amp;'Excercise - Al '!O5,"")&amp;IF('Excercise - Al '!Q5&lt;&gt;"","   BACKGROUND INFO: "&amp;'Excercise - Al '!Q5,"")</f>
        <v/>
      </c>
      <c r="G5" s="85" t="str">
        <f>IF('Excercise - Al '!P5&lt;&gt;"","IMPLEMENTER: "&amp;'Excercise - Al '!P5,"")</f>
        <v/>
      </c>
      <c r="H5" s="85" t="str">
        <f>IF('Excercise - Al '!N5&lt;&gt;"","EXPECTED ACTIONS: "&amp;'Excercise - Al '!N5,"")</f>
        <v/>
      </c>
      <c r="I5" s="85" t="str">
        <f>'Excercise - Al '!R5</f>
        <v>Napier</v>
      </c>
    </row>
    <row r="6" spans="1:9" s="27" customFormat="1" ht="140">
      <c r="A6" s="85">
        <f>'Excercise - Al '!A6</f>
        <v>5</v>
      </c>
      <c r="B6" s="85"/>
      <c r="C6" s="86">
        <f>'Excercise - Al '!E6</f>
        <v>40299.416666666664</v>
      </c>
      <c r="D6" s="85" t="str">
        <f>IF('Excercise - Al '!F6&lt;&gt;0,'Excercise - Al '!F6,"")</f>
        <v>INFO</v>
      </c>
      <c r="E6" s="85" t="str">
        <f>IF('Excercise - Al '!G6&lt;&gt;"","MODE: "&amp;'Excercise - Al '!G6,"")&amp;IF('Excercise - Al '!H6&lt;&gt;"","   FROM: "&amp;'Excercise - Al '!H6,"")&amp;IF('Excercise - Al '!I6&lt;&gt;"","   INJECTED BY: "&amp;'Excercise - Al '!I6,"")&amp;IF('Excercise - Al '!J6&lt;&gt;"","   SEND TO: "&amp;'Excercise - Al '!J6,"")</f>
        <v>MODE: Email   FROM: Simcell - National Hurricane Center   INJECTED BY: KEANE   SEND TO: JOC, All</v>
      </c>
      <c r="F6" s="85" t="str">
        <f>IF('Excercise - Al '!K6&lt;&gt;"","STORYLINE: "&amp;'Excercise - Al '!K6,"")&amp;IF('Excercise - Al '!M6&lt;&gt;"","   DESCRIPTION: "&amp;'Excercise - Al '!M6,"")&amp;IF('Excercise - Al '!O6&lt;&gt;"","   NOTES/REMARKS: "&amp;'Excercise - Al '!O6,"")&amp;IF('Excercise - Al '!Q6&lt;&gt;"","   BACKGROUND INFO: "&amp;'Excercise - Al '!Q6,"")</f>
        <v>STORYLINE: Tropical Storm Al Update 2   DESCRIPTION: Tropical Storm Al Update 2</v>
      </c>
      <c r="G6" s="85" t="str">
        <f>IF('Excercise - Al '!P6&lt;&gt;"","IMPLEMENTER: "&amp;'Excercise - Al '!P6,"")</f>
        <v>IMPLEMENTER: _x000D_...FIRST TROPICAL STORM OF THE SEASON...AL NEARS THE COAST OF NICARAGUA..._x000D__x000D_SUMMARY OF 1100 AM EDT...1500 UTC...INFORMATION_x000D_-----------------------------------------------_x000D_LOCATION...14.9N 74.9W_x000D_ABOUT 220 MILES...354 KM...SOUTH SOUTHEAST OF KINGSTON JAMAICA _x000D_ABOUT 280 MILES...450 KM...NORTH OF BARRANQUILLA COLUMBIA _x000D_ABOUT 510 MILES...820 KM...NORTHEAST OF PANAMA CITY PANAMA_x000D_MAXIMUM SUSTAINED WINDS...45 MPH...39 KM/HR_x000D_PRESENT MOVEMENT...WNW OR 276 DEGREES AT 15 MPH...24 KM/HR_x000D_MINIMUM CENTRAL PRESSURE...999 MB...29.5 INCHES_x000D__x000D_</v>
      </c>
      <c r="H6" s="85" t="str">
        <f>IF('Excercise - Al '!N6&lt;&gt;"","EXPECTED ACTIONS: "&amp;'Excercise - Al '!N6,"")</f>
        <v/>
      </c>
      <c r="I6" s="85" t="str">
        <f>'Excercise - Al '!R6</f>
        <v>Keane</v>
      </c>
    </row>
    <row r="7" spans="1:9" s="27" customFormat="1" ht="130">
      <c r="A7" s="85">
        <f>'Excercise - Al '!A7</f>
        <v>6</v>
      </c>
      <c r="B7" s="85"/>
      <c r="C7" s="86">
        <f>'Excercise - Al '!E7</f>
        <v>40299.666666666664</v>
      </c>
      <c r="D7" s="85" t="str">
        <f>IF('Excercise - Al '!F7&lt;&gt;0,'Excercise - Al '!F7,"")</f>
        <v>INFO</v>
      </c>
      <c r="E7" s="85" t="str">
        <f>IF('Excercise - Al '!G7&lt;&gt;"","MODE: "&amp;'Excercise - Al '!G7,"")&amp;IF('Excercise - Al '!H7&lt;&gt;"","   FROM: "&amp;'Excercise - Al '!H7,"")&amp;IF('Excercise - Al '!I7&lt;&gt;"","   INJECTED BY: "&amp;'Excercise - Al '!I7,"")&amp;IF('Excercise - Al '!J7&lt;&gt;"","   SEND TO: "&amp;'Excercise - Al '!J7,"")</f>
        <v>MODE: Email   FROM: Simcell - National Hurricane Center   INJECTED BY: KEANE   SEND TO: JOC, All</v>
      </c>
      <c r="F7" s="85" t="str">
        <f>IF('Excercise - Al '!K7&lt;&gt;"","STORYLINE: "&amp;'Excercise - Al '!K7,"")&amp;IF('Excercise - Al '!M7&lt;&gt;"","   DESCRIPTION: "&amp;'Excercise - Al '!M7,"")&amp;IF('Excercise - Al '!O7&lt;&gt;"","   NOTES/REMARKS: "&amp;'Excercise - Al '!O7,"")&amp;IF('Excercise - Al '!Q7&lt;&gt;"","   BACKGROUND INFO: "&amp;'Excercise - Al '!Q7,"")</f>
        <v>STORYLINE: Tropical Storm Al Update 3   DESCRIPTION: Tropical Storm Al Update 3</v>
      </c>
      <c r="G7" s="85" t="str">
        <f>IF('Excercise - Al '!P7&lt;&gt;"","IMPLEMENTER: "&amp;'Excercise - Al '!P7,"")</f>
        <v>IMPLEMENTER: _x000D_...TROPICAL STORM AL STRENGTHENS AS IT NEARS THE COAST OF NICARAGUA..._x000D__x000D_SUMMARY OF 1700 AM EDT...2100 UTC...INFORMATION_x000D_-----------------------------------------------_x000D_LOCATION...15.30 N 76.20 W_x000D_ABOUT 188 MILES...303 KM...167 DEGREES...SOUTH-SOUTHEAST OF KINGSTON JAMAICA _x000D_ABOUT 312 MILES...502 KM...343 DEGREES...NORTH-NORTHWEST OF BARRANQUILLA COLUMBIA _x000D_MAXIMUM SUSTAINED WINDS...60 MPH...99 KM/HR_x000D_PRESENT MOVEMENT...WESTERLY OR 275 DEGREES AT 10 MPH...16 KM/HR_x000D_MINIMUM CENTRAL PRESSURE...997 MB...29.44 INCHES_x000D__x000D_</v>
      </c>
      <c r="H7" s="85" t="str">
        <f>IF('Excercise - Al '!N7&lt;&gt;"","EXPECTED ACTIONS: "&amp;'Excercise - Al '!N7,"")</f>
        <v/>
      </c>
      <c r="I7" s="85" t="str">
        <f>'Excercise - Al '!R7</f>
        <v>Keane</v>
      </c>
    </row>
    <row r="8" spans="1:9" s="27" customFormat="1" ht="130">
      <c r="A8" s="85">
        <f>'Excercise - Al '!A8</f>
        <v>7</v>
      </c>
      <c r="B8" s="85"/>
      <c r="C8" s="86">
        <f>'Excercise - Al '!E8</f>
        <v>40299.916666666664</v>
      </c>
      <c r="D8" s="85" t="str">
        <f>IF('Excercise - Al '!F8&lt;&gt;0,'Excercise - Al '!F8,"")</f>
        <v>INFO</v>
      </c>
      <c r="E8" s="85" t="str">
        <f>IF('Excercise - Al '!G8&lt;&gt;"","MODE: "&amp;'Excercise - Al '!G8,"")&amp;IF('Excercise - Al '!H8&lt;&gt;"","   FROM: "&amp;'Excercise - Al '!H8,"")&amp;IF('Excercise - Al '!I8&lt;&gt;"","   INJECTED BY: "&amp;'Excercise - Al '!I8,"")&amp;IF('Excercise - Al '!J8&lt;&gt;"","   SEND TO: "&amp;'Excercise - Al '!J8,"")</f>
        <v>MODE: Email   FROM: Simcell - National Hurricane Center   INJECTED BY: KEANE   SEND TO: JOC, All</v>
      </c>
      <c r="F8" s="85" t="str">
        <f>IF('Excercise - Al '!K8&lt;&gt;"","STORYLINE: "&amp;'Excercise - Al '!K8,"")&amp;IF('Excercise - Al '!M8&lt;&gt;"","   DESCRIPTION: "&amp;'Excercise - Al '!M8,"")&amp;IF('Excercise - Al '!O8&lt;&gt;"","   NOTES/REMARKS: "&amp;'Excercise - Al '!O8,"")&amp;IF('Excercise - Al '!Q8&lt;&gt;"","   BACKGROUND INFO: "&amp;'Excercise - Al '!Q8,"")</f>
        <v>STORYLINE: Tropical Storm Al Update 4   DESCRIPTION: Tropical Storm Al Update 4</v>
      </c>
      <c r="G8" s="85" t="str">
        <f>IF('Excercise - Al '!P8&lt;&gt;"","IMPLEMENTER: "&amp;'Excercise - Al '!P8,"")</f>
        <v>IMPLEMENTER: _x000D_...AL BECOMES A HURRICANE AS IT NEARS THE NORTH COAST OF NICARAGUA..._x000D__x000D_SUMMARY OF 1100 PM EDT...0300 UTC...INFORMATION_x000D_-----------------------------------------------_x000D_LOCATION...15.50 N 77.10 W_x000D_ABOUT 172 MILES...277 KM...SOUTH SOUTHEAST OF KINGSTON JAMAICA _x000D_ABOUT 366 MILES...589 KM...NORTH-NORTHWEST OF CARTAGENA COLUMBIA _x000D_MAXIMUM SUSTAINED WINDS...85 MPH...137 KM/HR_x000D_PRESENT MOVEMENT...WNW OR 284 DEGREES AT 12 MPH...19 KM/HR_x000D_MINIMUM CENTRAL PRESSURE...980 MB...28.94 INCHES_x000D__x000D_</v>
      </c>
      <c r="H8" s="85" t="str">
        <f>IF('Excercise - Al '!N8&lt;&gt;"","EXPECTED ACTIONS: "&amp;'Excercise - Al '!N8,"")</f>
        <v/>
      </c>
      <c r="I8" s="85" t="str">
        <f>'Excercise - Al '!R8</f>
        <v>Keane</v>
      </c>
    </row>
    <row r="9" spans="1:9" s="27" customFormat="1" ht="140">
      <c r="A9" s="85">
        <f>'Excercise - Al '!A9</f>
        <v>8</v>
      </c>
      <c r="B9" s="85"/>
      <c r="C9" s="86">
        <f>'Excercise - Al '!E9</f>
        <v>40300.166666666664</v>
      </c>
      <c r="D9" s="85" t="str">
        <f>IF('Excercise - Al '!F9&lt;&gt;0,'Excercise - Al '!F9,"")</f>
        <v>INFO</v>
      </c>
      <c r="E9" s="85" t="str">
        <f>IF('Excercise - Al '!G9&lt;&gt;"","MODE: "&amp;'Excercise - Al '!G9,"")&amp;IF('Excercise - Al '!H9&lt;&gt;"","   FROM: "&amp;'Excercise - Al '!H9,"")&amp;IF('Excercise - Al '!I9&lt;&gt;"","   INJECTED BY: "&amp;'Excercise - Al '!I9,"")&amp;IF('Excercise - Al '!J9&lt;&gt;"","   SEND TO: "&amp;'Excercise - Al '!J9,"")</f>
        <v>MODE: Email   FROM: Simcell - National Hurricane Center   INJECTED BY: KEANE   SEND TO: JOC, All</v>
      </c>
      <c r="F9" s="85" t="str">
        <f>IF('Excercise - Al '!K9&lt;&gt;"","STORYLINE: "&amp;'Excercise - Al '!K9,"")&amp;IF('Excercise - Al '!M9&lt;&gt;"","   DESCRIPTION: "&amp;'Excercise - Al '!M9,"")&amp;IF('Excercise - Al '!O9&lt;&gt;"","   NOTES/REMARKS: "&amp;'Excercise - Al '!O9,"")&amp;IF('Excercise - Al '!Q9&lt;&gt;"","   BACKGROUND INFO: "&amp;'Excercise - Al '!Q9,"")</f>
        <v>STORYLINE: Tropical Storm Al Update 4   DESCRIPTION: Tropical Storm Al Update 4</v>
      </c>
      <c r="G9" s="85" t="str">
        <f>IF('Excercise - Al '!P9&lt;&gt;"","IMPLEMENTER: "&amp;'Excercise - Al '!P9,"")</f>
        <v>IMPLEMENTER: _x000D_...AL REMAINS A CAT 1 HURRICANE MOVING EAST TO WEST...SOUTH OF JAMAICA...GAINING STRENGTH..._x000D__x000D_SUMMARY OF 0500 AM EDT...0900 UTC...INFORMATION_x000D_-----------------------------------------------_x000D_LOCATION...15.90 N 78.10 W_x000D_ABOUT 159 MILES... 255 KM... SOUTH NEGRIL JAMAICA _x000D_ABOUT 317 MILES... 510 KM... SOUTHEAST OF GEORGE TOWN CAYMAN ISLANDS _x000D_ABOUT 375 MILES... 604 KM... EAST-NORTHEAST OF PUERTO CABEZAS NICARAGUA _x000D_MAXIMUM SUSTAINED WINDS...85 MPH...137 KM/HR_x000D_PRESENT MOVEMENT...WNW OR 282 DEGREES AT 12 MPH...19 KM/HR_x000D_MINIMUM CENTRAL PRESSURE...979 MB...28.91 INCHES_x000D__x000D_</v>
      </c>
      <c r="H9" s="85" t="str">
        <f>IF('Excercise - Al '!N9&lt;&gt;"","EXPECTED ACTIONS: "&amp;'Excercise - Al '!N9,"")</f>
        <v/>
      </c>
      <c r="I9" s="85" t="str">
        <f>'Excercise - Al '!R9</f>
        <v>Keane</v>
      </c>
    </row>
    <row r="10" spans="1:9" s="27" customFormat="1" ht="20">
      <c r="A10" s="85">
        <f>'Excercise - Al '!A10</f>
        <v>9</v>
      </c>
      <c r="B10" s="85"/>
      <c r="C10" s="86">
        <f>'Excercise - Al '!E10</f>
        <v>40300.208333333336</v>
      </c>
      <c r="D10" s="85" t="str">
        <f>IF('Excercise - Al '!F10&lt;&gt;0,'Excercise - Al '!F10,"")</f>
        <v>INFO</v>
      </c>
      <c r="E10" s="85" t="str">
        <f>IF('Excercise - Al '!G10&lt;&gt;"","MODE: "&amp;'Excercise - Al '!G10,"")&amp;IF('Excercise - Al '!H10&lt;&gt;"","   FROM: "&amp;'Excercise - Al '!H10,"")&amp;IF('Excercise - Al '!I10&lt;&gt;"","   INJECTED BY: "&amp;'Excercise - Al '!I10,"")&amp;IF('Excercise - Al '!J10&lt;&gt;"","   SEND TO: "&amp;'Excercise - Al '!J10,"")</f>
        <v/>
      </c>
      <c r="F10" s="85" t="str">
        <f>IF('Excercise - Al '!K10&lt;&gt;"","STORYLINE: "&amp;'Excercise - Al '!K10,"")&amp;IF('Excercise - Al '!M10&lt;&gt;"","   DESCRIPTION: "&amp;'Excercise - Al '!M10,"")&amp;IF('Excercise - Al '!O10&lt;&gt;"","   NOTES/REMARKS: "&amp;'Excercise - Al '!O10,"")&amp;IF('Excercise - Al '!Q10&lt;&gt;"","   BACKGROUND INFO: "&amp;'Excercise - Al '!Q10,"")</f>
        <v>STORYLINE: Tropical Storm Al Update 5   DESCRIPTION: Tropical Storm Al Update 5</v>
      </c>
      <c r="G10" s="85" t="str">
        <f>IF('Excercise - Al '!P10&lt;&gt;"","IMPLEMENTER: "&amp;'Excercise - Al '!P10,"")</f>
        <v/>
      </c>
      <c r="H10" s="85" t="str">
        <f>IF('Excercise - Al '!N10&lt;&gt;"","EXPECTED ACTIONS: "&amp;'Excercise - Al '!N10,"")</f>
        <v/>
      </c>
      <c r="I10" s="85" t="str">
        <f>'Excercise - Al '!R10</f>
        <v>Jenne</v>
      </c>
    </row>
    <row r="11" spans="1:9" s="27" customFormat="1" ht="110">
      <c r="A11" s="85">
        <f>'Excercise - Al '!A11</f>
        <v>10</v>
      </c>
      <c r="B11" s="85"/>
      <c r="C11" s="86">
        <f>'Excercise - Al '!E11</f>
        <v>40300.416666666664</v>
      </c>
      <c r="D11" s="85" t="str">
        <f>IF('Excercise - Al '!F11&lt;&gt;0,'Excercise - Al '!F11,"")</f>
        <v>INFO</v>
      </c>
      <c r="E11" s="85" t="str">
        <f>IF('Excercise - Al '!G11&lt;&gt;"","MODE: "&amp;'Excercise - Al '!G11,"")&amp;IF('Excercise - Al '!H11&lt;&gt;"","   FROM: "&amp;'Excercise - Al '!H11,"")&amp;IF('Excercise - Al '!I11&lt;&gt;"","   INJECTED BY: "&amp;'Excercise - Al '!I11,"")&amp;IF('Excercise - Al '!J11&lt;&gt;"","   SEND TO: "&amp;'Excercise - Al '!J11,"")</f>
        <v>MODE: Email   FROM: Simcell - National Hurricane Center   INJECTED BY: KEANE   SEND TO: JOC, All</v>
      </c>
      <c r="F11" s="85" t="str">
        <f>IF('Excercise - Al '!K11&lt;&gt;"","STORYLINE: "&amp;'Excercise - Al '!K11,"")&amp;IF('Excercise - Al '!M11&lt;&gt;"","   DESCRIPTION: "&amp;'Excercise - Al '!M11,"")&amp;IF('Excercise - Al '!O11&lt;&gt;"","   NOTES/REMARKS: "&amp;'Excercise - Al '!O11,"")&amp;IF('Excercise - Al '!Q11&lt;&gt;"","   BACKGROUND INFO: "&amp;'Excercise - Al '!Q11,"")</f>
        <v>STORYLINE: Tropical Storm Al Update 6   DESCRIPTION: Tropical Storm Al Update 6</v>
      </c>
      <c r="G11" s="85" t="str">
        <f>IF('Excercise - Al '!P11&lt;&gt;"","IMPLEMENTER: "&amp;'Excercise - Al '!P11,"")</f>
        <v>IMPLEMENTER: _x000D_... HURRICANE AL TRACKS TOWARD THE YUCATAN..._x000D__x000D_SUMMARY OF 1100 AM EDT...0900 UTC...INFORMATION_x000D_-----------------------------------------------_x000D_LOCATION...16.3N 79.0W_x000D_ABOUT 257 MILES... 321 KM...SOUTH SOUTHEAST OF GEORGE TOWN CAYMAN ISLANDS _x000D_ABOUT 137 MILES... 222 KM...SOUTH OF NEGRIL JAMAICA _x000D_MAXIMUM SUSTAINED WINDS...85 MPH...137 KM/HR_x000D_PRESENT MOVEMENT...WNW OR 284 DEGREES AT 12 MPH...19 KM/HR_x000D_MINIMUM CENTRAL PRESSURE...977 MB...28.85 INCHES_x000D__x000D_</v>
      </c>
      <c r="H11" s="85" t="str">
        <f>IF('Excercise - Al '!N11&lt;&gt;"","EXPECTED ACTIONS: "&amp;'Excercise - Al '!N11,"")</f>
        <v/>
      </c>
      <c r="I11" s="85" t="str">
        <f>'Excercise - Al '!R11</f>
        <v>Keane</v>
      </c>
    </row>
    <row r="12" spans="1:9" s="27" customFormat="1" ht="70">
      <c r="A12" s="85">
        <f>'Excercise - Al '!A12</f>
        <v>11</v>
      </c>
      <c r="B12" s="85"/>
      <c r="C12" s="86">
        <f>'Excercise - Al '!E12</f>
        <v>40300.5</v>
      </c>
      <c r="D12" s="85" t="str">
        <f>IF('Excercise - Al '!F12&lt;&gt;0,'Excercise - Al '!F12,"")</f>
        <v>RFI</v>
      </c>
      <c r="E12" s="85" t="str">
        <f>IF('Excercise - Al '!G12&lt;&gt;"","MODE: "&amp;'Excercise - Al '!G12,"")&amp;IF('Excercise - Al '!H12&lt;&gt;"","   FROM: "&amp;'Excercise - Al '!H12,"")&amp;IF('Excercise - Al '!I12&lt;&gt;"","   INJECTED BY: "&amp;'Excercise - Al '!I12,"")&amp;IF('Excercise - Al '!J12&lt;&gt;"","   SEND TO: "&amp;'Excercise - Al '!J12,"")</f>
        <v>MODE: Email   FROM: Each Task Force   INJECTED BY: TF S2   SEND TO: JOC, J2</v>
      </c>
      <c r="F12" s="85" t="str">
        <f>IF('Excercise - Al '!K12&lt;&gt;"","STORYLINE: "&amp;'Excercise - Al '!K12,"")&amp;IF('Excercise - Al '!M12&lt;&gt;"","   DESCRIPTION: "&amp;'Excercise - Al '!M12,"")&amp;IF('Excercise - Al '!O12&lt;&gt;"","   NOTES/REMARKS: "&amp;'Excercise - Al '!O12,"")&amp;IF('Excercise - Al '!Q12&lt;&gt;"","   BACKGROUND INFO: "&amp;'Excercise - Al '!Q12,"")</f>
        <v xml:space="preserve">   DESCRIPTION: Weather Update/Storm Track</v>
      </c>
      <c r="G12" s="85" t="str">
        <f>IF('Excercise - Al '!P12&lt;&gt;"","IMPLEMENTER: "&amp;'Excercise - Al '!P12,"")</f>
        <v>IMPLEMENTER: Weather RFI from Task Force to J2</v>
      </c>
      <c r="H12" s="85" t="str">
        <f>IF('Excercise - Al '!N12&lt;&gt;"","EXPECTED ACTIONS: "&amp;'Excercise - Al '!N12,"")</f>
        <v>EXPECTED ACTIONS: J2 Provides latest Weather and Storm Track to the TFs</v>
      </c>
      <c r="I12" s="85" t="str">
        <f>'Excercise - Al '!R12</f>
        <v>Houlton</v>
      </c>
    </row>
    <row r="13" spans="1:9" s="27" customFormat="1" ht="120">
      <c r="A13" s="85">
        <f>'Excercise - Al '!A13</f>
        <v>12</v>
      </c>
      <c r="B13" s="85"/>
      <c r="C13" s="86">
        <f>'Excercise - Al '!E13</f>
        <v>40300.666666666664</v>
      </c>
      <c r="D13" s="85" t="str">
        <f>IF('Excercise - Al '!F13&lt;&gt;0,'Excercise - Al '!F13,"")</f>
        <v>INFO</v>
      </c>
      <c r="E13" s="85" t="str">
        <f>IF('Excercise - Al '!G13&lt;&gt;"","MODE: "&amp;'Excercise - Al '!G13,"")&amp;IF('Excercise - Al '!H13&lt;&gt;"","   FROM: "&amp;'Excercise - Al '!H13,"")&amp;IF('Excercise - Al '!I13&lt;&gt;"","   INJECTED BY: "&amp;'Excercise - Al '!I13,"")&amp;IF('Excercise - Al '!J13&lt;&gt;"","   SEND TO: "&amp;'Excercise - Al '!J13,"")</f>
        <v>MODE: Email   FROM: Simcell - National Hurricane Center   INJECTED BY: KEANE   SEND TO: JOC, All</v>
      </c>
      <c r="F13" s="85" t="str">
        <f>IF('Excercise - Al '!K13&lt;&gt;"","STORYLINE: "&amp;'Excercise - Al '!K13,"")&amp;IF('Excercise - Al '!M13&lt;&gt;"","   DESCRIPTION: "&amp;'Excercise - Al '!M13,"")&amp;IF('Excercise - Al '!O13&lt;&gt;"","   NOTES/REMARKS: "&amp;'Excercise - Al '!O13,"")&amp;IF('Excercise - Al '!Q13&lt;&gt;"","   BACKGROUND INFO: "&amp;'Excercise - Al '!Q13,"")</f>
        <v>STORYLINE: Tropical Storm Al Update 7   DESCRIPTION: Tropical Storm Al Update 7</v>
      </c>
      <c r="G13" s="85" t="str">
        <f>IF('Excercise - Al '!P13&lt;&gt;"","IMPLEMENTER: "&amp;'Excercise - Al '!P13,"")</f>
        <v>IMPLEMENTER: _x000D_... HURRICANE AL TRACKS TOWARD THE YUCATAN...AS A CATEGORY TWO HURRICANE..._x000D__x000D_SUMMARY OF 0500 AM EDT...0900 UTC...INFORMATION_x000D_-----------------------------------------------_x000D_LOCATION...16.7N 80.0W_x000D_ABOUT 199 MILES... 321 KM...SOUTH SOUTHEAST OF GEORGE TOWN CAYMAN ISLANDS _x000D_ABOUT 150 MILES... 241 KM...NEGRIL JAMAICA _x000D_MAXIMUM SUSTAINED WINDS...105 MPH...169 KM/HR_x000D_PRESENT MOVEMENT...WNW OR 292 DEGREES AT 12 MPH...19 KM/HR_x000D_MINIMUM CENTRAL PRESSURE...968 MB...28.59 INCHES_x000D__x000D_</v>
      </c>
      <c r="H13" s="85" t="str">
        <f>IF('Excercise - Al '!N13&lt;&gt;"","EXPECTED ACTIONS: "&amp;'Excercise - Al '!N13,"")</f>
        <v/>
      </c>
      <c r="I13" s="85" t="str">
        <f>'Excercise - Al '!R13</f>
        <v>Keane</v>
      </c>
    </row>
    <row r="14" spans="1:9" s="27" customFormat="1" ht="130">
      <c r="A14" s="85">
        <f>'Excercise - Al '!A14</f>
        <v>13</v>
      </c>
      <c r="B14" s="85"/>
      <c r="C14" s="86">
        <f>'Excercise - Al '!E14</f>
        <v>40300.916666666664</v>
      </c>
      <c r="D14" s="85" t="str">
        <f>IF('Excercise - Al '!F14&lt;&gt;0,'Excercise - Al '!F14,"")</f>
        <v>INFO</v>
      </c>
      <c r="E14" s="85" t="str">
        <f>IF('Excercise - Al '!G14&lt;&gt;"","MODE: "&amp;'Excercise - Al '!G14,"")&amp;IF('Excercise - Al '!H14&lt;&gt;"","   FROM: "&amp;'Excercise - Al '!H14,"")&amp;IF('Excercise - Al '!I14&lt;&gt;"","   INJECTED BY: "&amp;'Excercise - Al '!I14,"")&amp;IF('Excercise - Al '!J14&lt;&gt;"","   SEND TO: "&amp;'Excercise - Al '!J14,"")</f>
        <v>MODE: Email   FROM: Simcell - National Hurricane Center   INJECTED BY: KEANE   SEND TO: JOC, All</v>
      </c>
      <c r="F14" s="85" t="str">
        <f>IF('Excercise - Al '!K14&lt;&gt;"","STORYLINE: "&amp;'Excercise - Al '!K14,"")&amp;IF('Excercise - Al '!M14&lt;&gt;"","   DESCRIPTION: "&amp;'Excercise - Al '!M14,"")&amp;IF('Excercise - Al '!O14&lt;&gt;"","   NOTES/REMARKS: "&amp;'Excercise - Al '!O14,"")&amp;IF('Excercise - Al '!Q14&lt;&gt;"","   BACKGROUND INFO: "&amp;'Excercise - Al '!Q14,"")</f>
        <v>STORYLINE: Tropical Storm Al Update 8   DESCRIPTION: Tropical Storm Al Update 8</v>
      </c>
      <c r="G14" s="85" t="str">
        <f>IF('Excercise - Al '!P14&lt;&gt;"","IMPLEMENTER: "&amp;'Excercise - Al '!P14,"")</f>
        <v>IMPLEMENTER: _x000D_... HURRICANE AL GAINS MOMENTUM AS A CATEGORY TWO HURRICANE..._x000D__x000D_SUMMARY OF 2300 PM EDT...0300 UTC...INFORMATION_x000D_-----------------------------------------------_x000D_LOCATION...17.1N 80.9W_x000D_ABOUT 184 MILES...296 KM...WEST-SOUTHWEST NEGRIL JAMAICA _x000D_ABOUT 154 MILES...249 KM...SOUTH-SOUTHEAST OF GEORGE TOWN CAYMAN ISLANDS _x000D_MAXIMUM SUSTAINED WINDS...105 MPH...169 KM/HR_x000D_PRESENT MOVEMENT...WNW OR 292 DEGREES AT 15 MPH...24 KM/HR_x000D_MINIMUM CENTRAL PRESSURE...963 MB...28.44 INCHES_x000D__x000D_</v>
      </c>
      <c r="H14" s="85" t="str">
        <f>IF('Excercise - Al '!N14&lt;&gt;"","EXPECTED ACTIONS: "&amp;'Excercise - Al '!N14,"")</f>
        <v/>
      </c>
      <c r="I14" s="85" t="str">
        <f>'Excercise - Al '!R14</f>
        <v>Keane</v>
      </c>
    </row>
    <row r="15" spans="1:9" s="27" customFormat="1" ht="120">
      <c r="A15" s="85">
        <f>'Excercise - Al '!A15</f>
        <v>14</v>
      </c>
      <c r="B15" s="85"/>
      <c r="C15" s="86">
        <f>'Excercise - Al '!E15</f>
        <v>40301.166666666664</v>
      </c>
      <c r="D15" s="85" t="str">
        <f>IF('Excercise - Al '!F15&lt;&gt;0,'Excercise - Al '!F15,"")</f>
        <v>INFO</v>
      </c>
      <c r="E15" s="85" t="str">
        <f>IF('Excercise - Al '!G15&lt;&gt;"","MODE: "&amp;'Excercise - Al '!G15,"")&amp;IF('Excercise - Al '!H15&lt;&gt;"","   FROM: "&amp;'Excercise - Al '!H15,"")&amp;IF('Excercise - Al '!I15&lt;&gt;"","   INJECTED BY: "&amp;'Excercise - Al '!I15,"")&amp;IF('Excercise - Al '!J15&lt;&gt;"","   SEND TO: "&amp;'Excercise - Al '!J15,"")</f>
        <v>MODE: Email   FROM: Simcell - National Hurricane Center   INJECTED BY: KEANE   SEND TO: JOC, All</v>
      </c>
      <c r="F15" s="85" t="str">
        <f>IF('Excercise - Al '!K15&lt;&gt;"","STORYLINE: "&amp;'Excercise - Al '!K15,"")&amp;IF('Excercise - Al '!M15&lt;&gt;"","   DESCRIPTION: "&amp;'Excercise - Al '!M15,"")&amp;IF('Excercise - Al '!O15&lt;&gt;"","   NOTES/REMARKS: "&amp;'Excercise - Al '!O15,"")&amp;IF('Excercise - Al '!Q15&lt;&gt;"","   BACKGROUND INFO: "&amp;'Excercise - Al '!Q15,"")</f>
        <v>STORYLINE: Tropical Storm Al Update 9   DESCRIPTION: Tropical Storm Al Update 9</v>
      </c>
      <c r="G15" s="85" t="str">
        <f>IF('Excercise - Al '!P15&lt;&gt;"","IMPLEMENTER: "&amp;'Excercise - Al '!P15,"")</f>
        <v>IMPLEMENTER: _x000D_... HURRICANE AL CONTINUES ON A TRACK TOWARD COZUMEL..._x000D__x000D_SUMMARY OF 0500 AM EDT...0900 UTC...INFORMATION_x000D_-----------------------------------------------_x000D_LOCATION...17.7N 82.1W_x000D_ABOUT 250 MILES...401 KM...WEST-SOUTHWEST NEGRIL JAMAICA _x000D_ABOUT 154 MILES...249 KM...SOUTH-SOUTHEAST OF GEORGE TOWN CAYMAN ISLANDS _x000D_MAXIMUM SUSTAINED WINDS...105 MPH...169 KM/HR_x000D_PRESENT MOVEMENT...WNW OR 294 DEGREES AT 14 MPH...23 KM/HR_x000D_MINIMUM CENTRAL PRESSURE...960 MB...28.35 INCHES_x000D__x000D_</v>
      </c>
      <c r="H15" s="85" t="str">
        <f>IF('Excercise - Al '!N15&lt;&gt;"","EXPECTED ACTIONS: "&amp;'Excercise - Al '!N15,"")</f>
        <v/>
      </c>
      <c r="I15" s="85" t="str">
        <f>'Excercise - Al '!R15</f>
        <v>Keane</v>
      </c>
    </row>
    <row r="16" spans="1:9" s="27" customFormat="1" ht="40">
      <c r="A16" s="85">
        <f>'Excercise - Al '!A16</f>
        <v>15</v>
      </c>
      <c r="B16" s="85"/>
      <c r="C16" s="86">
        <f>'Excercise - Al '!E16</f>
        <v>40301.208333333336</v>
      </c>
      <c r="D16" s="85" t="str">
        <f>IF('Excercise - Al '!F16&lt;&gt;0,'Excercise - Al '!F16,"")</f>
        <v>31st CHEM BDE - Stands up the CAC and begins tracking storm</v>
      </c>
      <c r="E16" s="85" t="str">
        <f>IF('Excercise - Al '!G16&lt;&gt;"","MODE: "&amp;'Excercise - Al '!G16,"")&amp;IF('Excercise - Al '!H16&lt;&gt;"","   FROM: "&amp;'Excercise - Al '!H16,"")&amp;IF('Excercise - Al '!I16&lt;&gt;"","   INJECTED BY: "&amp;'Excercise - Al '!I16,"")&amp;IF('Excercise - Al '!J16&lt;&gt;"","   SEND TO: "&amp;'Excercise - Al '!J16,"")</f>
        <v>MODE: Not Injected</v>
      </c>
      <c r="F16" s="85" t="str">
        <f>IF('Excercise - Al '!K16&lt;&gt;"","STORYLINE: "&amp;'Excercise - Al '!K16,"")&amp;IF('Excercise - Al '!M16&lt;&gt;"","   DESCRIPTION: "&amp;'Excercise - Al '!M16,"")&amp;IF('Excercise - Al '!O16&lt;&gt;"","   NOTES/REMARKS: "&amp;'Excercise - Al '!O16,"")&amp;IF('Excercise - Al '!Q16&lt;&gt;"","   BACKGROUND INFO: "&amp;'Excercise - Al '!Q16,"")</f>
        <v/>
      </c>
      <c r="G16" s="85" t="str">
        <f>IF('Excercise - Al '!P16&lt;&gt;"","IMPLEMENTER: "&amp;'Excercise - Al '!P16,"")</f>
        <v/>
      </c>
      <c r="H16" s="85" t="str">
        <f>IF('Excercise - Al '!N16&lt;&gt;"","EXPECTED ACTIONS: "&amp;'Excercise - Al '!N16,"")</f>
        <v/>
      </c>
      <c r="I16" s="85" t="str">
        <f>'Excercise - Al '!R16</f>
        <v>Napier</v>
      </c>
    </row>
    <row r="17" spans="1:9" s="27" customFormat="1" ht="30">
      <c r="A17" s="85">
        <f>'Excercise - Al '!A17</f>
        <v>16</v>
      </c>
      <c r="B17" s="85"/>
      <c r="C17" s="86">
        <f>'Excercise - Al '!E17</f>
        <v>40301.208333333336</v>
      </c>
      <c r="D17" s="85" t="str">
        <f>IF('Excercise - Al '!F17&lt;&gt;0,'Excercise - Al '!F17,"")</f>
        <v>31st CHEM BDE - Alert 1165th &amp; 690th O/O Activate</v>
      </c>
      <c r="E17" s="85" t="str">
        <f>IF('Excercise - Al '!G17&lt;&gt;"","MODE: "&amp;'Excercise - Al '!G17,"")&amp;IF('Excercise - Al '!H17&lt;&gt;"","   FROM: "&amp;'Excercise - Al '!H17,"")&amp;IF('Excercise - Al '!I17&lt;&gt;"","   INJECTED BY: "&amp;'Excercise - Al '!I17,"")&amp;IF('Excercise - Al '!J17&lt;&gt;"","   SEND TO: "&amp;'Excercise - Al '!J17,"")</f>
        <v>MODE: Not Injected</v>
      </c>
      <c r="F17" s="85" t="str">
        <f>IF('Excercise - Al '!K17&lt;&gt;"","STORYLINE: "&amp;'Excercise - Al '!K17,"")&amp;IF('Excercise - Al '!M17&lt;&gt;"","   DESCRIPTION: "&amp;'Excercise - Al '!M17,"")&amp;IF('Excercise - Al '!O17&lt;&gt;"","   NOTES/REMARKS: "&amp;'Excercise - Al '!O17,"")&amp;IF('Excercise - Al '!Q17&lt;&gt;"","   BACKGROUND INFO: "&amp;'Excercise - Al '!Q17,"")</f>
        <v/>
      </c>
      <c r="G17" s="85" t="str">
        <f>IF('Excercise - Al '!P17&lt;&gt;"","IMPLEMENTER: "&amp;'Excercise - Al '!P17,"")</f>
        <v/>
      </c>
      <c r="H17" s="85" t="str">
        <f>IF('Excercise - Al '!N17&lt;&gt;"","EXPECTED ACTIONS: "&amp;'Excercise - Al '!N17,"")</f>
        <v/>
      </c>
      <c r="I17" s="85" t="str">
        <f>'Excercise - Al '!R17</f>
        <v>Napier</v>
      </c>
    </row>
    <row r="18" spans="1:9" s="27" customFormat="1" ht="50">
      <c r="A18" s="85">
        <f>'Excercise - Al '!A18</f>
        <v>17</v>
      </c>
      <c r="B18" s="85"/>
      <c r="C18" s="86">
        <f>'Excercise - Al '!E18</f>
        <v>40301.292361111111</v>
      </c>
      <c r="D18" s="85" t="str">
        <f>IF('Excercise - Al '!F18&lt;&gt;0,'Excercise - Al '!F18,"")</f>
        <v xml:space="preserve">LNO to SEOC </v>
      </c>
      <c r="E18" s="85" t="str">
        <f>IF('Excercise - Al '!G18&lt;&gt;"","MODE: "&amp;'Excercise - Al '!G18,"")&amp;IF('Excercise - Al '!H18&lt;&gt;"","   FROM: "&amp;'Excercise - Al '!H18,"")&amp;IF('Excercise - Al '!I18&lt;&gt;"","   INJECTED BY: "&amp;'Excercise - Al '!I18,"")&amp;IF('Excercise - Al '!J18&lt;&gt;"","   SEND TO: "&amp;'Excercise - Al '!J18,"")</f>
        <v>MODE: EMITS   FROM: SEOC LNO   INJECTED BY: SEOC LNO   SEND TO: JOC</v>
      </c>
      <c r="F18" s="85" t="str">
        <f>IF('Excercise - Al '!K18&lt;&gt;"","STORYLINE: "&amp;'Excercise - Al '!K18,"")&amp;IF('Excercise - Al '!M18&lt;&gt;"","   DESCRIPTION: "&amp;'Excercise - Al '!M18,"")&amp;IF('Excercise - Al '!O18&lt;&gt;"","   NOTES/REMARKS: "&amp;'Excercise - Al '!O18,"")&amp;IF('Excercise - Al '!Q18&lt;&gt;"","   BACKGROUND INFO: "&amp;'Excercise - Al '!Q18,"")</f>
        <v xml:space="preserve">   DESCRIPTION: NG LNO's to State EOC by 0700 4 May 10</v>
      </c>
      <c r="G18" s="85" t="str">
        <f>IF('Excercise - Al '!P18&lt;&gt;"","IMPLEMENTER: "&amp;'Excercise - Al '!P18,"")</f>
        <v>IMPLEMENTER: NG LNO's to State EOC by 0700 4 May 10</v>
      </c>
      <c r="H18" s="85" t="str">
        <f>IF('Excercise - Al '!N18&lt;&gt;"","EXPECTED ACTIONS: "&amp;'Excercise - Al '!N18,"")</f>
        <v/>
      </c>
      <c r="I18" s="85" t="str">
        <f>'Excercise - Al '!R18</f>
        <v>Keane</v>
      </c>
    </row>
    <row r="19" spans="1:9" s="27" customFormat="1" ht="120">
      <c r="A19" s="85">
        <f>'Excercise - Al '!A19</f>
        <v>18</v>
      </c>
      <c r="B19" s="85"/>
      <c r="C19" s="86">
        <f>'Excercise - Al '!E19</f>
        <v>40301.313194444447</v>
      </c>
      <c r="D19" s="85" t="str">
        <f>IF('Excercise - Al '!F19&lt;&gt;0,'Excercise - Al '!F19,"")</f>
        <v>RFI - Holman Prison</v>
      </c>
      <c r="E19" s="85" t="str">
        <f>IF('Excercise - Al '!G19&lt;&gt;"","MODE: "&amp;'Excercise - Al '!G19,"")&amp;IF('Excercise - Al '!H19&lt;&gt;"","   FROM: "&amp;'Excercise - Al '!H19,"")&amp;IF('Excercise - Al '!I19&lt;&gt;"","   INJECTED BY: "&amp;'Excercise - Al '!I19,"")&amp;IF('Excercise - Al '!J19&lt;&gt;"","   SEND TO: "&amp;'Excercise - Al '!J19,"")</f>
        <v>MODE: Phone Call   FROM: JTF-S White Cell (subordinnate commander)   INJECTED BY: TOMBERLIN   SEND TO: 226 MEB</v>
      </c>
      <c r="F19" s="85" t="str">
        <f>IF('Excercise - Al '!K19&lt;&gt;"","STORYLINE: "&amp;'Excercise - Al '!K19,"")&amp;IF('Excercise - Al '!M19&lt;&gt;"","   DESCRIPTION: "&amp;'Excercise - Al '!M19,"")&amp;IF('Excercise - Al '!O19&lt;&gt;"","   NOTES/REMARKS: "&amp;'Excercise - Al '!O19,"")&amp;IF('Excercise - Al '!Q19&lt;&gt;"","   BACKGROUND INFO: "&amp;'Excercise - Al '!Q19,"")</f>
        <v>STORYLINE: Holman Prison Blues   DESCRIPTION: Company commander requests guidance on soldier   NOTES/REMARKS: Inject called in on schedule. Monitoring of JOC message traffic indicates that information apparently did not make it outside of 226 MEB.</v>
      </c>
      <c r="G19" s="85" t="str">
        <f>IF('Excercise - Al '!P19&lt;&gt;"","IMPLEMENTER: "&amp;'Excercise - Al '!P19,"")</f>
        <v>IMPLEMENTER: Company commander has a soldier who is a prison guard at Holman Prison.  Soldier states that he has been directed to remain at prison and not to report to Guard.  Indicates rumors of potential inmate takeover and mass escape during hurricane.  Soldier/guard states that inmates are apparently planning a takeover while hurricane is in progress, followed by mass escape.  There are indications that they may receive external support by an affilated gang.  Soldier/guard states that prison officials are discussing requesting security assistance from Guard.</v>
      </c>
      <c r="H19" s="85" t="str">
        <f>IF('Excercise - Al '!N19&lt;&gt;"","EXPECTED ACTIONS: "&amp;'Excercise - Al '!N19,"")</f>
        <v/>
      </c>
      <c r="I19" s="85" t="str">
        <f>'Excercise - Al '!R19</f>
        <v>Jenne</v>
      </c>
    </row>
    <row r="20" spans="1:9" s="27" customFormat="1" ht="50">
      <c r="A20" s="85">
        <f>'Excercise - Al '!A20</f>
        <v>19</v>
      </c>
      <c r="B20" s="85"/>
      <c r="C20" s="86">
        <f>'Excercise - Al '!E20</f>
        <v>40301.313888888886</v>
      </c>
      <c r="D20" s="85" t="str">
        <f>IF('Excercise - Al '!F20&lt;&gt;0,'Excercise - Al '!F20,"")</f>
        <v>MISSION</v>
      </c>
      <c r="E20" s="85" t="str">
        <f>IF('Excercise - Al '!G20&lt;&gt;"","MODE: "&amp;'Excercise - Al '!G20,"")&amp;IF('Excercise - Al '!H20&lt;&gt;"","   FROM: "&amp;'Excercise - Al '!H20,"")&amp;IF('Excercise - Al '!I20&lt;&gt;"","   INJECTED BY: "&amp;'Excercise - Al '!I20,"")&amp;IF('Excercise - Al '!J20&lt;&gt;"","   SEND TO: "&amp;'Excercise - Al '!J20,"")</f>
        <v>MODE: EMITS   FROM: AEMA ESF 5   INJECTED BY: SEOC LNO   SEND TO: JOC</v>
      </c>
      <c r="F20" s="85" t="str">
        <f>IF('Excercise - Al '!K20&lt;&gt;"","STORYLINE: "&amp;'Excercise - Al '!K20,"")&amp;IF('Excercise - Al '!M20&lt;&gt;"","   DESCRIPTION: "&amp;'Excercise - Al '!M20,"")&amp;IF('Excercise - Al '!O20&lt;&gt;"","   NOTES/REMARKS: "&amp;'Excercise - Al '!O20,"")&amp;IF('Excercise - Al '!Q20&lt;&gt;"","   BACKGROUND INFO: "&amp;'Excercise - Al '!Q20,"")</f>
        <v xml:space="preserve">   DESCRIPTION: Provide meteorological services to SEOC (AL)</v>
      </c>
      <c r="G20" s="85" t="str">
        <f>IF('Excercise - Al '!P20&lt;&gt;"","IMPLEMENTER: "&amp;'Excercise - Al '!P20,"")</f>
        <v>IMPLEMENTER: Provide meteorological services to SEOC (AL)</v>
      </c>
      <c r="H20" s="85" t="str">
        <f>IF('Excercise - Al '!N20&lt;&gt;"","EXPECTED ACTIONS: "&amp;'Excercise - Al '!N20,"")</f>
        <v/>
      </c>
      <c r="I20" s="85" t="str">
        <f>'Excercise - Al '!R20</f>
        <v>Keane</v>
      </c>
    </row>
    <row r="21" spans="1:9" s="27" customFormat="1" ht="60">
      <c r="A21" s="85">
        <f>'Excercise - Al '!A21</f>
        <v>20</v>
      </c>
      <c r="B21" s="85"/>
      <c r="C21" s="86">
        <f>'Excercise - Al '!E21</f>
        <v>40301.333333333336</v>
      </c>
      <c r="D21" s="85" t="str">
        <f>IF('Excercise - Al '!F21&lt;&gt;0,'Excercise - Al '!F21,"")</f>
        <v>AEMA Contacts JOC</v>
      </c>
      <c r="E21" s="85" t="str">
        <f>IF('Excercise - Al '!G21&lt;&gt;"","MODE: "&amp;'Excercise - Al '!G21,"")&amp;IF('Excercise - Al '!H21&lt;&gt;"","   FROM: "&amp;'Excercise - Al '!H21,"")&amp;IF('Excercise - Al '!I21&lt;&gt;"","   INJECTED BY: "&amp;'Excercise - Al '!I21,"")&amp;IF('Excercise - Al '!J21&lt;&gt;"","   SEND TO: "&amp;'Excercise - Al '!J21,"")</f>
        <v>MODE: Phone   FROM: AEMA   INJECTED BY: ALAN PETTY   SEND TO: AL J3</v>
      </c>
      <c r="F21" s="85" t="str">
        <f>IF('Excercise - Al '!K21&lt;&gt;"","STORYLINE: "&amp;'Excercise - Al '!K21,"")&amp;IF('Excercise - Al '!M21&lt;&gt;"","   DESCRIPTION: "&amp;'Excercise - Al '!M21,"")&amp;IF('Excercise - Al '!O21&lt;&gt;"","   NOTES/REMARKS: "&amp;'Excercise - Al '!O21,"")&amp;IF('Excercise - Al '!Q21&lt;&gt;"","   BACKGROUND INFO: "&amp;'Excercise - Al '!Q21,"")</f>
        <v xml:space="preserve">   DESCRIPTION: AEMA Director contacts AL TAG/J3 to discuss hurricane response planning/operations.  </v>
      </c>
      <c r="G21" s="85" t="str">
        <f>IF('Excercise - Al '!P21&lt;&gt;"","IMPLEMENTER: "&amp;'Excercise - Al '!P21,"")</f>
        <v>IMPLEMENTER: AEMA Director contacts AL TAG/J3 to discuss hurricane response planning/operations.  AEMA Director states that they are making preliminary plans for possible Alex response operations. Suggests issuing warning orders to MACOMs for potential in-state response operations.</v>
      </c>
      <c r="H21" s="85" t="str">
        <f>IF('Excercise - Al '!N21&lt;&gt;"","EXPECTED ACTIONS: "&amp;'Excercise - Al '!N21,"")</f>
        <v/>
      </c>
      <c r="I21" s="85" t="str">
        <f>'Excercise - Al '!R21</f>
        <v>Keane</v>
      </c>
    </row>
    <row r="22" spans="1:9" s="27" customFormat="1" ht="50">
      <c r="A22" s="85">
        <f>'Excercise - Al '!A22</f>
        <v>21</v>
      </c>
      <c r="B22" s="85"/>
      <c r="C22" s="86">
        <f>'Excercise - Al '!E22</f>
        <v>40301.334722222222</v>
      </c>
      <c r="D22" s="85" t="str">
        <f>IF('Excercise - Al '!F22&lt;&gt;0,'Excercise - Al '!F22,"")</f>
        <v>MISSION - SASO</v>
      </c>
      <c r="E22" s="85" t="str">
        <f>IF('Excercise - Al '!G22&lt;&gt;"","MODE: "&amp;'Excercise - Al '!G22,"")&amp;IF('Excercise - Al '!H22&lt;&gt;"","   FROM: "&amp;'Excercise - Al '!H22,"")&amp;IF('Excercise - Al '!I22&lt;&gt;"","   INJECTED BY: "&amp;'Excercise - Al '!I22,"")&amp;IF('Excercise - Al '!J22&lt;&gt;"","   SEND TO: "&amp;'Excercise - Al '!J22,"")</f>
        <v>MODE: Email   FROM: simcell-SEOC   INJECTED BY: SEOC LNO   SEND TO: J35</v>
      </c>
      <c r="F22" s="85" t="str">
        <f>IF('Excercise - Al '!K22&lt;&gt;"","STORYLINE: "&amp;'Excercise - Al '!K22,"")&amp;IF('Excercise - Al '!M22&lt;&gt;"","   DESCRIPTION: "&amp;'Excercise - Al '!M22,"")&amp;IF('Excercise - Al '!O22&lt;&gt;"","   NOTES/REMARKS: "&amp;'Excercise - Al '!O22,"")&amp;IF('Excercise - Al '!Q22&lt;&gt;"","   BACKGROUND INFO: "&amp;'Excercise - Al '!Q22,"")</f>
        <v>STORYLINE: SASO   DESCRIPTION: SASO Request</v>
      </c>
      <c r="G22" s="85" t="str">
        <f>IF('Excercise - Al '!P22&lt;&gt;"","IMPLEMENTER: "&amp;'Excercise - Al '!P22,"")</f>
        <v xml:space="preserve">IMPLEMENTER: Email Emits message'  AEMA SEOC Request ALNG Provide SASO to MAFB </v>
      </c>
      <c r="H22" s="85" t="str">
        <f>IF('Excercise - Al '!N22&lt;&gt;"","EXPECTED ACTIONS: "&amp;'Excercise - Al '!N22,"")</f>
        <v>EXPECTED ACTIONS: EOC contacts 122CSG</v>
      </c>
      <c r="I22" s="85" t="str">
        <f>'Excercise - Al '!R22</f>
        <v>Messer</v>
      </c>
    </row>
    <row r="23" spans="1:9" s="27" customFormat="1" ht="50">
      <c r="A23" s="85">
        <f>'Excercise - Al '!A23</f>
        <v>22</v>
      </c>
      <c r="B23" s="85"/>
      <c r="C23" s="86">
        <f>'Excercise - Al '!E23</f>
        <v>40301.335416666669</v>
      </c>
      <c r="D23" s="85" t="str">
        <f>IF('Excercise - Al '!F23&lt;&gt;0,'Excercise - Al '!F23,"")</f>
        <v>MISSION - SEOC LOG CELL</v>
      </c>
      <c r="E23" s="85" t="str">
        <f>IF('Excercise - Al '!G23&lt;&gt;"","MODE: "&amp;'Excercise - Al '!G23,"")&amp;IF('Excercise - Al '!H23&lt;&gt;"","   FROM: "&amp;'Excercise - Al '!H23,"")&amp;IF('Excercise - Al '!I23&lt;&gt;"","   INJECTED BY: "&amp;'Excercise - Al '!I23,"")&amp;IF('Excercise - Al '!J23&lt;&gt;"","   SEND TO: "&amp;'Excercise - Al '!J23,"")</f>
        <v>MODE: Email   FROM: simcell-SEOC   INJECTED BY: SEOC LNO   SEND TO: J35</v>
      </c>
      <c r="F23" s="85" t="str">
        <f>IF('Excercise - Al '!K23&lt;&gt;"","STORYLINE: "&amp;'Excercise - Al '!K23,"")&amp;IF('Excercise - Al '!M23&lt;&gt;"","   DESCRIPTION: "&amp;'Excercise - Al '!M23,"")&amp;IF('Excercise - Al '!O23&lt;&gt;"","   NOTES/REMARKS: "&amp;'Excercise - Al '!O23,"")&amp;IF('Excercise - Al '!Q23&lt;&gt;"","   BACKGROUND INFO: "&amp;'Excercise - Al '!Q23,"")</f>
        <v>STORYLINE: SEOC Log Cell   DESCRIPTION: SEOC Log Cell Request</v>
      </c>
      <c r="G23" s="85" t="str">
        <f>IF('Excercise - Al '!P23&lt;&gt;"","IMPLEMENTER: "&amp;'Excercise - Al '!P23,"")</f>
        <v>IMPLEMENTER: Email Emits message'  AEMA SEOC Request ALNG Provide SEOC Log Cell to Clanton Al.</v>
      </c>
      <c r="H23" s="85" t="str">
        <f>IF('Excercise - Al '!N23&lt;&gt;"","EXPECTED ACTIONS: "&amp;'Excercise - Al '!N23,"")</f>
        <v>EXPECTED ACTIONS: EOC contacts 122CSG</v>
      </c>
      <c r="I23" s="85" t="str">
        <f>'Excercise - Al '!R23</f>
        <v>Messer</v>
      </c>
    </row>
    <row r="24" spans="1:9" s="27" customFormat="1" ht="80">
      <c r="A24" s="85">
        <f>'Excercise - Al '!A24</f>
        <v>23</v>
      </c>
      <c r="B24" s="85"/>
      <c r="C24" s="86">
        <f>'Excercise - Al '!E24</f>
        <v>40301.354166666664</v>
      </c>
      <c r="D24" s="85" t="str">
        <f>IF('Excercise - Al '!F24&lt;&gt;0,'Excercise - Al '!F24,"")</f>
        <v>INFO</v>
      </c>
      <c r="E24" s="85" t="str">
        <f>IF('Excercise - Al '!G24&lt;&gt;"","MODE: "&amp;'Excercise - Al '!G24,"")&amp;IF('Excercise - Al '!H24&lt;&gt;"","   FROM: "&amp;'Excercise - Al '!H24,"")&amp;IF('Excercise - Al '!I24&lt;&gt;"","   INJECTED BY: "&amp;'Excercise - Al '!I24,"")&amp;IF('Excercise - Al '!J24&lt;&gt;"","   SEND TO: "&amp;'Excercise - Al '!J24,"")</f>
        <v>MODE: Phone   FROM: simcell-citizen   INJECTED BY: HOWARD   SEND TO: Message Center</v>
      </c>
      <c r="F24" s="85" t="str">
        <f>IF('Excercise - Al '!K24&lt;&gt;"","STORYLINE: "&amp;'Excercise - Al '!K24,"")&amp;IF('Excercise - Al '!M24&lt;&gt;"","   DESCRIPTION: "&amp;'Excercise - Al '!M24,"")&amp;IF('Excercise - Al '!O24&lt;&gt;"","   NOTES/REMARKS: "&amp;'Excercise - Al '!O24,"")&amp;IF('Excercise - Al '!Q24&lt;&gt;"","   BACKGROUND INFO: "&amp;'Excercise - Al '!Q24,"")</f>
        <v>STORYLINE: MVC/ Fatality   DESCRIPTION: Report of Accident</v>
      </c>
      <c r="G24" s="85" t="str">
        <f>IF('Excercise - Al '!P24&lt;&gt;"","IMPLEMENTER: "&amp;'Excercise - Al '!P24,"")</f>
        <v>IMPLEMENTER: Citizen:  I am a retired ARNG member and I just say one of your Humvee's run a stop sign and hit a mini van, and flipped it and it ran off the road.  I didn't see anyone get out of either vehicle.  I have called 911, just thought you guys wanted to know.</v>
      </c>
      <c r="H24" s="85" t="str">
        <f>IF('Excercise - Al '!N24&lt;&gt;"","EXPECTED ACTIONS: "&amp;'Excercise - Al '!N24,"")</f>
        <v>EXPECTED ACTIONS: EOC RFIs MACOMS regarding report of accident/vehicles on road</v>
      </c>
      <c r="I24" s="85" t="str">
        <f>'Excercise - Al '!R24</f>
        <v>Messer</v>
      </c>
    </row>
    <row r="25" spans="1:9" s="27" customFormat="1" ht="40">
      <c r="A25" s="85">
        <f>'Excercise - Al '!A25</f>
        <v>24</v>
      </c>
      <c r="B25" s="85"/>
      <c r="C25" s="86">
        <f>'Excercise - Al '!E25</f>
        <v>40301.375694444447</v>
      </c>
      <c r="D25" s="85" t="str">
        <f>IF('Excercise - Al '!F25&lt;&gt;0,'Excercise - Al '!F25,"")</f>
        <v>INFO</v>
      </c>
      <c r="E25" s="85" t="str">
        <f>IF('Excercise - Al '!G25&lt;&gt;"","MODE: "&amp;'Excercise - Al '!G25,"")&amp;IF('Excercise - Al '!H25&lt;&gt;"","   FROM: "&amp;'Excercise - Al '!H25,"")&amp;IF('Excercise - Al '!I25&lt;&gt;"","   INJECTED BY: "&amp;'Excercise - Al '!I25,"")&amp;IF('Excercise - Al '!J25&lt;&gt;"","   SEND TO: "&amp;'Excercise - Al '!J25,"")</f>
        <v>MODE: Email   FROM: JIEE   INJECTED BY: KAHL   SEND TO: JOC</v>
      </c>
      <c r="F25" s="85" t="str">
        <f>IF('Excercise - Al '!K25&lt;&gt;"","STORYLINE: "&amp;'Excercise - Al '!K25,"")&amp;IF('Excercise - Al '!M25&lt;&gt;"","   DESCRIPTION: "&amp;'Excercise - Al '!M25,"")&amp;IF('Excercise - Al '!O25&lt;&gt;"","   NOTES/REMARKS: "&amp;'Excercise - Al '!O25,"")&amp;IF('Excercise - Al '!Q25&lt;&gt;"","   BACKGROUND INFO: "&amp;'Excercise - Al '!Q25,"")</f>
        <v>STORYLINE: Set NGB Conference call up on DCO</v>
      </c>
      <c r="G25" s="85" t="str">
        <f>IF('Excercise - Al '!P25&lt;&gt;"","IMPLEMENTER: "&amp;'Excercise - Al '!P25,"")</f>
        <v/>
      </c>
      <c r="H25" s="85" t="str">
        <f>IF('Excercise - Al '!N25&lt;&gt;"","EXPECTED ACTIONS: "&amp;'Excercise - Al '!N25,"")</f>
        <v/>
      </c>
      <c r="I25" s="85" t="str">
        <f>'Excercise - Al '!R25</f>
        <v>Kahl</v>
      </c>
    </row>
    <row r="26" spans="1:9" s="27" customFormat="1" ht="50">
      <c r="A26" s="85">
        <f>'Excercise - Al '!A26</f>
        <v>25</v>
      </c>
      <c r="B26" s="85"/>
      <c r="C26" s="86">
        <f>'Excercise - Al '!E26</f>
        <v>40301.376388888893</v>
      </c>
      <c r="D26" s="85" t="str">
        <f>IF('Excercise - Al '!F26&lt;&gt;0,'Excercise - Al '!F26,"")</f>
        <v>INFO</v>
      </c>
      <c r="E26" s="85" t="str">
        <f>IF('Excercise - Al '!G26&lt;&gt;"","MODE: "&amp;'Excercise - Al '!G26,"")&amp;IF('Excercise - Al '!H26&lt;&gt;"","   FROM: "&amp;'Excercise - Al '!H26,"")&amp;IF('Excercise - Al '!I26&lt;&gt;"","   INJECTED BY: "&amp;'Excercise - Al '!I26,"")&amp;IF('Excercise - Al '!J26&lt;&gt;"","   SEND TO: "&amp;'Excercise - Al '!J26,"")</f>
        <v>MODE: Phone   FROM: simcell_LNO   INJECTED BY: SEOC LNO   SEND TO: J35</v>
      </c>
      <c r="F26" s="85" t="str">
        <f>IF('Excercise - Al '!K26&lt;&gt;"","STORYLINE: "&amp;'Excercise - Al '!K26,"")&amp;IF('Excercise - Al '!M26&lt;&gt;"","   DESCRIPTION: "&amp;'Excercise - Al '!M26,"")&amp;IF('Excercise - Al '!O26&lt;&gt;"","   NOTES/REMARKS: "&amp;'Excercise - Al '!O26,"")&amp;IF('Excercise - Al '!Q26&lt;&gt;"","   BACKGROUND INFO: "&amp;'Excercise - Al '!Q26,"")</f>
        <v>STORYLINE: Contra Flow   DESCRIPTION: Informal message from LNO</v>
      </c>
      <c r="G26" s="85" t="str">
        <f>IF('Excercise - Al '!P26&lt;&gt;"","IMPLEMENTER: "&amp;'Excercise - Al '!P26,"")</f>
        <v>IMPLEMENTER: I just heard that the Governor is probably going to order contra flow on I 65 sometimes tomorrow morning.  I will let you know more as I hear it.</v>
      </c>
      <c r="H26" s="85" t="str">
        <f>IF('Excercise - Al '!N26&lt;&gt;"","EXPECTED ACTIONS: "&amp;'Excercise - Al '!N26,"")</f>
        <v>EXPECTED ACTIONS: WARNO to 62nd Troop Command</v>
      </c>
      <c r="I26" s="85" t="str">
        <f>'Excercise - Al '!R26</f>
        <v>Messer</v>
      </c>
    </row>
    <row r="27" spans="1:9" s="27" customFormat="1" ht="40">
      <c r="A27" s="85">
        <f>'Excercise - Al '!A27</f>
        <v>26</v>
      </c>
      <c r="B27" s="85"/>
      <c r="C27" s="86">
        <f>'Excercise - Al '!E27</f>
        <v>40301.37708333334</v>
      </c>
      <c r="D27" s="85" t="str">
        <f>IF('Excercise - Al '!F27&lt;&gt;0,'Excercise - Al '!F27,"")</f>
        <v>INFO</v>
      </c>
      <c r="E27" s="85" t="str">
        <f>IF('Excercise - Al '!G27&lt;&gt;"","MODE: "&amp;'Excercise - Al '!G27,"")&amp;IF('Excercise - Al '!H27&lt;&gt;"","   FROM: "&amp;'Excercise - Al '!H27,"")&amp;IF('Excercise - Al '!I27&lt;&gt;"","   INJECTED BY: "&amp;'Excercise - Al '!I27,"")&amp;IF('Excercise - Al '!J27&lt;&gt;"","   SEND TO: "&amp;'Excercise - Al '!J27,"")</f>
        <v>MODE: Email   FROM: NGB   INJECTED BY: KAHL   SEND TO: JOC</v>
      </c>
      <c r="F27" s="85" t="str">
        <f>IF('Excercise - Al '!K27&lt;&gt;"","STORYLINE: "&amp;'Excercise - Al '!K27,"")&amp;IF('Excercise - Al '!M27&lt;&gt;"","   DESCRIPTION: "&amp;'Excercise - Al '!M27,"")&amp;IF('Excercise - Al '!O27&lt;&gt;"","   NOTES/REMARKS: "&amp;'Excercise - Al '!O27,"")&amp;IF('Excercise - Al '!Q27&lt;&gt;"","   BACKGROUND INFO: "&amp;'Excercise - Al '!Q27,"")</f>
        <v>STORYLINE: Set up event and Share with NGB</v>
      </c>
      <c r="G27" s="85" t="str">
        <f>IF('Excercise - Al '!P27&lt;&gt;"","IMPLEMENTER: "&amp;'Excercise - Al '!P27,"")</f>
        <v/>
      </c>
      <c r="H27" s="85" t="str">
        <f>IF('Excercise - Al '!N27&lt;&gt;"","EXPECTED ACTIONS: "&amp;'Excercise - Al '!N27,"")</f>
        <v/>
      </c>
      <c r="I27" s="85" t="str">
        <f>'Excercise - Al '!R27</f>
        <v>Kahl</v>
      </c>
    </row>
    <row r="28" spans="1:9" s="27" customFormat="1" ht="40">
      <c r="A28" s="85">
        <f>'Excercise - Al '!A28</f>
        <v>27</v>
      </c>
      <c r="B28" s="85"/>
      <c r="C28" s="86">
        <f>'Excercise - Al '!E28</f>
        <v>40301.377777777787</v>
      </c>
      <c r="D28" s="85" t="str">
        <f>IF('Excercise - Al '!F28&lt;&gt;0,'Excercise - Al '!F28,"")</f>
        <v>RFI</v>
      </c>
      <c r="E28" s="85" t="str">
        <f>IF('Excercise - Al '!G28&lt;&gt;"","MODE: "&amp;'Excercise - Al '!G28,"")&amp;IF('Excercise - Al '!H28&lt;&gt;"","   FROM: "&amp;'Excercise - Al '!H28,"")&amp;IF('Excercise - Al '!I28&lt;&gt;"","   INJECTED BY: "&amp;'Excercise - Al '!I28,"")&amp;IF('Excercise - Al '!J28&lt;&gt;"","   SEND TO: "&amp;'Excercise - Al '!J28,"")</f>
        <v>MODE: JIEE   FROM: JIEE   INJECTED BY: KAHL   SEND TO: JOC</v>
      </c>
      <c r="F28" s="85" t="str">
        <f>IF('Excercise - Al '!K28&lt;&gt;"","STORYLINE: "&amp;'Excercise - Al '!K28,"")&amp;IF('Excercise - Al '!M28&lt;&gt;"","   DESCRIPTION: "&amp;'Excercise - Al '!M28,"")&amp;IF('Excercise - Al '!O28&lt;&gt;"","   NOTES/REMARKS: "&amp;'Excercise - Al '!O28,"")&amp;IF('Excercise - Al '!Q28&lt;&gt;"","   BACKGROUND INFO: "&amp;'Excercise - Al '!Q28,"")</f>
        <v>STORYLINE: Does the JOC need a JET or PARRT   DESCRIPTION: Request for JET</v>
      </c>
      <c r="G28" s="85" t="str">
        <f>IF('Excercise - Al '!P28&lt;&gt;"","IMPLEMENTER: "&amp;'Excercise - Al '!P28,"")</f>
        <v/>
      </c>
      <c r="H28" s="85" t="str">
        <f>IF('Excercise - Al '!N28&lt;&gt;"","EXPECTED ACTIONS: "&amp;'Excercise - Al '!N28,"")</f>
        <v/>
      </c>
      <c r="I28" s="85" t="str">
        <f>'Excercise - Al '!R28</f>
        <v>Kahl</v>
      </c>
    </row>
    <row r="29" spans="1:9" s="27" customFormat="1" ht="40">
      <c r="A29" s="85">
        <f>'Excercise - Al '!A29</f>
        <v>28</v>
      </c>
      <c r="B29" s="85"/>
      <c r="C29" s="86">
        <f>'Excercise - Al '!E29</f>
        <v>40301.378472222234</v>
      </c>
      <c r="D29" s="85" t="str">
        <f>IF('Excercise - Al '!F29&lt;&gt;0,'Excercise - Al '!F29,"")</f>
        <v>INFO</v>
      </c>
      <c r="E29" s="85" t="str">
        <f>IF('Excercise - Al '!G29&lt;&gt;"","MODE: "&amp;'Excercise - Al '!G29,"")&amp;IF('Excercise - Al '!H29&lt;&gt;"","   FROM: "&amp;'Excercise - Al '!H29,"")&amp;IF('Excercise - Al '!I29&lt;&gt;"","   INJECTED BY: "&amp;'Excercise - Al '!I29,"")&amp;IF('Excercise - Al '!J29&lt;&gt;"","   SEND TO: "&amp;'Excercise - Al '!J29,"")</f>
        <v xml:space="preserve">   INJECTED BY: SEOC LNO</v>
      </c>
      <c r="F29" s="85" t="str">
        <f>IF('Excercise - Al '!K29&lt;&gt;"","STORYLINE: "&amp;'Excercise - Al '!K29,"")&amp;IF('Excercise - Al '!M29&lt;&gt;"","   DESCRIPTION: "&amp;'Excercise - Al '!M29,"")&amp;IF('Excercise - Al '!O29&lt;&gt;"","   NOTES/REMARKS: "&amp;'Excercise - Al '!O29,"")&amp;IF('Excercise - Al '!Q29&lt;&gt;"","   BACKGROUND INFO: "&amp;'Excercise - Al '!Q29,"")</f>
        <v xml:space="preserve">   DESCRIPTION: The State Emergency Response Team (SERT) is recalled to the State Emergency Operations Center (SEOC (AL)) and activated at Level 1 effective 0900 3 May 2010.</v>
      </c>
      <c r="G29" s="85" t="str">
        <f>IF('Excercise - Al '!P29&lt;&gt;"","IMPLEMENTER: "&amp;'Excercise - Al '!P29,"")</f>
        <v>IMPLEMENTER: The State Emergency Response Team (SERT) is recalled to the State Emergency Operations Center (SEOC (AL)) and activated at Level 1 effective 0900 3 May 2010.</v>
      </c>
      <c r="H29" s="85" t="str">
        <f>IF('Excercise - Al '!N29&lt;&gt;"","EXPECTED ACTIONS: "&amp;'Excercise - Al '!N29,"")</f>
        <v/>
      </c>
      <c r="I29" s="85" t="str">
        <f>'Excercise - Al '!R29</f>
        <v>Keane</v>
      </c>
    </row>
    <row r="30" spans="1:9" s="27" customFormat="1" ht="50">
      <c r="A30" s="85">
        <f>'Excercise - Al '!A30</f>
        <v>29</v>
      </c>
      <c r="B30" s="85"/>
      <c r="C30" s="86">
        <f>'Excercise - Al '!E30</f>
        <v>40301.37916666668</v>
      </c>
      <c r="D30" s="85" t="str">
        <f>IF('Excercise - Al '!F30&lt;&gt;0,'Excercise - Al '!F30,"")</f>
        <v>MISSION</v>
      </c>
      <c r="E30" s="85" t="str">
        <f>IF('Excercise - Al '!G30&lt;&gt;"","MODE: "&amp;'Excercise - Al '!G30,"")&amp;IF('Excercise - Al '!H30&lt;&gt;"","   FROM: "&amp;'Excercise - Al '!H30,"")&amp;IF('Excercise - Al '!I30&lt;&gt;"","   INJECTED BY: "&amp;'Excercise - Al '!I30,"")&amp;IF('Excercise - Al '!J30&lt;&gt;"","   SEND TO: "&amp;'Excercise - Al '!J30,"")</f>
        <v>MODE: Email   FROM: USPFO, S&amp;S   INJECTED BY: DENNIS   SEND TO: JOC J4</v>
      </c>
      <c r="F30" s="85" t="str">
        <f>IF('Excercise - Al '!K30&lt;&gt;"","STORYLINE: "&amp;'Excercise - Al '!K30,"")&amp;IF('Excercise - Al '!M30&lt;&gt;"","   DESCRIPTION: "&amp;'Excercise - Al '!M30,"")&amp;IF('Excercise - Al '!O30&lt;&gt;"","   NOTES/REMARKS: "&amp;'Excercise - Al '!O30,"")&amp;IF('Excercise - Al '!Q30&lt;&gt;"","   BACKGROUND INFO: "&amp;'Excercise - Al '!Q30,"")</f>
        <v xml:space="preserve">   DESCRIPTION: USPFO  Warehouse to push 20 pallets of MREs and 20 pallets of bottled water to Ft McClellan, AL (pre-positioning for soldier support).   BACKGROUND INFO: USPFO Warehouse SOP, SA only</v>
      </c>
      <c r="G30" s="85" t="str">
        <f>IF('Excercise - Al '!P30&lt;&gt;"","IMPLEMENTER: "&amp;'Excercise - Al '!P30,"")</f>
        <v>IMPLEMENTER: USPFO  Warehouse to push 20 pallets of MREs and 20 pallets of bottled water to Ft McClellan, AL (pre-positioning for soldier support).</v>
      </c>
      <c r="H30" s="85" t="str">
        <f>IF('Excercise - Al '!N30&lt;&gt;"","EXPECTED ACTIONS: "&amp;'Excercise - Al '!N30,"")</f>
        <v/>
      </c>
      <c r="I30" s="85" t="str">
        <f>'Excercise - Al '!R30</f>
        <v>Keane</v>
      </c>
    </row>
    <row r="31" spans="1:9" s="27" customFormat="1" ht="60">
      <c r="A31" s="85">
        <f>'Excercise - Al '!A31</f>
        <v>30</v>
      </c>
      <c r="B31" s="85"/>
      <c r="C31" s="86">
        <f>'Excercise - Al '!E31</f>
        <v>40301.380555555574</v>
      </c>
      <c r="D31" s="85" t="str">
        <f>IF('Excercise - Al '!F31&lt;&gt;0,'Excercise - Al '!F31,"")</f>
        <v>INFO - Evacuation</v>
      </c>
      <c r="E31" s="85" t="str">
        <f>IF('Excercise - Al '!G31&lt;&gt;"","MODE: "&amp;'Excercise - Al '!G31,"")&amp;IF('Excercise - Al '!H31&lt;&gt;"","   FROM: "&amp;'Excercise - Al '!H31,"")&amp;IF('Excercise - Al '!I31&lt;&gt;"","   INJECTED BY: "&amp;'Excercise - Al '!I31,"")&amp;IF('Excercise - Al '!J31&lt;&gt;"","   SEND TO: "&amp;'Excercise - Al '!J31,"")</f>
        <v xml:space="preserve">   INJECTED BY: SEOC LNO</v>
      </c>
      <c r="F31" s="85" t="str">
        <f>IF('Excercise - Al '!K31&lt;&gt;"","STORYLINE: "&amp;'Excercise - Al '!K31,"")&amp;IF('Excercise - Al '!M31&lt;&gt;"","   DESCRIPTION: "&amp;'Excercise - Al '!M31,"")&amp;IF('Excercise - Al '!O31&lt;&gt;"","   NOTES/REMARKS: "&amp;'Excercise - Al '!O31,"")&amp;IF('Excercise - Al '!Q31&lt;&gt;"","   BACKGROUND INFO: "&amp;'Excercise - Al '!Q31,"")</f>
        <v xml:space="preserve">   DESCRIPTION: AEMA recommends voluntary evacuation of Baldwin and Mobile counties. </v>
      </c>
      <c r="G31" s="85" t="str">
        <f>IF('Excercise - Al '!P31&lt;&gt;"","IMPLEMENTER: "&amp;'Excercise - Al '!P31,"")</f>
        <v>IMPLEMENTER: AEMA recommends voluntary evacuation of Baldwin and Mobile counties. Voluntary evacuations recommended for citizens living in mobile homes for the following counties:  Washington, Clarke, Monroe, Conecuh, Escambia, Covington, Geneva, and Houston.</v>
      </c>
      <c r="H31" s="85" t="str">
        <f>IF('Excercise - Al '!N31&lt;&gt;"","EXPECTED ACTIONS: "&amp;'Excercise - Al '!N31,"")</f>
        <v/>
      </c>
      <c r="I31" s="85" t="str">
        <f>'Excercise - Al '!R31</f>
        <v>Keane</v>
      </c>
    </row>
    <row r="32" spans="1:9" s="27" customFormat="1" ht="30">
      <c r="A32" s="85">
        <f>'Excercise - Al '!A32</f>
        <v>31</v>
      </c>
      <c r="B32" s="85"/>
      <c r="C32" s="86">
        <f>'Excercise - Al '!E32</f>
        <v>40301.38125000002</v>
      </c>
      <c r="D32" s="85" t="str">
        <f>IF('Excercise - Al '!F32&lt;&gt;0,'Excercise - Al '!F32,"")</f>
        <v>INFO</v>
      </c>
      <c r="E32" s="85" t="str">
        <f>IF('Excercise - Al '!G32&lt;&gt;"","MODE: "&amp;'Excercise - Al '!G32,"")&amp;IF('Excercise - Al '!H32&lt;&gt;"","   FROM: "&amp;'Excercise - Al '!H32,"")&amp;IF('Excercise - Al '!I32&lt;&gt;"","   INJECTED BY: "&amp;'Excercise - Al '!I32,"")&amp;IF('Excercise - Al '!J32&lt;&gt;"","   SEND TO: "&amp;'Excercise - Al '!J32,"")</f>
        <v xml:space="preserve">   INJECTED BY: KEANE</v>
      </c>
      <c r="F32" s="85" t="str">
        <f>IF('Excercise - Al '!K32&lt;&gt;"","STORYLINE: "&amp;'Excercise - Al '!K32,"")&amp;IF('Excercise - Al '!M32&lt;&gt;"","   DESCRIPTION: "&amp;'Excercise - Al '!M32,"")&amp;IF('Excercise - Al '!O32&lt;&gt;"","   NOTES/REMARKS: "&amp;'Excercise - Al '!O32,"")&amp;IF('Excercise - Al '!Q32&lt;&gt;"","   BACKGROUND INFO: "&amp;'Excercise - Al '!Q32,"")</f>
        <v xml:space="preserve">   DESCRIPTION: JFHQ activates JTF-South (FTUS) Primary Staff (LNO's)and local units for possible support</v>
      </c>
      <c r="G32" s="85" t="str">
        <f>IF('Excercise - Al '!P32&lt;&gt;"","IMPLEMENTER: "&amp;'Excercise - Al '!P32,"")</f>
        <v>IMPLEMENTER: JFHQ activates JTF-South (FTUS) Primary Staff (LNO's)and local units for possible support</v>
      </c>
      <c r="H32" s="85" t="str">
        <f>IF('Excercise - Al '!N32&lt;&gt;"","EXPECTED ACTIONS: "&amp;'Excercise - Al '!N32,"")</f>
        <v/>
      </c>
      <c r="I32" s="85" t="str">
        <f>'Excercise - Al '!R32</f>
        <v>Keane</v>
      </c>
    </row>
    <row r="33" spans="1:9" s="27" customFormat="1" ht="60">
      <c r="A33" s="85">
        <f>'Excercise - Al '!A33</f>
        <v>32</v>
      </c>
      <c r="B33" s="85"/>
      <c r="C33" s="86">
        <f>'Excercise - Al '!E33</f>
        <v>40301.385416666664</v>
      </c>
      <c r="D33" s="85" t="str">
        <f>IF('Excercise - Al '!F33&lt;&gt;0,'Excercise - Al '!F33,"")</f>
        <v>INFO</v>
      </c>
      <c r="E33" s="85" t="str">
        <f>IF('Excercise - Al '!G33&lt;&gt;"","MODE: "&amp;'Excercise - Al '!G33,"")&amp;IF('Excercise - Al '!H33&lt;&gt;"","   FROM: "&amp;'Excercise - Al '!H33,"")&amp;IF('Excercise - Al '!I33&lt;&gt;"","   INJECTED BY: "&amp;'Excercise - Al '!I33,"")&amp;IF('Excercise - Al '!J33&lt;&gt;"","   SEND TO: "&amp;'Excercise - Al '!J33,"")</f>
        <v>MODE: Email   FROM: MED DET   INJECTED BY: BENTON   SEND TO: SPS MED &amp; J1</v>
      </c>
      <c r="F33" s="85" t="str">
        <f>IF('Excercise - Al '!K33&lt;&gt;"","STORYLINE: "&amp;'Excercise - Al '!K33,"")&amp;IF('Excercise - Al '!M33&lt;&gt;"","   DESCRIPTION: "&amp;'Excercise - Al '!M33,"")&amp;IF('Excercise - Al '!O33&lt;&gt;"","   NOTES/REMARKS: "&amp;'Excercise - Al '!O33,"")&amp;IF('Excercise - Al '!Q33&lt;&gt;"","   BACKGROUND INFO: "&amp;'Excercise - Al '!Q33,"")</f>
        <v>STORYLINE: 1 Soldier found HIV positive in the 226th MEB after a periodic health assessment (PHA) performed by the medical detachment, from 10-11 Apr 10 SRP in Mobile.   DESCRIPTION: 1 Soldier found HIV positive in the 226th MEB after a periodic health assessment (PHA) performed by the medical detachment, from 10-11 Apr 10 SRP in Mobile.</v>
      </c>
      <c r="G33" s="85" t="str">
        <f>IF('Excercise - Al '!P33&lt;&gt;"","IMPLEMENTER: "&amp;'Excercise - Al '!P33,"")</f>
        <v>IMPLEMENTER: 1 Soldier found HIV positive in the 226th MEB after a periodic health assessment (PHA) performed by the medical detachment, from 10-11 Apr 10 SRP in Mobile.</v>
      </c>
      <c r="H33" s="85" t="str">
        <f>IF('Excercise - Al '!N33&lt;&gt;"","EXPECTED ACTIONS: "&amp;'Excercise - Al '!N33,"")</f>
        <v/>
      </c>
      <c r="I33" s="85" t="str">
        <f>'Excercise - Al '!R33</f>
        <v>Benton</v>
      </c>
    </row>
    <row r="34" spans="1:9" s="27" customFormat="1" ht="80">
      <c r="A34" s="85">
        <f>'Excercise - Al '!A34</f>
        <v>33</v>
      </c>
      <c r="B34" s="85"/>
      <c r="C34" s="86">
        <f>'Excercise - Al '!E34</f>
        <v>40301.385416666664</v>
      </c>
      <c r="D34" s="85" t="str">
        <f>IF('Excercise - Al '!F34&lt;&gt;0,'Excercise - Al '!F34,"")</f>
        <v/>
      </c>
      <c r="E34" s="85" t="str">
        <f>IF('Excercise - Al '!G34&lt;&gt;"","MODE: "&amp;'Excercise - Al '!G34,"")&amp;IF('Excercise - Al '!H34&lt;&gt;"","   FROM: "&amp;'Excercise - Al '!H34,"")&amp;IF('Excercise - Al '!I34&lt;&gt;"","   INJECTED BY: "&amp;'Excercise - Al '!I34,"")&amp;IF('Excercise - Al '!J34&lt;&gt;"","   SEND TO: "&amp;'Excercise - Al '!J34,"")</f>
        <v xml:space="preserve">   INJECTED BY: P. MCDONALD   SEND TO: JOC MSG CTR</v>
      </c>
      <c r="F34" s="85" t="str">
        <f>IF('Excercise - Al '!K34&lt;&gt;"","STORYLINE: "&amp;'Excercise - Al '!K34,"")&amp;IF('Excercise - Al '!M34&lt;&gt;"","   DESCRIPTION: "&amp;'Excercise - Al '!M34,"")&amp;IF('Excercise - Al '!O34&lt;&gt;"","   NOTES/REMARKS: "&amp;'Excercise - Al '!O34,"")&amp;IF('Excercise - Al '!Q34&lt;&gt;"","   BACKGROUND INFO: "&amp;'Excercise - Al '!Q34,"")</f>
        <v>STORYLINE: Army National Guard CAT requests Alabama review resources available IOT support FL with 1X Med Trk Co and 1X DS/GS Maint Co.   NOTES/REMARKS: At 0939 hours LTC Small , ARNG CAT, contacted MAJ Davis @ 334.273.3547 after several attempts to other numbers provided by SGT Vice.  He is to advise.  At 1114 hours, MAJ Davis advises TAG-AL requests a 48 hour hold before approving the EMAC request.</v>
      </c>
      <c r="G34" s="85" t="str">
        <f>IF('Excercise - Al '!P34&lt;&gt;"","IMPLEMENTER: "&amp;'Excercise - Al '!P34,"")</f>
        <v>IMPLEMENTER: Army National Guard CAT requests Alabama review resources available IOT support FL with 1X Med Trk Co and 1X DS/GS Maint Co.</v>
      </c>
      <c r="H34" s="85" t="str">
        <f>IF('Excercise - Al '!N34&lt;&gt;"","EXPECTED ACTIONS: "&amp;'Excercise - Al '!N34,"")</f>
        <v/>
      </c>
      <c r="I34" s="85" t="str">
        <f>'Excercise - Al '!R34</f>
        <v>McDonald</v>
      </c>
    </row>
    <row r="35" spans="1:9" s="27" customFormat="1" ht="130">
      <c r="A35" s="85">
        <f>'Excercise - Al '!A35</f>
        <v>34</v>
      </c>
      <c r="B35" s="85"/>
      <c r="C35" s="86">
        <f>'Excercise - Al '!E35</f>
        <v>40301.386111111111</v>
      </c>
      <c r="D35" s="85" t="str">
        <f>IF('Excercise - Al '!F35&lt;&gt;0,'Excercise - Al '!F35,"")</f>
        <v>INFO</v>
      </c>
      <c r="E35" s="85" t="str">
        <f>IF('Excercise - Al '!G35&lt;&gt;"","MODE: "&amp;'Excercise - Al '!G35,"")&amp;IF('Excercise - Al '!H35&lt;&gt;"","   FROM: "&amp;'Excercise - Al '!H35,"")&amp;IF('Excercise - Al '!I35&lt;&gt;"","   INJECTED BY: "&amp;'Excercise - Al '!I35,"")&amp;IF('Excercise - Al '!J35&lt;&gt;"","   SEND TO: "&amp;'Excercise - Al '!J35,"")</f>
        <v>MODE: Telephone Call   FROM: STATE SURGEON   INJECTED BY: BENTON   SEND TO: SPS MED</v>
      </c>
      <c r="F35" s="85" t="str">
        <f>IF('Excercise - Al '!K35&lt;&gt;"","STORYLINE: "&amp;'Excercise - Al '!K35,"")&amp;IF('Excercise - Al '!M35&lt;&gt;"","   DESCRIPTION: "&amp;'Excercise - Al '!M35,"")&amp;IF('Excercise - Al '!O35&lt;&gt;"","   NOTES/REMARKS: "&amp;'Excercise - Al '!O35,"")&amp;IF('Excercise - Al '!Q35&lt;&gt;"","   BACKGROUND INFO: "&amp;'Excercise - Al '!Q35,"")</f>
        <v>STORYLINE: All JTFs must perform a medical readiness screening of the potential personnel being considered for DSCA support mission to ensure that they have a current PHA, Dental Exam, Routine Adult Immunizations (to include H1N1) and have no outstanding noon-deployable medical conditions.  Submit status report back to SPS.MED NLT 1200 4 May 10.   DESCRIPTION: All JTFs must perform a medical readiness screening of the potential personnel being considered for DSCA support mission to ensure that they have a current PHA, Dental Exam, Routine Adult Immunizations (to include H1N1) and have no outstanding noon-deployable medical conditions.  Submit status report back to SPS.MED NLT 1200 4 May 10.</v>
      </c>
      <c r="G35" s="85" t="str">
        <f>IF('Excercise - Al '!P35&lt;&gt;"","IMPLEMENTER: "&amp;'Excercise - Al '!P35,"")</f>
        <v>IMPLEMENTER: All JTFs must perform a medical readiness screening of the potential personnel being considered for DSCA support mission to ensure that they have a current PHA, Dental Exam, Routine Adult Immunizations (to include H1N1) and have no outstanding noon-deployable medical conditions.  Submit status report back to SPS.MED NLT 1200 4 May 10.</v>
      </c>
      <c r="H35" s="85" t="str">
        <f>IF('Excercise - Al '!N35&lt;&gt;"","EXPECTED ACTIONS: "&amp;'Excercise - Al '!N35,"")</f>
        <v/>
      </c>
      <c r="I35" s="85" t="str">
        <f>'Excercise - Al '!R35</f>
        <v>Benton</v>
      </c>
    </row>
    <row r="36" spans="1:9" s="27" customFormat="1" ht="20">
      <c r="A36" s="85">
        <f>'Excercise - Al '!A36</f>
        <v>35</v>
      </c>
      <c r="B36" s="85"/>
      <c r="C36" s="86">
        <f>'Excercise - Al '!E36</f>
        <v>40301.386805555594</v>
      </c>
      <c r="D36" s="85" t="str">
        <f>IF('Excercise - Al '!F36&lt;&gt;0,'Excercise - Al '!F36,"")</f>
        <v>INFO</v>
      </c>
      <c r="E36" s="85" t="str">
        <f>IF('Excercise - Al '!G36&lt;&gt;"","MODE: "&amp;'Excercise - Al '!G36,"")&amp;IF('Excercise - Al '!H36&lt;&gt;"","   FROM: "&amp;'Excercise - Al '!H36,"")&amp;IF('Excercise - Al '!I36&lt;&gt;"","   INJECTED BY: "&amp;'Excercise - Al '!I36,"")&amp;IF('Excercise - Al '!J36&lt;&gt;"","   SEND TO: "&amp;'Excercise - Al '!J36,"")</f>
        <v xml:space="preserve">   INJECTED BY: SEOC LNO</v>
      </c>
      <c r="F36" s="85" t="str">
        <f>IF('Excercise - Al '!K36&lt;&gt;"","STORYLINE: "&amp;'Excercise - Al '!K36,"")&amp;IF('Excercise - Al '!M36&lt;&gt;"","   DESCRIPTION: "&amp;'Excercise - Al '!M36,"")&amp;IF('Excercise - Al '!O36&lt;&gt;"","   NOTES/REMARKS: "&amp;'Excercise - Al '!O36,"")&amp;IF('Excercise - Al '!Q36&lt;&gt;"","   BACKGROUND INFO: "&amp;'Excercise - Al '!Q36,"")</f>
        <v xml:space="preserve">   DESCRIPTION: TF South gets notification of pending activation</v>
      </c>
      <c r="G36" s="85" t="str">
        <f>IF('Excercise - Al '!P36&lt;&gt;"","IMPLEMENTER: "&amp;'Excercise - Al '!P36,"")</f>
        <v>IMPLEMENTER: TF South gets notification of pending activation</v>
      </c>
      <c r="H36" s="85" t="str">
        <f>IF('Excercise - Al '!N36&lt;&gt;"","EXPECTED ACTIONS: "&amp;'Excercise - Al '!N36,"")</f>
        <v/>
      </c>
      <c r="I36" s="85" t="str">
        <f>'Excercise - Al '!R36</f>
        <v>Keane</v>
      </c>
    </row>
    <row r="37" spans="1:9" s="27" customFormat="1" ht="110">
      <c r="A37" s="85">
        <f>'Excercise - Al '!A37</f>
        <v>36</v>
      </c>
      <c r="B37" s="85"/>
      <c r="C37" s="86">
        <f>'Excercise - Al '!E37</f>
        <v>40301.388888888891</v>
      </c>
      <c r="D37" s="85" t="str">
        <f>IF('Excercise - Al '!F37&lt;&gt;0,'Excercise - Al '!F37,"")</f>
        <v/>
      </c>
      <c r="E37" s="85" t="str">
        <f>IF('Excercise - Al '!G37&lt;&gt;"","MODE: "&amp;'Excercise - Al '!G37,"")&amp;IF('Excercise - Al '!H37&lt;&gt;"","   FROM: "&amp;'Excercise - Al '!H37,"")&amp;IF('Excercise - Al '!I37&lt;&gt;"","   INJECTED BY: "&amp;'Excercise - Al '!I37,"")&amp;IF('Excercise - Al '!J37&lt;&gt;"","   SEND TO: "&amp;'Excercise - Al '!J37,"")</f>
        <v xml:space="preserve">   INJECTED BY: P. MCDONALD</v>
      </c>
      <c r="F37" s="85" t="str">
        <f>IF('Excercise - Al '!K37&lt;&gt;"","STORYLINE: "&amp;'Excercise - Al '!K37,"")&amp;IF('Excercise - Al '!M37&lt;&gt;"","   DESCRIPTION: "&amp;'Excercise - Al '!M37,"")&amp;IF('Excercise - Al '!O37&lt;&gt;"","   NOTES/REMARKS: "&amp;'Excercise - Al '!O37,"")&amp;IF('Excercise - Al '!Q37&lt;&gt;"","   BACKGROUND INFO: "&amp;'Excercise - Al '!Q37,"")</f>
        <v xml:space="preserve">STORYLINE: Army National Guard CAT requests Alabama review resources available IOT support TX with 1x Light/Medium Truck Company and 1x POL Co.   NOTES/REMARKS: At 0923 hours LTC Small, ARNG CAT, contacted MSG Woodall @ 334.213.7748 and he took message and would have someone return our call.  At 1007 hours called MSG Woodall and advised no one had called.  Left another message.  At 1114 hours MAJ Davis, AL JOC returned call and received request.  Will advise. At 1715 hours, MAJ Davis advises TAG will concur with request but requests a 48 hours delay for the EMAC request. </v>
      </c>
      <c r="G37" s="85" t="str">
        <f>IF('Excercise - Al '!P37&lt;&gt;"","IMPLEMENTER: "&amp;'Excercise - Al '!P37,"")</f>
        <v>IMPLEMENTER: Army National Guard CAT requests Alabama review resources available IOT support TX with 1x Light/Medium Truck Company and 1x POL Co.</v>
      </c>
      <c r="H37" s="85" t="str">
        <f>IF('Excercise - Al '!N37&lt;&gt;"","EXPECTED ACTIONS: "&amp;'Excercise - Al '!N37,"")</f>
        <v/>
      </c>
      <c r="I37" s="85" t="str">
        <f>'Excercise - Al '!R37</f>
        <v>McDonald</v>
      </c>
    </row>
    <row r="38" spans="1:9" s="27" customFormat="1" ht="30">
      <c r="A38" s="85">
        <f>'Excercise - Al '!A38</f>
        <v>37</v>
      </c>
      <c r="B38" s="85"/>
      <c r="C38" s="86">
        <f>'Excercise - Al '!E38</f>
        <v>40301.389583333381</v>
      </c>
      <c r="D38" s="85" t="str">
        <f>IF('Excercise - Al '!F38&lt;&gt;0,'Excercise - Al '!F38,"")</f>
        <v>INFO</v>
      </c>
      <c r="E38" s="85" t="str">
        <f>IF('Excercise - Al '!G38&lt;&gt;"","MODE: "&amp;'Excercise - Al '!G38,"")&amp;IF('Excercise - Al '!H38&lt;&gt;"","   FROM: "&amp;'Excercise - Al '!H38,"")&amp;IF('Excercise - Al '!I38&lt;&gt;"","   INJECTED BY: "&amp;'Excercise - Al '!I38,"")&amp;IF('Excercise - Al '!J38&lt;&gt;"","   SEND TO: "&amp;'Excercise - Al '!J38,"")</f>
        <v xml:space="preserve">   INJECTED BY: SEOC LNO</v>
      </c>
      <c r="F38" s="85" t="str">
        <f>IF('Excercise - Al '!K38&lt;&gt;"","STORYLINE: "&amp;'Excercise - Al '!K38,"")&amp;IF('Excercise - Al '!M38&lt;&gt;"","   DESCRIPTION: "&amp;'Excercise - Al '!M38,"")&amp;IF('Excercise - Al '!O38&lt;&gt;"","   NOTES/REMARKS: "&amp;'Excercise - Al '!O38,"")&amp;IF('Excercise - Al '!Q38&lt;&gt;"","   BACKGROUND INFO: "&amp;'Excercise - Al '!Q38,"")</f>
        <v xml:space="preserve">   DESCRIPTION: FEMA Region JFO ERT-A will deploy to AEMA on 4 May about 1200, FEMA Region 9 DCO will serve as JFO-AL DCO</v>
      </c>
      <c r="G38" s="85" t="str">
        <f>IF('Excercise - Al '!P38&lt;&gt;"","IMPLEMENTER: "&amp;'Excercise - Al '!P38,"")</f>
        <v>IMPLEMENTER: FEMA Region JFO ERT-A will deploy to AEMA on 4 May about 1200, FEMA Region 9 DCO will serve as JFO-AL DCO</v>
      </c>
      <c r="H38" s="85" t="str">
        <f>IF('Excercise - Al '!N38&lt;&gt;"","EXPECTED ACTIONS: "&amp;'Excercise - Al '!N38,"")</f>
        <v/>
      </c>
      <c r="I38" s="85" t="str">
        <f>'Excercise - Al '!R38</f>
        <v>Keane</v>
      </c>
    </row>
    <row r="39" spans="1:9" s="27" customFormat="1" ht="20">
      <c r="A39" s="85">
        <f>'Excercise - Al '!A39</f>
        <v>38</v>
      </c>
      <c r="B39" s="85"/>
      <c r="C39" s="86">
        <f>'Excercise - Al '!E39</f>
        <v>40301.390277777828</v>
      </c>
      <c r="D39" s="85" t="str">
        <f>IF('Excercise - Al '!F39&lt;&gt;0,'Excercise - Al '!F39,"")</f>
        <v>MISSION</v>
      </c>
      <c r="E39" s="85" t="str">
        <f>IF('Excercise - Al '!G39&lt;&gt;"","MODE: "&amp;'Excercise - Al '!G39,"")&amp;IF('Excercise - Al '!H39&lt;&gt;"","   FROM: "&amp;'Excercise - Al '!H39,"")&amp;IF('Excercise - Al '!I39&lt;&gt;"","   INJECTED BY: "&amp;'Excercise - Al '!I39,"")&amp;IF('Excercise - Al '!J39&lt;&gt;"","   SEND TO: "&amp;'Excercise - Al '!J39,"")</f>
        <v xml:space="preserve">   INJECTED BY: SEOC LNO</v>
      </c>
      <c r="F39" s="85" t="str">
        <f>IF('Excercise - Al '!K39&lt;&gt;"","STORYLINE: "&amp;'Excercise - Al '!K39,"")&amp;IF('Excercise - Al '!M39&lt;&gt;"","   DESCRIPTION: "&amp;'Excercise - Al '!M39,"")&amp;IF('Excercise - Al '!O39&lt;&gt;"","   NOTES/REMARKS: "&amp;'Excercise - Al '!O39,"")&amp;IF('Excercise - Al '!Q39&lt;&gt;"","   BACKGROUND INFO: "&amp;'Excercise - Al '!Q39,"")</f>
        <v xml:space="preserve">   DESCRIPTION: Deploy SERT (AL) LNOs to Mobile and Baldwin counties NLT 4 May 1800.</v>
      </c>
      <c r="G39" s="85" t="str">
        <f>IF('Excercise - Al '!P39&lt;&gt;"","IMPLEMENTER: "&amp;'Excercise - Al '!P39,"")</f>
        <v>IMPLEMENTER: Deploy SERT (AL)LNOs to Mobile and Baldwin counties NLT 4 May 1800.</v>
      </c>
      <c r="H39" s="85" t="str">
        <f>IF('Excercise - Al '!N39&lt;&gt;"","EXPECTED ACTIONS: "&amp;'Excercise - Al '!N39,"")</f>
        <v/>
      </c>
      <c r="I39" s="85" t="str">
        <f>'Excercise - Al '!R39</f>
        <v>Keane</v>
      </c>
    </row>
    <row r="40" spans="1:9" s="27" customFormat="1" ht="30">
      <c r="A40" s="85">
        <f>'Excercise - Al '!A40</f>
        <v>39</v>
      </c>
      <c r="B40" s="85"/>
      <c r="C40" s="86">
        <f>'Excercise - Al '!E40</f>
        <v>40301.392361111109</v>
      </c>
      <c r="D40" s="85" t="str">
        <f>IF('Excercise - Al '!F40&lt;&gt;0,'Excercise - Al '!F40,"")</f>
        <v/>
      </c>
      <c r="E40" s="85" t="str">
        <f>IF('Excercise - Al '!G40&lt;&gt;"","MODE: "&amp;'Excercise - Al '!G40,"")&amp;IF('Excercise - Al '!H40&lt;&gt;"","   FROM: "&amp;'Excercise - Al '!H40,"")&amp;IF('Excercise - Al '!I40&lt;&gt;"","   INJECTED BY: "&amp;'Excercise - Al '!I40,"")&amp;IF('Excercise - Al '!J40&lt;&gt;"","   SEND TO: "&amp;'Excercise - Al '!J40,"")</f>
        <v/>
      </c>
      <c r="F40" s="85" t="str">
        <f>IF('Excercise - Al '!K40&lt;&gt;"","STORYLINE: "&amp;'Excercise - Al '!K40,"")&amp;IF('Excercise - Al '!M40&lt;&gt;"","   DESCRIPTION: "&amp;'Excercise - Al '!M40,"")&amp;IF('Excercise - Al '!O40&lt;&gt;"","   NOTES/REMARKS: "&amp;'Excercise - Al '!O40,"")&amp;IF('Excercise - Al '!Q40&lt;&gt;"","   BACKGROUND INFO: "&amp;'Excercise - Al '!Q40,"")</f>
        <v>STORYLINE: Army National Guard CAT requests Alabama review resources available IOT support Tx and LA with unfilled EMAC Requests.</v>
      </c>
      <c r="G40" s="85" t="str">
        <f>IF('Excercise - Al '!P40&lt;&gt;"","IMPLEMENTER: "&amp;'Excercise - Al '!P40,"")</f>
        <v>IMPLEMENTER: Army National Guard CAT requests Alabama review resources available IOT support Tx and LA with unfilled EMAC Requests.</v>
      </c>
      <c r="H40" s="85" t="str">
        <f>IF('Excercise - Al '!N40&lt;&gt;"","EXPECTED ACTIONS: "&amp;'Excercise - Al '!N40,"")</f>
        <v/>
      </c>
      <c r="I40" s="85">
        <f>'Excercise - Al '!R40</f>
        <v>0</v>
      </c>
    </row>
    <row r="41" spans="1:9" s="27" customFormat="1" ht="20">
      <c r="A41" s="85">
        <f>'Excercise - Al '!A41</f>
        <v>40</v>
      </c>
      <c r="B41" s="85"/>
      <c r="C41" s="86">
        <f>'Excercise - Al '!E41</f>
        <v>40301.395138888955</v>
      </c>
      <c r="D41" s="85" t="str">
        <f>IF('Excercise - Al '!F41&lt;&gt;0,'Excercise - Al '!F41,"")</f>
        <v>INFO</v>
      </c>
      <c r="E41" s="85" t="str">
        <f>IF('Excercise - Al '!G41&lt;&gt;"","MODE: "&amp;'Excercise - Al '!G41,"")&amp;IF('Excercise - Al '!H41&lt;&gt;"","   FROM: "&amp;'Excercise - Al '!H41,"")&amp;IF('Excercise - Al '!I41&lt;&gt;"","   INJECTED BY: "&amp;'Excercise - Al '!I41,"")&amp;IF('Excercise - Al '!J41&lt;&gt;"","   SEND TO: "&amp;'Excercise - Al '!J41,"")</f>
        <v xml:space="preserve">   INJECTED BY: KEANE</v>
      </c>
      <c r="F41" s="85" t="str">
        <f>IF('Excercise - Al '!K41&lt;&gt;"","STORYLINE: "&amp;'Excercise - Al '!K41,"")&amp;IF('Excercise - Al '!M41&lt;&gt;"","   DESCRIPTION: "&amp;'Excercise - Al '!M41,"")&amp;IF('Excercise - Al '!O41&lt;&gt;"","   NOTES/REMARKS: "&amp;'Excercise - Al '!O41,"")&amp;IF('Excercise - Al '!Q41&lt;&gt;"","   BACKGROUND INFO: "&amp;'Excercise - Al '!Q41,"")</f>
        <v xml:space="preserve">   DESCRIPTION: AEMA Teleconference </v>
      </c>
      <c r="G41" s="85" t="str">
        <f>IF('Excercise - Al '!P41&lt;&gt;"","IMPLEMENTER: "&amp;'Excercise - Al '!P41,"")</f>
        <v xml:space="preserve">IMPLEMENTER: AEMA Teleconference </v>
      </c>
      <c r="H41" s="85" t="str">
        <f>IF('Excercise - Al '!N41&lt;&gt;"","EXPECTED ACTIONS: "&amp;'Excercise - Al '!N41,"")</f>
        <v/>
      </c>
      <c r="I41" s="85" t="str">
        <f>'Excercise - Al '!R41</f>
        <v>Keane</v>
      </c>
    </row>
    <row r="42" spans="1:9" s="27" customFormat="1" ht="50">
      <c r="A42" s="85">
        <f>'Excercise - Al '!A42</f>
        <v>41</v>
      </c>
      <c r="B42" s="85"/>
      <c r="C42" s="86">
        <f>'Excercise - Al '!E42</f>
        <v>40301.395833333336</v>
      </c>
      <c r="D42" s="85" t="str">
        <f>IF('Excercise - Al '!F42&lt;&gt;0,'Excercise - Al '!F42,"")</f>
        <v>MISSION</v>
      </c>
      <c r="E42" s="85" t="str">
        <f>IF('Excercise - Al '!G42&lt;&gt;"","MODE: "&amp;'Excercise - Al '!G42,"")&amp;IF('Excercise - Al '!H42&lt;&gt;"","   FROM: "&amp;'Excercise - Al '!H42,"")&amp;IF('Excercise - Al '!I42&lt;&gt;"","   INJECTED BY: "&amp;'Excercise - Al '!I42,"")&amp;IF('Excercise - Al '!J42&lt;&gt;"","   SEND TO: "&amp;'Excercise - Al '!J42,"")</f>
        <v>MODE: Email   FROM: USPFO, S&amp;S   INJECTED BY: SEOC LNO   SEND TO: JOC J4</v>
      </c>
      <c r="F42" s="85" t="str">
        <f>IF('Excercise - Al '!K42&lt;&gt;"","STORYLINE: "&amp;'Excercise - Al '!K42,"")&amp;IF('Excercise - Al '!M42&lt;&gt;"","   DESCRIPTION: "&amp;'Excercise - Al '!M42,"")&amp;IF('Excercise - Al '!O42&lt;&gt;"","   NOTES/REMARKS: "&amp;'Excercise - Al '!O42,"")&amp;IF('Excercise - Al '!Q42&lt;&gt;"","   BACKGROUND INFO: "&amp;'Excercise - Al '!Q42,"")</f>
        <v xml:space="preserve">   DESCRIPTION: USPFO  Warehouse to push 20 pallets of MREs and 20 pallets of bottled water to Ft Whiting, Mobile, AL (pre-positioning for soldier support).   BACKGROUND INFO: USPFO Warehouse SOP, SA only</v>
      </c>
      <c r="G42" s="85" t="str">
        <f>IF('Excercise - Al '!P42&lt;&gt;"","IMPLEMENTER: "&amp;'Excercise - Al '!P42,"")</f>
        <v>IMPLEMENTER: USPFO  Warehouse to push 20 pallets of MREs and 20 pallets of bottled water to Ft Whiting, Mobile, AL (pre-positioning for soldier support).</v>
      </c>
      <c r="H42" s="85" t="str">
        <f>IF('Excercise - Al '!N42&lt;&gt;"","EXPECTED ACTIONS: "&amp;'Excercise - Al '!N42,"")</f>
        <v/>
      </c>
      <c r="I42" s="85" t="str">
        <f>'Excercise - Al '!R42</f>
        <v>Keane</v>
      </c>
    </row>
    <row r="43" spans="1:9" s="27" customFormat="1" ht="40">
      <c r="A43" s="85">
        <f>'Excercise - Al '!A43</f>
        <v>42</v>
      </c>
      <c r="B43" s="85"/>
      <c r="C43" s="86">
        <f>'Excercise - Al '!E43</f>
        <v>40301.40625</v>
      </c>
      <c r="D43" s="85" t="str">
        <f>IF('Excercise - Al '!F43&lt;&gt;0,'Excercise - Al '!F43,"")</f>
        <v>RFI</v>
      </c>
      <c r="E43" s="85" t="str">
        <f>IF('Excercise - Al '!G43&lt;&gt;"","MODE: "&amp;'Excercise - Al '!G43,"")&amp;IF('Excercise - Al '!H43&lt;&gt;"","   FROM: "&amp;'Excercise - Al '!H43,"")&amp;IF('Excercise - Al '!I43&lt;&gt;"","   INJECTED BY: "&amp;'Excercise - Al '!I43,"")&amp;IF('Excercise - Al '!J43&lt;&gt;"","   SEND TO: "&amp;'Excercise - Al '!J43,"")</f>
        <v>MODE: JIEE or Email   FROM: ARNG CAT   INJECTED BY: KAHL   SEND TO: JOC</v>
      </c>
      <c r="F43" s="85" t="str">
        <f>IF('Excercise - Al '!K43&lt;&gt;"","STORYLINE: "&amp;'Excercise - Al '!K43,"")&amp;IF('Excercise - Al '!M43&lt;&gt;"","   DESCRIPTION: "&amp;'Excercise - Al '!M43,"")&amp;IF('Excercise - Al '!O43&lt;&gt;"","   NOTES/REMARKS: "&amp;'Excercise - Al '!O43,"")&amp;IF('Excercise - Al '!Q43&lt;&gt;"","   BACKGROUND INFO: "&amp;'Excercise - Al '!Q43,"")</f>
        <v>STORYLINE: EMAC   DESCRIPTION: Army National Guard CAT requests Alabama review resources available, specifically UH 60/CH 47 BN and BDE level multipurpose purpose  task forces.</v>
      </c>
      <c r="G43" s="85" t="str">
        <f>IF('Excercise - Al '!P43&lt;&gt;"","IMPLEMENTER: "&amp;'Excercise - Al '!P43,"")</f>
        <v>IMPLEMENTER: Army National Guard CAT requests Alabama review resources available, specifically UH 60/CH 47 BN and BDE level multipurpose purpose  task forces.</v>
      </c>
      <c r="H43" s="85" t="str">
        <f>IF('Excercise - Al '!N43&lt;&gt;"","EXPECTED ACTIONS: "&amp;'Excercise - Al '!N43,"")</f>
        <v/>
      </c>
      <c r="I43" s="85" t="str">
        <f>'Excercise - Al '!R43</f>
        <v>Keane</v>
      </c>
    </row>
    <row r="44" spans="1:9" s="27" customFormat="1" ht="60">
      <c r="A44" s="85">
        <f>'Excercise - Al '!A44</f>
        <v>43</v>
      </c>
      <c r="B44" s="85"/>
      <c r="C44" s="86">
        <f>'Excercise - Al '!E44</f>
        <v>40301.416666666664</v>
      </c>
      <c r="D44" s="85" t="str">
        <f>IF('Excercise - Al '!F44&lt;&gt;0,'Excercise - Al '!F44,"")</f>
        <v>INFO</v>
      </c>
      <c r="E44" s="85" t="str">
        <f>IF('Excercise - Al '!G44&lt;&gt;"","MODE: "&amp;'Excercise - Al '!G44,"")&amp;IF('Excercise - Al '!H44&lt;&gt;"","   FROM: "&amp;'Excercise - Al '!H44,"")&amp;IF('Excercise - Al '!I44&lt;&gt;"","   INJECTED BY: "&amp;'Excercise - Al '!I44,"")&amp;IF('Excercise - Al '!J44&lt;&gt;"","   SEND TO: "&amp;'Excercise - Al '!J44,"")</f>
        <v>MODE: Email   FROM: simcell-SEOC   INJECTED BY: SEOC LNO   SEND TO: MSG CTR/TAG</v>
      </c>
      <c r="F44" s="85" t="str">
        <f>IF('Excercise - Al '!K44&lt;&gt;"","STORYLINE: "&amp;'Excercise - Al '!K44,"")&amp;IF('Excercise - Al '!M44&lt;&gt;"","   DESCRIPTION: "&amp;'Excercise - Al '!M44,"")&amp;IF('Excercise - Al '!O44&lt;&gt;"","   NOTES/REMARKS: "&amp;'Excercise - Al '!O44,"")&amp;IF('Excercise - Al '!Q44&lt;&gt;"","   BACKGROUND INFO: "&amp;'Excercise - Al '!Q44,"")</f>
        <v xml:space="preserve">   DESCRIPTION: The Governor of Alabama has issued a declaration of emergency for Mobile, Baldwin and surrounding counties.  </v>
      </c>
      <c r="G44" s="85" t="str">
        <f>IF('Excercise - Al '!P44&lt;&gt;"","IMPLEMENTER: "&amp;'Excercise - Al '!P44,"")</f>
        <v xml:space="preserve">IMPLEMENTER: The Governor of Alabama has issued a declaration of emergency for Mobile, Baldwin and surrounding counties.  </v>
      </c>
      <c r="H44" s="85" t="str">
        <f>IF('Excercise - Al '!N44&lt;&gt;"","EXPECTED ACTIONS: "&amp;'Excercise - Al '!N44,"")</f>
        <v>EXPECTED ACTIONS: MSG CTR informs TAG/Sr. Staff/JOC</v>
      </c>
      <c r="I44" s="85" t="str">
        <f>'Excercise - Al '!R44</f>
        <v>Messer</v>
      </c>
    </row>
    <row r="45" spans="1:9" s="27" customFormat="1" ht="30">
      <c r="A45" s="85">
        <f>'Excercise - Al '!A45</f>
        <v>44</v>
      </c>
      <c r="B45" s="85"/>
      <c r="C45" s="86">
        <f>'Excercise - Al '!E45</f>
        <v>40301.416666666664</v>
      </c>
      <c r="D45" s="85" t="str">
        <f>IF('Excercise - Al '!F45&lt;&gt;0,'Excercise - Al '!F45,"")</f>
        <v>31st CHEM BDE - Dispatch LNO to Montgomery</v>
      </c>
      <c r="E45" s="85" t="str">
        <f>IF('Excercise - Al '!G45&lt;&gt;"","MODE: "&amp;'Excercise - Al '!G45,"")&amp;IF('Excercise - Al '!H45&lt;&gt;"","   FROM: "&amp;'Excercise - Al '!H45,"")&amp;IF('Excercise - Al '!I45&lt;&gt;"","   INJECTED BY: "&amp;'Excercise - Al '!I45,"")&amp;IF('Excercise - Al '!J45&lt;&gt;"","   SEND TO: "&amp;'Excercise - Al '!J45,"")</f>
        <v>MODE: Not Injected</v>
      </c>
      <c r="F45" s="85" t="str">
        <f>IF('Excercise - Al '!K45&lt;&gt;"","STORYLINE: "&amp;'Excercise - Al '!K45,"")&amp;IF('Excercise - Al '!M45&lt;&gt;"","   DESCRIPTION: "&amp;'Excercise - Al '!M45,"")&amp;IF('Excercise - Al '!O45&lt;&gt;"","   NOTES/REMARKS: "&amp;'Excercise - Al '!O45,"")&amp;IF('Excercise - Al '!Q45&lt;&gt;"","   BACKGROUND INFO: "&amp;'Excercise - Al '!Q45,"")</f>
        <v/>
      </c>
      <c r="G45" s="85" t="str">
        <f>IF('Excercise - Al '!P45&lt;&gt;"","IMPLEMENTER: "&amp;'Excercise - Al '!P45,"")</f>
        <v/>
      </c>
      <c r="H45" s="85" t="str">
        <f>IF('Excercise - Al '!N45&lt;&gt;"","EXPECTED ACTIONS: "&amp;'Excercise - Al '!N45,"")</f>
        <v/>
      </c>
      <c r="I45" s="85" t="str">
        <f>'Excercise - Al '!R45</f>
        <v>Napier</v>
      </c>
    </row>
    <row r="46" spans="1:9" s="27" customFormat="1" ht="140">
      <c r="A46" s="85">
        <f>'Excercise - Al '!A46</f>
        <v>45</v>
      </c>
      <c r="B46" s="85"/>
      <c r="C46" s="86">
        <f>'Excercise - Al '!E46</f>
        <v>40301.417361111111</v>
      </c>
      <c r="D46" s="85" t="str">
        <f>IF('Excercise - Al '!F46&lt;&gt;0,'Excercise - Al '!F46,"")</f>
        <v>INFO</v>
      </c>
      <c r="E46" s="85" t="str">
        <f>IF('Excercise - Al '!G46&lt;&gt;"","MODE: "&amp;'Excercise - Al '!G46,"")&amp;IF('Excercise - Al '!H46&lt;&gt;"","   FROM: "&amp;'Excercise - Al '!H46,"")&amp;IF('Excercise - Al '!I46&lt;&gt;"","   INJECTED BY: "&amp;'Excercise - Al '!I46,"")&amp;IF('Excercise - Al '!J46&lt;&gt;"","   SEND TO: "&amp;'Excercise - Al '!J46,"")</f>
        <v>MODE: Email   FROM: Simcell - National Hurricane Center   INJECTED BY: KEANE   SEND TO: JOC, All</v>
      </c>
      <c r="F46" s="85" t="str">
        <f>IF('Excercise - Al '!K46&lt;&gt;"","STORYLINE: "&amp;'Excercise - Al '!K46,"")&amp;IF('Excercise - Al '!M46&lt;&gt;"","   DESCRIPTION: "&amp;'Excercise - Al '!M46,"")&amp;IF('Excercise - Al '!O46&lt;&gt;"","   NOTES/REMARKS: "&amp;'Excercise - Al '!O46,"")&amp;IF('Excercise - Al '!Q46&lt;&gt;"","   BACKGROUND INFO: "&amp;'Excercise - Al '!Q46,"")</f>
        <v>STORYLINE: Tropical Storm Al Update 10   DESCRIPTION: Tropical Storm Al Update 10</v>
      </c>
      <c r="G46" s="85" t="str">
        <f>IF('Excercise - Al '!P46&lt;&gt;"","IMPLEMENTER: "&amp;'Excercise - Al '!P46,"")</f>
        <v>IMPLEMENTER: _x000D_... HURRICANE AL MOVING NORTHWESTWARD...APPROACHING THE YUCATAN PENINSULA_x000D_TOMORROW..._x000D__x000D__x000D_SUMMARY OF 1100 AM EDT...1500 UTC...INFORMATION_x000D_-----------------------------------------------_x000D_LOCATION...18.3N 83.1W_x000D_ABOUT 129 MILES...208 KM...SOUTHWEST OF GEORGE TOWN CAYMAN ISLANDS _x000D_ABOUT 290 MILES...466 KM...SOUTHEAST OF COZUMEL MEXICO_x000D_ABOUT 339 MILES...545 KM...EAST-NORTHEAST OF BELIZE CITY BELIZE_x000D_MAXIMUM SUSTAINED WINDS...120 MPH...193 KM/HR_x000D_PRESENT MOVEMENT...WNW OR 303 DEGREES AT 14 MPH...23 KM/HR_x000D_MINIMUM CENTRAL PRESSURE...956 MB...28.23 INCHES_x000D__x000D_</v>
      </c>
      <c r="H46" s="85" t="str">
        <f>IF('Excercise - Al '!N46&lt;&gt;"","EXPECTED ACTIONS: "&amp;'Excercise - Al '!N46,"")</f>
        <v/>
      </c>
      <c r="I46" s="85" t="str">
        <f>'Excercise - Al '!R46</f>
        <v>Keane</v>
      </c>
    </row>
    <row r="47" spans="1:9" s="27" customFormat="1" ht="60">
      <c r="A47" s="85">
        <f>'Excercise - Al '!A47</f>
        <v>46</v>
      </c>
      <c r="B47" s="85"/>
      <c r="C47" s="86">
        <f>'Excercise - Al '!E47</f>
        <v>40301.4375</v>
      </c>
      <c r="D47" s="85" t="str">
        <f>IF('Excercise - Al '!F47&lt;&gt;0,'Excercise - Al '!F47,"")</f>
        <v>RFI</v>
      </c>
      <c r="E47" s="85" t="str">
        <f>IF('Excercise - Al '!G47&lt;&gt;"","MODE: "&amp;'Excercise - Al '!G47,"")&amp;IF('Excercise - Al '!H47&lt;&gt;"","   FROM: "&amp;'Excercise - Al '!H47,"")&amp;IF('Excercise - Al '!I47&lt;&gt;"","   INJECTED BY: "&amp;'Excercise - Al '!I47,"")&amp;IF('Excercise - Al '!J47&lt;&gt;"","   SEND TO: "&amp;'Excercise - Al '!J47,"")</f>
        <v>MODE: Phone   INJECTED BY: SEOC LNO/P MCDONALD   SEND TO: JOC-AVN</v>
      </c>
      <c r="F47" s="85" t="str">
        <f>IF('Excercise - Al '!K47&lt;&gt;"","STORYLINE: "&amp;'Excercise - Al '!K47,"")&amp;IF('Excercise - Al '!M47&lt;&gt;"","   DESCRIPTION: "&amp;'Excercise - Al '!M47,"")&amp;IF('Excercise - Al '!O47&lt;&gt;"","   NOTES/REMARKS: "&amp;'Excercise - Al '!O47,"")&amp;IF('Excercise - Al '!Q47&lt;&gt;"","   BACKGROUND INFO: "&amp;'Excercise - Al '!Q47,"")</f>
        <v>STORYLINE: EMAC   DESCRIPTION: Mississippi Issues EMAC Request for Aviation support, 3x UH60's for SAR    NOTES/REMARKS: At 1107 hours, MAJ Johns, MS-JOC- Battle Capt,  contacted CW5 Fontenot, AVN, he said to send EMAC request ALNG can support 3 UH60 out of Mobile because they are having to relocate due to impeding storm.</v>
      </c>
      <c r="G47" s="85" t="str">
        <f>IF('Excercise - Al '!P47&lt;&gt;"","IMPLEMENTER: "&amp;'Excercise - Al '!P47,"")</f>
        <v xml:space="preserve">IMPLEMENTER: Mississippi Issues EMAC Request for Aviation support, 3x UH60's for SAR </v>
      </c>
      <c r="H47" s="85" t="str">
        <f>IF('Excercise - Al '!N47&lt;&gt;"","EXPECTED ACTIONS: "&amp;'Excercise - Al '!N47,"")</f>
        <v/>
      </c>
      <c r="I47" s="85" t="str">
        <f>'Excercise - Al '!R47</f>
        <v>McDonald</v>
      </c>
    </row>
    <row r="48" spans="1:9" s="27" customFormat="1" ht="30">
      <c r="A48" s="85">
        <f>'Excercise - Al '!A48</f>
        <v>47</v>
      </c>
      <c r="B48" s="85"/>
      <c r="C48" s="86">
        <f>'Excercise - Al '!E48</f>
        <v>40301.447916666664</v>
      </c>
      <c r="D48" s="85" t="str">
        <f>IF('Excercise - Al '!F48&lt;&gt;0,'Excercise - Al '!F48,"")</f>
        <v>MISSION</v>
      </c>
      <c r="E48" s="85" t="str">
        <f>IF('Excercise - Al '!G48&lt;&gt;"","MODE: "&amp;'Excercise - Al '!G48,"")&amp;IF('Excercise - Al '!H48&lt;&gt;"","   FROM: "&amp;'Excercise - Al '!H48,"")&amp;IF('Excercise - Al '!I48&lt;&gt;"","   INJECTED BY: "&amp;'Excercise - Al '!I48,"")&amp;IF('Excercise - Al '!J48&lt;&gt;"","   SEND TO: "&amp;'Excercise - Al '!J48,"")</f>
        <v>MODE: Email   INJECTED BY: TOMBERLIN</v>
      </c>
      <c r="F48" s="85" t="str">
        <f>IF('Excercise - Al '!K48&lt;&gt;"","STORYLINE: "&amp;'Excercise - Al '!K48,"")&amp;IF('Excercise - Al '!M48&lt;&gt;"","   DESCRIPTION: "&amp;'Excercise - Al '!M48,"")&amp;IF('Excercise - Al '!O48&lt;&gt;"","   NOTES/REMARKS: "&amp;'Excercise - Al '!O48,"")&amp;IF('Excercise - Al '!Q48&lt;&gt;"","   BACKGROUND INFO: "&amp;'Excercise - Al '!Q48,"")</f>
        <v xml:space="preserve">   DESCRIPTION: Request 900 MREs, 100 cots, and 100 blankets to be prepositioned at Fort Whiting, Mobile AL.</v>
      </c>
      <c r="G48" s="85" t="str">
        <f>IF('Excercise - Al '!P48&lt;&gt;"","IMPLEMENTER: "&amp;'Excercise - Al '!P48,"")</f>
        <v>IMPLEMENTER: Request 900 MREs, 100 cots, and 100 blankets to be preposition at Fort Whiting, Mobile AL.</v>
      </c>
      <c r="H48" s="85" t="str">
        <f>IF('Excercise - Al '!N48&lt;&gt;"","EXPECTED ACTIONS: "&amp;'Excercise - Al '!N48,"")</f>
        <v/>
      </c>
      <c r="I48" s="85" t="str">
        <f>'Excercise - Al '!R48</f>
        <v>Therman</v>
      </c>
    </row>
    <row r="49" spans="1:9" s="27" customFormat="1" ht="30">
      <c r="A49" s="85">
        <f>'Excercise - Al '!A49</f>
        <v>48</v>
      </c>
      <c r="B49" s="85"/>
      <c r="C49" s="86">
        <f>'Excercise - Al '!E49</f>
        <v>40301.458333333336</v>
      </c>
      <c r="D49" s="85" t="str">
        <f>IF('Excercise - Al '!F49&lt;&gt;0,'Excercise - Al '!F49,"")</f>
        <v>RFI</v>
      </c>
      <c r="E49" s="85" t="str">
        <f>IF('Excercise - Al '!G49&lt;&gt;"","MODE: "&amp;'Excercise - Al '!G49,"")&amp;IF('Excercise - Al '!H49&lt;&gt;"","   FROM: "&amp;'Excercise - Al '!H49,"")&amp;IF('Excercise - Al '!I49&lt;&gt;"","   INJECTED BY: "&amp;'Excercise - Al '!I49,"")&amp;IF('Excercise - Al '!J49&lt;&gt;"","   SEND TO: "&amp;'Excercise - Al '!J49,"")</f>
        <v xml:space="preserve">   INJECTED BY: SEOC LNO</v>
      </c>
      <c r="F49" s="85" t="str">
        <f>IF('Excercise - Al '!K49&lt;&gt;"","STORYLINE: "&amp;'Excercise - Al '!K49,"")&amp;IF('Excercise - Al '!M49&lt;&gt;"","   DESCRIPTION: "&amp;'Excercise - Al '!M49,"")&amp;IF('Excercise - Al '!O49&lt;&gt;"","   NOTES/REMARKS: "&amp;'Excercise - Al '!O49,"")&amp;IF('Excercise - Al '!Q49&lt;&gt;"","   BACKGROUND INFO: "&amp;'Excercise - Al '!Q49,"")</f>
        <v>STORYLINE: EMAC   DESCRIPTION: Army National Guard CAT requests Alabama review resources available IOT support MSNG 3X UH60.</v>
      </c>
      <c r="G49" s="85" t="str">
        <f>IF('Excercise - Al '!P49&lt;&gt;"","IMPLEMENTER: "&amp;'Excercise - Al '!P49,"")</f>
        <v>IMPLEMENTER: Army National Guard CAT requests Alabama review resources available IOT support MSNG 3X UH60.</v>
      </c>
      <c r="H49" s="85" t="str">
        <f>IF('Excercise - Al '!N49&lt;&gt;"","EXPECTED ACTIONS: "&amp;'Excercise - Al '!N49,"")</f>
        <v/>
      </c>
      <c r="I49" s="85" t="str">
        <f>'Excercise - Al '!R49</f>
        <v>Keane</v>
      </c>
    </row>
    <row r="50" spans="1:9" s="27" customFormat="1" ht="30">
      <c r="A50" s="85">
        <f>'Excercise - Al '!A50</f>
        <v>49</v>
      </c>
      <c r="B50" s="85"/>
      <c r="C50" s="86">
        <f>'Excercise - Al '!E50</f>
        <v>40301.479166666664</v>
      </c>
      <c r="D50" s="85" t="str">
        <f>IF('Excercise - Al '!F50&lt;&gt;0,'Excercise - Al '!F50,"")</f>
        <v>MISSION - BPT</v>
      </c>
      <c r="E50" s="85" t="str">
        <f>IF('Excercise - Al '!G50&lt;&gt;"","MODE: "&amp;'Excercise - Al '!G50,"")&amp;IF('Excercise - Al '!H50&lt;&gt;"","   FROM: "&amp;'Excercise - Al '!H50,"")&amp;IF('Excercise - Al '!I50&lt;&gt;"","   INJECTED BY: "&amp;'Excercise - Al '!I50,"")&amp;IF('Excercise - Al '!J50&lt;&gt;"","   SEND TO: "&amp;'Excercise - Al '!J50,"")</f>
        <v xml:space="preserve">   INJECTED BY: SEOC LNO</v>
      </c>
      <c r="F50" s="85" t="str">
        <f>IF('Excercise - Al '!K50&lt;&gt;"","STORYLINE: "&amp;'Excercise - Al '!K50,"")&amp;IF('Excercise - Al '!M50&lt;&gt;"","   DESCRIPTION: "&amp;'Excercise - Al '!M50,"")&amp;IF('Excercise - Al '!O50&lt;&gt;"","   NOTES/REMARKS: "&amp;'Excercise - Al '!O50,"")&amp;IF('Excercise - Al '!Q50&lt;&gt;"","   BACKGROUND INFO: "&amp;'Excercise - Al '!Q50,"")</f>
        <v xml:space="preserve">   DESCRIPTION: BPT establish LSA</v>
      </c>
      <c r="G50" s="85" t="str">
        <f>IF('Excercise - Al '!P50&lt;&gt;"","IMPLEMENTER: "&amp;'Excercise - Al '!P50,"")</f>
        <v>IMPLEMENTER: BPT establish ONE LSA Brookley Field, Mobile, requires 20 PAX, 24hrs operations duration of support TBD.</v>
      </c>
      <c r="H50" s="85" t="str">
        <f>IF('Excercise - Al '!N50&lt;&gt;"","EXPECTED ACTIONS: "&amp;'Excercise - Al '!N50,"")</f>
        <v/>
      </c>
      <c r="I50" s="85" t="str">
        <f>'Excercise - Al '!R50</f>
        <v>Keane</v>
      </c>
    </row>
    <row r="51" spans="1:9" s="27" customFormat="1" ht="20">
      <c r="A51" s="85">
        <f>'Excercise - Al '!A51</f>
        <v>50</v>
      </c>
      <c r="B51" s="85"/>
      <c r="C51" s="86">
        <f>'Excercise - Al '!E51</f>
        <v>40301.499305555553</v>
      </c>
      <c r="D51" s="85" t="str">
        <f>IF('Excercise - Al '!F51&lt;&gt;0,'Excercise - Al '!F51,"")</f>
        <v>MISSION - BPT</v>
      </c>
      <c r="E51" s="85" t="str">
        <f>IF('Excercise - Al '!G51&lt;&gt;"","MODE: "&amp;'Excercise - Al '!G51,"")&amp;IF('Excercise - Al '!H51&lt;&gt;"","   FROM: "&amp;'Excercise - Al '!H51,"")&amp;IF('Excercise - Al '!I51&lt;&gt;"","   INJECTED BY: "&amp;'Excercise - Al '!I51,"")&amp;IF('Excercise - Al '!J51&lt;&gt;"","   SEND TO: "&amp;'Excercise - Al '!J51,"")</f>
        <v xml:space="preserve">   INJECTED BY: SEOC LNO</v>
      </c>
      <c r="F51" s="85" t="str">
        <f>IF('Excercise - Al '!K51&lt;&gt;"","STORYLINE: "&amp;'Excercise - Al '!K51,"")&amp;IF('Excercise - Al '!M51&lt;&gt;"","   DESCRIPTION: "&amp;'Excercise - Al '!M51,"")&amp;IF('Excercise - Al '!O51&lt;&gt;"","   NOTES/REMARKS: "&amp;'Excercise - Al '!O51,"")&amp;IF('Excercise - Al '!Q51&lt;&gt;"","   BACKGROUND INFO: "&amp;'Excercise - Al '!Q51,"")</f>
        <v xml:space="preserve">   DESCRIPTION: BPT establish and staff 15 PODs at Mobile and Baldwin counties</v>
      </c>
      <c r="G51" s="85" t="str">
        <f>IF('Excercise - Al '!P51&lt;&gt;"","IMPLEMENTER: "&amp;'Excercise - Al '!P51,"")</f>
        <v>IMPLEMENTER: BPT establish and staff 15 PODs at Mobile and Baldwin counties</v>
      </c>
      <c r="H51" s="85" t="str">
        <f>IF('Excercise - Al '!N51&lt;&gt;"","EXPECTED ACTIONS: "&amp;'Excercise - Al '!N51,"")</f>
        <v/>
      </c>
      <c r="I51" s="85" t="str">
        <f>'Excercise - Al '!R51</f>
        <v>Keane</v>
      </c>
    </row>
    <row r="52" spans="1:9" s="27" customFormat="1" ht="70">
      <c r="A52" s="85">
        <f>'Excercise - Al '!A52</f>
        <v>51</v>
      </c>
      <c r="B52" s="85"/>
      <c r="C52" s="86">
        <f>'Excercise - Al '!E52</f>
        <v>40301.5</v>
      </c>
      <c r="D52" s="85" t="str">
        <f>IF('Excercise - Al '!F52&lt;&gt;0,'Excercise - Al '!F52,"")</f>
        <v>RFI</v>
      </c>
      <c r="E52" s="85" t="str">
        <f>IF('Excercise - Al '!G52&lt;&gt;"","MODE: "&amp;'Excercise - Al '!G52,"")&amp;IF('Excercise - Al '!H52&lt;&gt;"","   FROM: "&amp;'Excercise - Al '!H52,"")&amp;IF('Excercise - Al '!I52&lt;&gt;"","   INJECTED BY: "&amp;'Excercise - Al '!I52,"")&amp;IF('Excercise - Al '!J52&lt;&gt;"","   SEND TO: "&amp;'Excercise - Al '!J52,"")</f>
        <v>MODE: Email   FROM: Each Task Force   INJECTED BY: TF S2   SEND TO: JOC, J2</v>
      </c>
      <c r="F52" s="85" t="str">
        <f>IF('Excercise - Al '!K52&lt;&gt;"","STORYLINE: "&amp;'Excercise - Al '!K52,"")&amp;IF('Excercise - Al '!M52&lt;&gt;"","   DESCRIPTION: "&amp;'Excercise - Al '!M52,"")&amp;IF('Excercise - Al '!O52&lt;&gt;"","   NOTES/REMARKS: "&amp;'Excercise - Al '!O52,"")&amp;IF('Excercise - Al '!Q52&lt;&gt;"","   BACKGROUND INFO: "&amp;'Excercise - Al '!Q52,"")</f>
        <v xml:space="preserve">   DESCRIPTION: Weather Update/Storm Track</v>
      </c>
      <c r="G52" s="85" t="str">
        <f>IF('Excercise - Al '!P52&lt;&gt;"","IMPLEMENTER: "&amp;'Excercise - Al '!P52,"")</f>
        <v>IMPLEMENTER: Weather RFI from Task Force to J2</v>
      </c>
      <c r="H52" s="85" t="str">
        <f>IF('Excercise - Al '!N52&lt;&gt;"","EXPECTED ACTIONS: "&amp;'Excercise - Al '!N52,"")</f>
        <v>EXPECTED ACTIONS: J2 Provides latest Weather and Storm Track to the TFs</v>
      </c>
      <c r="I52" s="85" t="str">
        <f>'Excercise - Al '!R52</f>
        <v>Houlton</v>
      </c>
    </row>
    <row r="53" spans="1:9" s="27" customFormat="1" ht="20">
      <c r="A53" s="85">
        <f>'Excercise - Al '!A53</f>
        <v>52</v>
      </c>
      <c r="B53" s="85"/>
      <c r="C53" s="86">
        <f>'Excercise - Al '!E53</f>
        <v>40301.520833333336</v>
      </c>
      <c r="D53" s="85" t="str">
        <f>IF('Excercise - Al '!F53&lt;&gt;0,'Excercise - Al '!F53,"")</f>
        <v>MISSION</v>
      </c>
      <c r="E53" s="85" t="str">
        <f>IF('Excercise - Al '!G53&lt;&gt;"","MODE: "&amp;'Excercise - Al '!G53,"")&amp;IF('Excercise - Al '!H53&lt;&gt;"","   FROM: "&amp;'Excercise - Al '!H53,"")&amp;IF('Excercise - Al '!I53&lt;&gt;"","   INJECTED BY: "&amp;'Excercise - Al '!I53,"")&amp;IF('Excercise - Al '!J53&lt;&gt;"","   SEND TO: "&amp;'Excercise - Al '!J53,"")</f>
        <v xml:space="preserve">   INJECTED BY: SEOC LNO</v>
      </c>
      <c r="F53" s="85" t="str">
        <f>IF('Excercise - Al '!K53&lt;&gt;"","STORYLINE: "&amp;'Excercise - Al '!K53,"")&amp;IF('Excercise - Al '!M53&lt;&gt;"","   DESCRIPTION: "&amp;'Excercise - Al '!M53,"")&amp;IF('Excercise - Al '!O53&lt;&gt;"","   NOTES/REMARKS: "&amp;'Excercise - Al '!O53,"")&amp;IF('Excercise - Al '!Q53&lt;&gt;"","   BACKGROUND INFO: "&amp;'Excercise - Al '!Q53,"")</f>
        <v xml:space="preserve">   DESCRIPTION: Provide support to SERT (AL)LOG Chief in SEOC (AL)</v>
      </c>
      <c r="G53" s="85" t="str">
        <f>IF('Excercise - Al '!P53&lt;&gt;"","IMPLEMENTER: "&amp;'Excercise - Al '!P53,"")</f>
        <v>IMPLEMENTER: Provide support to SERT (AL)LOG Chief in SEOC (AL)</v>
      </c>
      <c r="H53" s="85" t="str">
        <f>IF('Excercise - Al '!N53&lt;&gt;"","EXPECTED ACTIONS: "&amp;'Excercise - Al '!N53,"")</f>
        <v/>
      </c>
      <c r="I53" s="85" t="str">
        <f>'Excercise - Al '!R53</f>
        <v>Keane</v>
      </c>
    </row>
    <row r="54" spans="1:9" s="27" customFormat="1" ht="40">
      <c r="A54" s="85">
        <f>'Excercise - Al '!A54</f>
        <v>53</v>
      </c>
      <c r="B54" s="85"/>
      <c r="C54" s="86">
        <f>'Excercise - Al '!E54</f>
        <v>40301.541666666664</v>
      </c>
      <c r="D54" s="85" t="str">
        <f>IF('Excercise - Al '!F54&lt;&gt;0,'Excercise - Al '!F54,"")</f>
        <v>MISSION - BPT</v>
      </c>
      <c r="E54" s="85" t="str">
        <f>IF('Excercise - Al '!G54&lt;&gt;"","MODE: "&amp;'Excercise - Al '!G54,"")&amp;IF('Excercise - Al '!H54&lt;&gt;"","   FROM: "&amp;'Excercise - Al '!H54,"")&amp;IF('Excercise - Al '!I54&lt;&gt;"","   INJECTED BY: "&amp;'Excercise - Al '!I54,"")&amp;IF('Excercise - Al '!J54&lt;&gt;"","   SEND TO: "&amp;'Excercise - Al '!J54,"")</f>
        <v xml:space="preserve">   INJECTED BY: SEOC LNO</v>
      </c>
      <c r="F54" s="85" t="str">
        <f>IF('Excercise - Al '!K54&lt;&gt;"","STORYLINE: "&amp;'Excercise - Al '!K54,"")&amp;IF('Excercise - Al '!M54&lt;&gt;"","   DESCRIPTION: "&amp;'Excercise - Al '!M54,"")&amp;IF('Excercise - Al '!O54&lt;&gt;"","   NOTES/REMARKS: "&amp;'Excercise - Al '!O54,"")&amp;IF('Excercise - Al '!Q54&lt;&gt;"","   BACKGROUND INFO: "&amp;'Excercise - Al '!Q54,"")</f>
        <v xml:space="preserve">   DESCRIPTION: Stage &amp; BPT deploy 2 SAR teams to Mobile and Baldwin County EOC locations. </v>
      </c>
      <c r="G54" s="85" t="str">
        <f>IF('Excercise - Al '!P54&lt;&gt;"","IMPLEMENTER: "&amp;'Excercise - Al '!P54,"")</f>
        <v xml:space="preserve">IMPLEMENTER: Stage &amp; BPT deploy 2 SAR teams consisting of 4ea 5tons 16 PAX to Mobile and Baldwin County EOC locations. POC will be Mr. Evens and Mr Raines  </v>
      </c>
      <c r="H54" s="85" t="str">
        <f>IF('Excercise - Al '!N54&lt;&gt;"","EXPECTED ACTIONS: "&amp;'Excercise - Al '!N54,"")</f>
        <v/>
      </c>
      <c r="I54" s="85" t="str">
        <f>'Excercise - Al '!R54</f>
        <v>Keane</v>
      </c>
    </row>
    <row r="55" spans="1:9" s="27" customFormat="1" ht="80">
      <c r="A55" s="85">
        <f>'Excercise - Al '!A55</f>
        <v>54</v>
      </c>
      <c r="B55" s="85"/>
      <c r="C55" s="86">
        <f>'Excercise - Al '!E55</f>
        <v>40301.542361111111</v>
      </c>
      <c r="D55" s="85" t="str">
        <f>IF('Excercise - Al '!F55&lt;&gt;0,'Excercise - Al '!F55,"")</f>
        <v>RFI</v>
      </c>
      <c r="E55" s="85" t="str">
        <f>IF('Excercise - Al '!G55&lt;&gt;"","MODE: "&amp;'Excercise - Al '!G55,"")&amp;IF('Excercise - Al '!H55&lt;&gt;"","   FROM: "&amp;'Excercise - Al '!H55,"")&amp;IF('Excercise - Al '!I55&lt;&gt;"","   INJECTED BY: "&amp;'Excercise - Al '!I55,"")&amp;IF('Excercise - Al '!J55&lt;&gt;"","   SEND TO: "&amp;'Excercise - Al '!J55,"")</f>
        <v>MODE: Email   INJECTED BY: HICKS</v>
      </c>
      <c r="F55" s="85" t="str">
        <f>IF('Excercise - Al '!K55&lt;&gt;"","STORYLINE: "&amp;'Excercise - Al '!K55,"")&amp;IF('Excercise - Al '!M55&lt;&gt;"","   DESCRIPTION: "&amp;'Excercise - Al '!M55,"")&amp;IF('Excercise - Al '!O55&lt;&gt;"","   NOTES/REMARKS: "&amp;'Excercise - Al '!O55,"")&amp;IF('Excercise - Al '!Q55&lt;&gt;"","   BACKGROUND INFO: "&amp;'Excercise - Al '!Q55,"")</f>
        <v>STORYLINE: CHAPLAIN &amp; UMT ACTIIVITIES</v>
      </c>
      <c r="G55" s="85" t="str">
        <f>IF('Excercise - Al '!P55&lt;&gt;"","IMPLEMENTER: "&amp;'Excercise - Al '!P55,"")</f>
        <v>IMPLEMENTER: A Battalion commander reports his unit chaplain cannot be contacted. As a replacement he wants to bring with the unit his civilian pastor to do the chaplain work</v>
      </c>
      <c r="H55" s="85" t="str">
        <f>IF('Excercise - Al '!N55&lt;&gt;"","EXPECTED ACTIONS: "&amp;'Excercise - Al '!N55,"")</f>
        <v>EXPECTED ACTIONS: Deny request &amp; cover with chaplain from another unit</v>
      </c>
      <c r="I55" s="85" t="str">
        <f>'Excercise - Al '!R55</f>
        <v>Hicks</v>
      </c>
    </row>
    <row r="56" spans="1:9" s="27" customFormat="1" ht="20">
      <c r="A56" s="85">
        <f>'Excercise - Al '!A56</f>
        <v>55</v>
      </c>
      <c r="B56" s="85"/>
      <c r="C56" s="86">
        <f>'Excercise - Al '!E56</f>
        <v>40301.583333333336</v>
      </c>
      <c r="D56" s="85" t="str">
        <f>IF('Excercise - Al '!F56&lt;&gt;0,'Excercise - Al '!F56,"")</f>
        <v>MISSION</v>
      </c>
      <c r="E56" s="85" t="str">
        <f>IF('Excercise - Al '!G56&lt;&gt;"","MODE: "&amp;'Excercise - Al '!G56,"")&amp;IF('Excercise - Al '!H56&lt;&gt;"","   FROM: "&amp;'Excercise - Al '!H56,"")&amp;IF('Excercise - Al '!I56&lt;&gt;"","   INJECTED BY: "&amp;'Excercise - Al '!I56,"")&amp;IF('Excercise - Al '!J56&lt;&gt;"","   SEND TO: "&amp;'Excercise - Al '!J56,"")</f>
        <v xml:space="preserve">   INJECTED BY: SEOC LNO</v>
      </c>
      <c r="F56" s="85" t="str">
        <f>IF('Excercise - Al '!K56&lt;&gt;"","STORYLINE: "&amp;'Excercise - Al '!K56,"")&amp;IF('Excercise - Al '!M56&lt;&gt;"","   DESCRIPTION: "&amp;'Excercise - Al '!M56,"")&amp;IF('Excercise - Al '!O56&lt;&gt;"","   NOTES/REMARKS: "&amp;'Excercise - Al '!O56,"")&amp;IF('Excercise - Al '!Q56&lt;&gt;"","   BACKGROUND INFO: "&amp;'Excercise - Al '!Q56,"")</f>
        <v xml:space="preserve">   DESCRIPTION: Provide SAR Planner to SEOC (AL) ESF 9</v>
      </c>
      <c r="G56" s="85" t="str">
        <f>IF('Excercise - Al '!P56&lt;&gt;"","IMPLEMENTER: "&amp;'Excercise - Al '!P56,"")</f>
        <v>IMPLEMENTER: Provide SAR Planner to SEOC (AL) ESF 9</v>
      </c>
      <c r="H56" s="85" t="str">
        <f>IF('Excercise - Al '!N56&lt;&gt;"","EXPECTED ACTIONS: "&amp;'Excercise - Al '!N56,"")</f>
        <v/>
      </c>
      <c r="I56" s="85" t="str">
        <f>'Excercise - Al '!R56</f>
        <v>Keane</v>
      </c>
    </row>
    <row r="57" spans="1:9" s="27" customFormat="1" ht="20">
      <c r="A57" s="85">
        <f>'Excercise - Al '!A57</f>
        <v>56</v>
      </c>
      <c r="B57" s="85"/>
      <c r="C57" s="86">
        <f>'Excercise - Al '!E57</f>
        <v>40301.604166666664</v>
      </c>
      <c r="D57" s="85" t="str">
        <f>IF('Excercise - Al '!F57&lt;&gt;0,'Excercise - Al '!F57,"")</f>
        <v>MISSION - BPT</v>
      </c>
      <c r="E57" s="85" t="str">
        <f>IF('Excercise - Al '!G57&lt;&gt;"","MODE: "&amp;'Excercise - Al '!G57,"")&amp;IF('Excercise - Al '!H57&lt;&gt;"","   FROM: "&amp;'Excercise - Al '!H57,"")&amp;IF('Excercise - Al '!I57&lt;&gt;"","   INJECTED BY: "&amp;'Excercise - Al '!I57,"")&amp;IF('Excercise - Al '!J57&lt;&gt;"","   SEND TO: "&amp;'Excercise - Al '!J57,"")</f>
        <v xml:space="preserve">   INJECTED BY: SEOC LNO</v>
      </c>
      <c r="F57" s="85" t="str">
        <f>IF('Excercise - Al '!K57&lt;&gt;"","STORYLINE: "&amp;'Excercise - Al '!K57,"")&amp;IF('Excercise - Al '!M57&lt;&gt;"","   DESCRIPTION: "&amp;'Excercise - Al '!M57,"")&amp;IF('Excercise - Al '!O57&lt;&gt;"","   NOTES/REMARKS: "&amp;'Excercise - Al '!O57,"")&amp;IF('Excercise - Al '!Q57&lt;&gt;"","   BACKGROUND INFO: "&amp;'Excercise - Al '!Q57,"")</f>
        <v xml:space="preserve">   DESCRIPTION: BPT support Aviation assets to assist with SAR</v>
      </c>
      <c r="G57" s="85" t="str">
        <f>IF('Excercise - Al '!P57&lt;&gt;"","IMPLEMENTER: "&amp;'Excercise - Al '!P57,"")</f>
        <v>IMPLEMENTER: BPT support Aviation assets to assist with SAR</v>
      </c>
      <c r="H57" s="85" t="str">
        <f>IF('Excercise - Al '!N57&lt;&gt;"","EXPECTED ACTIONS: "&amp;'Excercise - Al '!N57,"")</f>
        <v/>
      </c>
      <c r="I57" s="85" t="str">
        <f>'Excercise - Al '!R57</f>
        <v>Keane</v>
      </c>
    </row>
    <row r="58" spans="1:9" s="27" customFormat="1" ht="20">
      <c r="A58" s="85">
        <f>'Excercise - Al '!A58</f>
        <v>57</v>
      </c>
      <c r="B58" s="85"/>
      <c r="C58" s="86">
        <f>'Excercise - Al '!E58</f>
        <v>40301.625</v>
      </c>
      <c r="D58" s="85" t="str">
        <f>IF('Excercise - Al '!F58&lt;&gt;0,'Excercise - Al '!F58,"")</f>
        <v>MISSION - BPT</v>
      </c>
      <c r="E58" s="85" t="str">
        <f>IF('Excercise - Al '!G58&lt;&gt;"","MODE: "&amp;'Excercise - Al '!G58,"")&amp;IF('Excercise - Al '!H58&lt;&gt;"","   FROM: "&amp;'Excercise - Al '!H58,"")&amp;IF('Excercise - Al '!I58&lt;&gt;"","   INJECTED BY: "&amp;'Excercise - Al '!I58,"")&amp;IF('Excercise - Al '!J58&lt;&gt;"","   SEND TO: "&amp;'Excercise - Al '!J58,"")</f>
        <v xml:space="preserve">   INJECTED BY: SEOC LNO</v>
      </c>
      <c r="F58" s="85" t="str">
        <f>IF('Excercise - Al '!K58&lt;&gt;"","STORYLINE: "&amp;'Excercise - Al '!K58,"")&amp;IF('Excercise - Al '!M58&lt;&gt;"","   DESCRIPTION: "&amp;'Excercise - Al '!M58,"")&amp;IF('Excercise - Al '!O58&lt;&gt;"","   NOTES/REMARKS: "&amp;'Excercise - Al '!O58,"")&amp;IF('Excercise - Al '!Q58&lt;&gt;"","   BACKGROUND INFO: "&amp;'Excercise - Al '!Q58,"")</f>
        <v xml:space="preserve">   DESCRIPTION: BPT to provide airlift of Gov and his key staff for aerial assessment on or about 6 May 10</v>
      </c>
      <c r="G58" s="85" t="str">
        <f>IF('Excercise - Al '!P58&lt;&gt;"","IMPLEMENTER: "&amp;'Excercise - Al '!P58,"")</f>
        <v>IMPLEMENTER: BPT to provide airlift of Gov and his key staff for aerial assessment on or about 6 May 10</v>
      </c>
      <c r="H58" s="85" t="str">
        <f>IF('Excercise - Al '!N58&lt;&gt;"","EXPECTED ACTIONS: "&amp;'Excercise - Al '!N58,"")</f>
        <v/>
      </c>
      <c r="I58" s="85" t="str">
        <f>'Excercise - Al '!R58</f>
        <v>Keane</v>
      </c>
    </row>
    <row r="59" spans="1:9" s="27" customFormat="1" ht="80">
      <c r="A59" s="85">
        <f>'Excercise - Al '!A59</f>
        <v>58</v>
      </c>
      <c r="B59" s="85"/>
      <c r="C59" s="86">
        <f>'Excercise - Al '!E59</f>
        <v>40301.625</v>
      </c>
      <c r="D59" s="85" t="str">
        <f>IF('Excercise - Al '!F59&lt;&gt;0,'Excercise - Al '!F59,"")</f>
        <v/>
      </c>
      <c r="E59" s="85" t="str">
        <f>IF('Excercise - Al '!G59&lt;&gt;"","MODE: "&amp;'Excercise - Al '!G59,"")&amp;IF('Excercise - Al '!H59&lt;&gt;"","   FROM: "&amp;'Excercise - Al '!H59,"")&amp;IF('Excercise - Al '!I59&lt;&gt;"","   INJECTED BY: "&amp;'Excercise - Al '!I59,"")&amp;IF('Excercise - Al '!J59&lt;&gt;"","   SEND TO: "&amp;'Excercise - Al '!J59,"")</f>
        <v/>
      </c>
      <c r="F59" s="85" t="str">
        <f>IF('Excercise - Al '!K59&lt;&gt;"","STORYLINE: "&amp;'Excercise - Al '!K59,"")&amp;IF('Excercise - Al '!M59&lt;&gt;"","   DESCRIPTION: "&amp;'Excercise - Al '!M59,"")&amp;IF('Excercise - Al '!O59&lt;&gt;"","   NOTES/REMARKS: "&amp;'Excercise - Al '!O59,"")&amp;IF('Excercise - Al '!Q59&lt;&gt;"","   BACKGROUND INFO: "&amp;'Excercise - Al '!Q59,"")</f>
        <v>STORYLINE: Due to the impending threat of Hurricane Al the Governor's of Texas, LA, MS has ordered a state of emergency for all of the respective Coastal areas.  Officials ordered a mandatory evacuation of visitors and special needs clients beginning at 9 a.m. Tuesday, 4 May. _x000D__x000D_A phased evacuation of all residents begins Tuesday, May 4, 2010 at 8 a.m. _x000D_</v>
      </c>
      <c r="G59" s="85" t="str">
        <f>IF('Excercise - Al '!P59&lt;&gt;"","IMPLEMENTER: "&amp;'Excercise - Al '!P59,"")</f>
        <v>IMPLEMENTER: Due to the impending threat of Hurricane Al the Governor's of Texas, LA, MS has ordered a state of emergency for all of the respective Coastal areas.  Officials ordered a mandatory evacuation of visitors and special needs clients beginning at 9 a.m. Tuesday, 4 May. _x000D__x000D_A phased evacuation of all residents begins Tuesday, May 4, 2010 at 8 a.m. _x000D_</v>
      </c>
      <c r="H59" s="85" t="str">
        <f>IF('Excercise - Al '!N59&lt;&gt;"","EXPECTED ACTIONS: "&amp;'Excercise - Al '!N59,"")</f>
        <v/>
      </c>
      <c r="I59" s="85">
        <f>'Excercise - Al '!R59</f>
        <v>0</v>
      </c>
    </row>
    <row r="60" spans="1:9" s="27" customFormat="1" ht="20">
      <c r="A60" s="85">
        <f>'Excercise - Al '!A60</f>
        <v>59</v>
      </c>
      <c r="B60" s="85"/>
      <c r="C60" s="86">
        <f>'Excercise - Al '!E60</f>
        <v>40301.645833333336</v>
      </c>
      <c r="D60" s="85" t="str">
        <f>IF('Excercise - Al '!F60&lt;&gt;0,'Excercise - Al '!F60,"")</f>
        <v>MISSION - BPT</v>
      </c>
      <c r="E60" s="85" t="str">
        <f>IF('Excercise - Al '!G60&lt;&gt;"","MODE: "&amp;'Excercise - Al '!G60,"")&amp;IF('Excercise - Al '!H60&lt;&gt;"","   FROM: "&amp;'Excercise - Al '!H60,"")&amp;IF('Excercise - Al '!I60&lt;&gt;"","   INJECTED BY: "&amp;'Excercise - Al '!I60,"")&amp;IF('Excercise - Al '!J60&lt;&gt;"","   SEND TO: "&amp;'Excercise - Al '!J60,"")</f>
        <v xml:space="preserve">   INJECTED BY: SEOC LNO</v>
      </c>
      <c r="F60" s="85" t="str">
        <f>IF('Excercise - Al '!K60&lt;&gt;"","STORYLINE: "&amp;'Excercise - Al '!K60,"")&amp;IF('Excercise - Al '!M60&lt;&gt;"","   DESCRIPTION: "&amp;'Excercise - Al '!M60,"")&amp;IF('Excercise - Al '!O60&lt;&gt;"","   NOTES/REMARKS: "&amp;'Excercise - Al '!O60,"")&amp;IF('Excercise - Al '!Q60&lt;&gt;"","   BACKGROUND INFO: "&amp;'Excercise - Al '!Q60,"")</f>
        <v xml:space="preserve">   DESCRIPTION: BPT provide Comms to affected areas EOCs</v>
      </c>
      <c r="G60" s="85" t="str">
        <f>IF('Excercise - Al '!P60&lt;&gt;"","IMPLEMENTER: "&amp;'Excercise - Al '!P60,"")</f>
        <v>IMPLEMENTER: BPT provide Comms to affected areas EOCs</v>
      </c>
      <c r="H60" s="85" t="str">
        <f>IF('Excercise - Al '!N60&lt;&gt;"","EXPECTED ACTIONS: "&amp;'Excercise - Al '!N60,"")</f>
        <v/>
      </c>
      <c r="I60" s="85" t="str">
        <f>'Excercise - Al '!R60</f>
        <v>Keane</v>
      </c>
    </row>
    <row r="61" spans="1:9" s="27" customFormat="1" ht="30">
      <c r="A61" s="85">
        <f>'Excercise - Al '!A61</f>
        <v>60</v>
      </c>
      <c r="B61" s="85"/>
      <c r="C61" s="86">
        <f>'Excercise - Al '!E61</f>
        <v>40301.65625</v>
      </c>
      <c r="D61" s="85" t="str">
        <f>IF('Excercise - Al '!F61&lt;&gt;0,'Excercise - Al '!F61,"")</f>
        <v>MISSION - BPT</v>
      </c>
      <c r="E61" s="85" t="str">
        <f>IF('Excercise - Al '!G61&lt;&gt;"","MODE: "&amp;'Excercise - Al '!G61,"")&amp;IF('Excercise - Al '!H61&lt;&gt;"","   FROM: "&amp;'Excercise - Al '!H61,"")&amp;IF('Excercise - Al '!I61&lt;&gt;"","   INJECTED BY: "&amp;'Excercise - Al '!I61,"")&amp;IF('Excercise - Al '!J61&lt;&gt;"","   SEND TO: "&amp;'Excercise - Al '!J61,"")</f>
        <v xml:space="preserve">   INJECTED BY: SEOC LNO</v>
      </c>
      <c r="F61" s="85" t="str">
        <f>IF('Excercise - Al '!K61&lt;&gt;"","STORYLINE: "&amp;'Excercise - Al '!K61,"")&amp;IF('Excercise - Al '!M61&lt;&gt;"","   DESCRIPTION: "&amp;'Excercise - Al '!M61,"")&amp;IF('Excercise - Al '!O61&lt;&gt;"","   NOTES/REMARKS: "&amp;'Excercise - Al '!O61,"")&amp;IF('Excercise - Al '!Q61&lt;&gt;"","   BACKGROUND INFO: "&amp;'Excercise - Al '!Q61,"")</f>
        <v xml:space="preserve">   DESCRIPTION: BPT to provide 3000 Soldiers for security operations in South and Central Alabama</v>
      </c>
      <c r="G61" s="85" t="str">
        <f>IF('Excercise - Al '!P61&lt;&gt;"","IMPLEMENTER: "&amp;'Excercise - Al '!P61,"")</f>
        <v>IMPLEMENTER: BPT to provide 3000 Soldiers for security operations in South and Central Alabama; locations TBD.  Request units be self sustaining.</v>
      </c>
      <c r="H61" s="85" t="str">
        <f>IF('Excercise - Al '!N61&lt;&gt;"","EXPECTED ACTIONS: "&amp;'Excercise - Al '!N61,"")</f>
        <v/>
      </c>
      <c r="I61" s="85" t="str">
        <f>'Excercise - Al '!R61</f>
        <v>Keane</v>
      </c>
    </row>
    <row r="62" spans="1:9" s="27" customFormat="1" ht="140">
      <c r="A62" s="85">
        <f>'Excercise - Al '!A62</f>
        <v>61</v>
      </c>
      <c r="B62" s="85"/>
      <c r="C62" s="86">
        <f>'Excercise - Al '!E62</f>
        <v>40301.666666666664</v>
      </c>
      <c r="D62" s="85" t="str">
        <f>IF('Excercise - Al '!F62&lt;&gt;0,'Excercise - Al '!F62,"")</f>
        <v>INFO</v>
      </c>
      <c r="E62" s="85" t="str">
        <f>IF('Excercise - Al '!G62&lt;&gt;"","MODE: "&amp;'Excercise - Al '!G62,"")&amp;IF('Excercise - Al '!H62&lt;&gt;"","   FROM: "&amp;'Excercise - Al '!H62,"")&amp;IF('Excercise - Al '!I62&lt;&gt;"","   INJECTED BY: "&amp;'Excercise - Al '!I62,"")&amp;IF('Excercise - Al '!J62&lt;&gt;"","   SEND TO: "&amp;'Excercise - Al '!J62,"")</f>
        <v>MODE: Email   FROM: Simcell - National Hurricane Center   INJECTED BY: KEANE   SEND TO: JOC, All</v>
      </c>
      <c r="F62" s="85" t="str">
        <f>IF('Excercise - Al '!K62&lt;&gt;"","STORYLINE: "&amp;'Excercise - Al '!K62,"")&amp;IF('Excercise - Al '!M62&lt;&gt;"","   DESCRIPTION: "&amp;'Excercise - Al '!M62,"")&amp;IF('Excercise - Al '!O62&lt;&gt;"","   NOTES/REMARKS: "&amp;'Excercise - Al '!O62,"")&amp;IF('Excercise - Al '!Q62&lt;&gt;"","   BACKGROUND INFO: "&amp;'Excercise - Al '!Q62,"")</f>
        <v>STORYLINE: Tropical Storm Al Update 11   DESCRIPTION: Tropical Storm Al Update 11</v>
      </c>
      <c r="G62" s="85" t="str">
        <f>IF('Excercise - Al '!P62&lt;&gt;"","IMPLEMENTER: "&amp;'Excercise - Al '!P62,"")</f>
        <v>IMPLEMENTER: _x000D_... HURRICANE AL MOVING NORTHWESTWARD...APPROACHING THE YUCATAN PENINSULA_x000D_TOMORROW..._x000D__x000D__x000D_SUMMARY OF 1700 AM EDT...2100 UTC...INFORMATION_x000D_-----------------------------------------------_x000D_LOCATION...19.0N 84.1W_x000D_ABOUT 179 MILES...288 KM...SOUTHWEST OF GEORGE TOWN CAYMAN ISLANDS _x000D_ABOUT 229 MILES...367 KM...SOUTHEAST OF COZUMEL MEXICO_x000D_ABOUT 287 MILES...463 KM...EAST-NORTHEAST OF BELIZE CITY BELIZE_x000D_MAXIMUM SUSTAINED WINDS...120 MPH...193 KM/HR_x000D_PRESENT MOVEMENT...WNW OR 307 DEGREES AT 15 MPH...24 KM/HR_x000D_MINIMUM CENTRAL PRESSURE...953 MB...28.14 INCHES_x000D__x000D_</v>
      </c>
      <c r="H62" s="85" t="str">
        <f>IF('Excercise - Al '!N62&lt;&gt;"","EXPECTED ACTIONS: "&amp;'Excercise - Al '!N62,"")</f>
        <v/>
      </c>
      <c r="I62" s="85" t="str">
        <f>'Excercise - Al '!R62</f>
        <v>Keane</v>
      </c>
    </row>
    <row r="63" spans="1:9" s="27" customFormat="1" ht="30">
      <c r="A63" s="85">
        <f>'Excercise - Al '!A63</f>
        <v>62</v>
      </c>
      <c r="B63" s="85"/>
      <c r="C63" s="86">
        <f>'Excercise - Al '!E63</f>
        <v>40301.6875</v>
      </c>
      <c r="D63" s="85" t="str">
        <f>IF('Excercise - Al '!F63&lt;&gt;0,'Excercise - Al '!F63,"")</f>
        <v/>
      </c>
      <c r="E63" s="85" t="str">
        <f>IF('Excercise - Al '!G63&lt;&gt;"","MODE: "&amp;'Excercise - Al '!G63,"")&amp;IF('Excercise - Al '!H63&lt;&gt;"","   FROM: "&amp;'Excercise - Al '!H63,"")&amp;IF('Excercise - Al '!I63&lt;&gt;"","   INJECTED BY: "&amp;'Excercise - Al '!I63,"")&amp;IF('Excercise - Al '!J63&lt;&gt;"","   SEND TO: "&amp;'Excercise - Al '!J63,"")</f>
        <v xml:space="preserve">   INJECTED BY: DENNIS</v>
      </c>
      <c r="F63" s="85" t="str">
        <f>IF('Excercise - Al '!K63&lt;&gt;"","STORYLINE: "&amp;'Excercise - Al '!K63,"")&amp;IF('Excercise - Al '!M63&lt;&gt;"","   DESCRIPTION: "&amp;'Excercise - Al '!M63,"")&amp;IF('Excercise - Al '!O63&lt;&gt;"","   NOTES/REMARKS: "&amp;'Excercise - Al '!O63,"")&amp;IF('Excercise - Al '!Q63&lt;&gt;"","   BACKGROUND INFO: "&amp;'Excercise - Al '!Q63,"")</f>
        <v xml:space="preserve">   DESCRIPTION: USPFO - ADP requests a 30 KW generator to be positioned at the USPFO building to maintain computer connectivity for AL Nat Guard.</v>
      </c>
      <c r="G63" s="85" t="str">
        <f>IF('Excercise - Al '!P63&lt;&gt;"","IMPLEMENTER: "&amp;'Excercise - Al '!P63,"")</f>
        <v>IMPLEMENTER: USPFO - ADP requests a 30 KW generator to be positioned at the USPFO building to maintain computer connectivity for AL Nat Guard.</v>
      </c>
      <c r="H63" s="85" t="str">
        <f>IF('Excercise - Al '!N63&lt;&gt;"","EXPECTED ACTIONS: "&amp;'Excercise - Al '!N63,"")</f>
        <v/>
      </c>
      <c r="I63" s="85" t="str">
        <f>'Excercise - Al '!R63</f>
        <v>Keane</v>
      </c>
    </row>
    <row r="64" spans="1:9" s="27" customFormat="1" ht="100">
      <c r="A64" s="85">
        <f>'Excercise - Al '!A64</f>
        <v>63</v>
      </c>
      <c r="B64" s="85"/>
      <c r="C64" s="86">
        <f>'Excercise - Al '!E64</f>
        <v>40301.697916666664</v>
      </c>
      <c r="D64" s="85" t="str">
        <f>IF('Excercise - Al '!F64&lt;&gt;0,'Excercise - Al '!F64,"")</f>
        <v>INFO - Holman Prison</v>
      </c>
      <c r="E64" s="85" t="str">
        <f>IF('Excercise - Al '!G64&lt;&gt;"","MODE: "&amp;'Excercise - Al '!G64,"")&amp;IF('Excercise - Al '!H64&lt;&gt;"","   FROM: "&amp;'Excercise - Al '!H64,"")&amp;IF('Excercise - Al '!I64&lt;&gt;"","   INJECTED BY: "&amp;'Excercise - Al '!I64,"")&amp;IF('Excercise - Al '!J64&lt;&gt;"","   SEND TO: "&amp;'Excercise - Al '!J64,"")</f>
        <v>MODE: E-Mail   FROM: SEOC Department of Public Safety LNO   INJECTED BY: SEOC LNO   SEND TO: JOC Message Center</v>
      </c>
      <c r="F64" s="85" t="str">
        <f>IF('Excercise - Al '!K64&lt;&gt;"","STORYLINE: "&amp;'Excercise - Al '!K64,"")&amp;IF('Excercise - Al '!M64&lt;&gt;"","   DESCRIPTION: "&amp;'Excercise - Al '!M64,"")&amp;IF('Excercise - Al '!O64&lt;&gt;"","   NOTES/REMARKS: "&amp;'Excercise - Al '!O64,"")&amp;IF('Excercise - Al '!Q64&lt;&gt;"","   BACKGROUND INFO: "&amp;'Excercise - Al '!Q64,"")</f>
        <v>STORYLINE: Holman Prison Blues   DESCRIPTION: Gulf Shores police report confrontation with motorcycle gang</v>
      </c>
      <c r="G64" s="85" t="str">
        <f>IF('Excercise - Al '!P64&lt;&gt;"","IMPLEMENTER: "&amp;'Excercise - Al '!P64,"")</f>
        <v xml:space="preserve">IMPLEMENTER: Gulf Shores Police Department reports confrontation with twelve members of out-of-state outlaw motorcycle club(Road Vermin M/C) who were drunk and disorderly at a local bar.  Gulf Shores Police indicate that incident was handled with no need for arrests.  They also indicate that an unusually large number of outlaw M/C members are present in the Gulf Coast area, particularly prior to a hurricane.  They indicate that the Road Vermin M/C has known alliances with white supremacist organizations. </v>
      </c>
      <c r="H64" s="85" t="str">
        <f>IF('Excercise - Al '!N64&lt;&gt;"","EXPECTED ACTIONS: "&amp;'Excercise - Al '!N64,"")</f>
        <v/>
      </c>
      <c r="I64" s="85" t="str">
        <f>'Excercise - Al '!R64</f>
        <v>Jenne</v>
      </c>
    </row>
    <row r="65" spans="1:9" s="27" customFormat="1" ht="20">
      <c r="A65" s="85">
        <f>'Excercise - Al '!A65</f>
        <v>64</v>
      </c>
      <c r="B65" s="85"/>
      <c r="C65" s="86">
        <f>'Excercise - Al '!E65</f>
        <v>40301.708333333336</v>
      </c>
      <c r="D65" s="85" t="str">
        <f>IF('Excercise - Al '!F65&lt;&gt;0,'Excercise - Al '!F65,"")</f>
        <v>MISSION - BPT</v>
      </c>
      <c r="E65" s="85" t="str">
        <f>IF('Excercise - Al '!G65&lt;&gt;"","MODE: "&amp;'Excercise - Al '!G65,"")&amp;IF('Excercise - Al '!H65&lt;&gt;"","   FROM: "&amp;'Excercise - Al '!H65,"")&amp;IF('Excercise - Al '!I65&lt;&gt;"","   INJECTED BY: "&amp;'Excercise - Al '!I65,"")&amp;IF('Excercise - Al '!J65&lt;&gt;"","   SEND TO: "&amp;'Excercise - Al '!J65,"")</f>
        <v xml:space="preserve">   INJECTED BY: SEOC LNO</v>
      </c>
      <c r="F65" s="85" t="str">
        <f>IF('Excercise - Al '!K65&lt;&gt;"","STORYLINE: "&amp;'Excercise - Al '!K65,"")&amp;IF('Excercise - Al '!M65&lt;&gt;"","   DESCRIPTION: "&amp;'Excercise - Al '!M65,"")&amp;IF('Excercise - Al '!O65&lt;&gt;"","   NOTES/REMARKS: "&amp;'Excercise - Al '!O65,"")&amp;IF('Excercise - Al '!Q65&lt;&gt;"","   BACKGROUND INFO: "&amp;'Excercise - Al '!Q65,"")</f>
        <v xml:space="preserve">   DESCRIPTION: BPT provide Engineer assets for re-entry and debris operations  in affected counties.</v>
      </c>
      <c r="G65" s="85" t="str">
        <f>IF('Excercise - Al '!P65&lt;&gt;"","IMPLEMENTER: "&amp;'Excercise - Al '!P65,"")</f>
        <v>IMPLEMENTER: BPT provide Engineer assets for re-entry and debris operations  in affected counties.</v>
      </c>
      <c r="H65" s="85" t="str">
        <f>IF('Excercise - Al '!N65&lt;&gt;"","EXPECTED ACTIONS: "&amp;'Excercise - Al '!N65,"")</f>
        <v/>
      </c>
      <c r="I65" s="85" t="str">
        <f>'Excercise - Al '!R65</f>
        <v>Keane</v>
      </c>
    </row>
    <row r="66" spans="1:9" s="27" customFormat="1" ht="70">
      <c r="A66" s="85">
        <f>'Excercise - Al '!A66</f>
        <v>65</v>
      </c>
      <c r="B66" s="85"/>
      <c r="C66" s="86">
        <f>'Excercise - Al '!E66</f>
        <v>40301.708333333336</v>
      </c>
      <c r="D66" s="85" t="str">
        <f>IF('Excercise - Al '!F66&lt;&gt;0,'Excercise - Al '!F66,"")</f>
        <v>RFI</v>
      </c>
      <c r="E66" s="85" t="str">
        <f>IF('Excercise - Al '!G66&lt;&gt;"","MODE: "&amp;'Excercise - Al '!G66,"")&amp;IF('Excercise - Al '!H66&lt;&gt;"","   FROM: "&amp;'Excercise - Al '!H66,"")&amp;IF('Excercise - Al '!I66&lt;&gt;"","   INJECTED BY: "&amp;'Excercise - Al '!I66,"")&amp;IF('Excercise - Al '!J66&lt;&gt;"","   SEND TO: "&amp;'Excercise - Al '!J66,"")</f>
        <v>MODE: Phone   INJECTED BY: P. MCDONALD</v>
      </c>
      <c r="F66" s="85" t="str">
        <f>IF('Excercise - Al '!K66&lt;&gt;"","STORYLINE: "&amp;'Excercise - Al '!K66,"")&amp;IF('Excercise - Al '!M66&lt;&gt;"","   DESCRIPTION: "&amp;'Excercise - Al '!M66,"")&amp;IF('Excercise - Al '!O66&lt;&gt;"","   NOTES/REMARKS: "&amp;'Excercise - Al '!O66,"")&amp;IF('Excercise - Al '!Q66&lt;&gt;"","   BACKGROUND INFO: "&amp;'Excercise - Al '!Q66,"")</f>
        <v>STORYLINE: The Department of Defense has ordered an evacuation of personnel, aircraft and ships from the Gulf of Mexico.  Some DoD aircraft will be made available to state and federal agencies until 24 hours from estimated landfall.   NOTES/REMARKS: At 1711 hours, CAPT Manson, DCSOPS NAVOPS, advised  MAJ Davis, AL-JOC that DoD assets were available through DCO.</v>
      </c>
      <c r="G66" s="85" t="str">
        <f>IF('Excercise - Al '!P66&lt;&gt;"","IMPLEMENTER: "&amp;'Excercise - Al '!P66,"")</f>
        <v>IMPLEMENTER: The Department of Defense has ordered an evacuation of personnel, aircraft and ships from the Gulf of Mexico.  Some DoD aircraft will be made available to state and federal agencies until 24 hours from estimated landfall.</v>
      </c>
      <c r="H66" s="85" t="str">
        <f>IF('Excercise - Al '!N66&lt;&gt;"","EXPECTED ACTIONS: "&amp;'Excercise - Al '!N66,"")</f>
        <v/>
      </c>
      <c r="I66" s="85" t="str">
        <f>'Excercise - Al '!R66</f>
        <v>McDonald</v>
      </c>
    </row>
    <row r="67" spans="1:9" s="27" customFormat="1" ht="40">
      <c r="A67" s="85">
        <f>'Excercise - Al '!A67</f>
        <v>66</v>
      </c>
      <c r="B67" s="85"/>
      <c r="C67" s="86">
        <f>'Excercise - Al '!E67</f>
        <v>40301.727777777778</v>
      </c>
      <c r="D67" s="85" t="str">
        <f>IF('Excercise - Al '!F67&lt;&gt;0,'Excercise - Al '!F67,"")</f>
        <v>RFI</v>
      </c>
      <c r="E67" s="85" t="str">
        <f>IF('Excercise - Al '!G67&lt;&gt;"","MODE: "&amp;'Excercise - Al '!G67,"")&amp;IF('Excercise - Al '!H67&lt;&gt;"","   FROM: "&amp;'Excercise - Al '!H67,"")&amp;IF('Excercise - Al '!I67&lt;&gt;"","   INJECTED BY: "&amp;'Excercise - Al '!I67,"")&amp;IF('Excercise - Al '!J67&lt;&gt;"","   SEND TO: "&amp;'Excercise - Al '!J67,"")</f>
        <v xml:space="preserve">   INJECTED BY: SEOC LNO</v>
      </c>
      <c r="F67" s="85" t="str">
        <f>IF('Excercise - Al '!K67&lt;&gt;"","STORYLINE: "&amp;'Excercise - Al '!K67,"")&amp;IF('Excercise - Al '!M67&lt;&gt;"","   DESCRIPTION: "&amp;'Excercise - Al '!M67,"")&amp;IF('Excercise - Al '!O67&lt;&gt;"","   NOTES/REMARKS: "&amp;'Excercise - Al '!O67,"")&amp;IF('Excercise - Al '!Q67&lt;&gt;"","   BACKGROUND INFO: "&amp;'Excercise - Al '!Q67,"")</f>
        <v>STORYLINE: CONTRA FLOW   DESCRIPTION: DOT through AEMA requests information on availability of 100 soldiers and 50 vehicles for assistance in implementing the I-65 Lane Reversal Contingency Plan.</v>
      </c>
      <c r="G67" s="85" t="str">
        <f>IF('Excercise - Al '!P67&lt;&gt;"","IMPLEMENTER: "&amp;'Excercise - Al '!P67,"")</f>
        <v>IMPLEMENTER: DOT through AEMA requests information on availability of 100 soldiers and 50 vehicles for assistance in implementing the I-65 Lane Reversal Contingency Plan.</v>
      </c>
      <c r="H67" s="85" t="str">
        <f>IF('Excercise - Al '!N67&lt;&gt;"","EXPECTED ACTIONS: "&amp;'Excercise - Al '!N67,"")</f>
        <v/>
      </c>
      <c r="I67" s="85" t="str">
        <f>'Excercise - Al '!R67</f>
        <v>Keane</v>
      </c>
    </row>
    <row r="68" spans="1:9" s="27" customFormat="1" ht="120">
      <c r="A68" s="85">
        <f>'Excercise - Al '!A68</f>
        <v>67</v>
      </c>
      <c r="B68" s="85"/>
      <c r="C68" s="86">
        <f>'Excercise - Al '!E68</f>
        <v>40301.770833333336</v>
      </c>
      <c r="D68" s="85" t="str">
        <f>IF('Excercise - Al '!F68&lt;&gt;0,'Excercise - Al '!F68,"")</f>
        <v>INFO - Holman Prison</v>
      </c>
      <c r="E68" s="85" t="str">
        <f>IF('Excercise - Al '!G68&lt;&gt;"","MODE: "&amp;'Excercise - Al '!G68,"")&amp;IF('Excercise - Al '!H68&lt;&gt;"","   FROM: "&amp;'Excercise - Al '!H68,"")&amp;IF('Excercise - Al '!I68&lt;&gt;"","   INJECTED BY: "&amp;'Excercise - Al '!I68,"")&amp;IF('Excercise - Al '!J68&lt;&gt;"","   SEND TO: "&amp;'Excercise - Al '!J68,"")</f>
        <v>MODE: Phone Call   FROM: SEOC LNO   INJECTED BY: SEOC LNO   SEND TO: J-3</v>
      </c>
      <c r="F68" s="85" t="str">
        <f>IF('Excercise - Al '!K68&lt;&gt;"","STORYLINE: "&amp;'Excercise - Al '!K68,"")&amp;IF('Excercise - Al '!M68&lt;&gt;"","   DESCRIPTION: "&amp;'Excercise - Al '!M68,"")&amp;IF('Excercise - Al '!O68&lt;&gt;"","   NOTES/REMARKS: "&amp;'Excercise - Al '!O68,"")&amp;IF('Excercise - Al '!Q68&lt;&gt;"","   BACKGROUND INFO: "&amp;'Excercise - Al '!Q68,"")</f>
        <v>STORYLINE: Holman Prison Blues   DESCRIPTION: SEOC LNO calls in "heads up" notification that DOC may request Guard assistance at Holman Prison</v>
      </c>
      <c r="G68" s="85" t="str">
        <f>IF('Excercise - Al '!P68&lt;&gt;"","IMPLEMENTER: "&amp;'Excercise - Al '!P68,"")</f>
        <v>IMPLEMENTER: SEOC LNO describes developing situation at Holman Prison in which inmates apparently intend to riot and take over the prison during the hurricane, followed by a mass escape assisted by external forces.  LNO states that DOC and State Troopers are confident that they can manage the situation inside the prison, to include the perimeter, but are concerned about the potential of external forces attempting to force their way in to breach fences and other security measures.  Are considering asking for "two to three platoons" of MPs or infantry to establish extra security perimeter.</v>
      </c>
      <c r="H68" s="85" t="str">
        <f>IF('Excercise - Al '!N68&lt;&gt;"","EXPECTED ACTIONS: "&amp;'Excercise - Al '!N68,"")</f>
        <v/>
      </c>
      <c r="I68" s="85" t="str">
        <f>'Excercise - Al '!R68</f>
        <v>Jenne</v>
      </c>
    </row>
    <row r="69" spans="1:9" s="27" customFormat="1" ht="50">
      <c r="A69" s="85">
        <f>'Excercise - Al '!A69</f>
        <v>68</v>
      </c>
      <c r="B69" s="85"/>
      <c r="C69" s="86">
        <f>'Excercise - Al '!E69</f>
        <v>40301.875</v>
      </c>
      <c r="D69" s="85" t="str">
        <f>IF('Excercise - Al '!F69&lt;&gt;0,'Excercise - Al '!F69,"")</f>
        <v>INFO</v>
      </c>
      <c r="E69" s="85" t="str">
        <f>IF('Excercise - Al '!G69&lt;&gt;"","MODE: "&amp;'Excercise - Al '!G69,"")&amp;IF('Excercise - Al '!H69&lt;&gt;"","   FROM: "&amp;'Excercise - Al '!H69,"")&amp;IF('Excercise - Al '!I69&lt;&gt;"","   INJECTED BY: "&amp;'Excercise - Al '!I69,"")&amp;IF('Excercise - Al '!J69&lt;&gt;"","   SEND TO: "&amp;'Excercise - Al '!J69,"")</f>
        <v>MODE: email   FROM: simcell-SEOC   INJECTED BY: SEOC LNO   SEND TO: J35</v>
      </c>
      <c r="F69" s="85" t="str">
        <f>IF('Excercise - Al '!K69&lt;&gt;"","STORYLINE: "&amp;'Excercise - Al '!K69,"")&amp;IF('Excercise - Al '!M69&lt;&gt;"","   DESCRIPTION: "&amp;'Excercise - Al '!M69,"")&amp;IF('Excercise - Al '!O69&lt;&gt;"","   NOTES/REMARKS: "&amp;'Excercise - Al '!O69,"")&amp;IF('Excercise - Al '!Q69&lt;&gt;"","   BACKGROUND INFO: "&amp;'Excercise - Al '!Q69,"")</f>
        <v>STORYLINE: CONTRA FLOW   DESCRIPTION: Governor orders Contra-flow of I-65</v>
      </c>
      <c r="G69" s="85" t="str">
        <f>IF('Excercise - Al '!P69&lt;&gt;"","IMPLEMENTER: "&amp;'Excercise - Al '!P69,"")</f>
        <v>IMPLEMENTER: Governor oders I 65  contra flow operations conducted beginning 0800 4 May 2010</v>
      </c>
      <c r="H69" s="85" t="str">
        <f>IF('Excercise - Al '!N69&lt;&gt;"","EXPECTED ACTIONS: "&amp;'Excercise - Al '!N69,"")</f>
        <v>EXPECTED ACTIONS: FRAGO to 62nd Troop Command</v>
      </c>
      <c r="I69" s="85" t="str">
        <f>'Excercise - Al '!R69</f>
        <v>Messer</v>
      </c>
    </row>
    <row r="70" spans="1:9" s="27" customFormat="1" ht="30">
      <c r="A70" s="85">
        <f>'Excercise - Al '!A70</f>
        <v>69</v>
      </c>
      <c r="B70" s="85"/>
      <c r="C70" s="86">
        <f>'Excercise - Al '!E70</f>
        <v>40301.913194444445</v>
      </c>
      <c r="D70" s="85" t="str">
        <f>IF('Excercise - Al '!F70&lt;&gt;0,'Excercise - Al '!F70,"")</f>
        <v>INFO - Evacuation</v>
      </c>
      <c r="E70" s="85" t="str">
        <f>IF('Excercise - Al '!G70&lt;&gt;"","MODE: "&amp;'Excercise - Al '!G70,"")&amp;IF('Excercise - Al '!H70&lt;&gt;"","   FROM: "&amp;'Excercise - Al '!H70,"")&amp;IF('Excercise - Al '!I70&lt;&gt;"","   INJECTED BY: "&amp;'Excercise - Al '!I70,"")&amp;IF('Excercise - Al '!J70&lt;&gt;"","   SEND TO: "&amp;'Excercise - Al '!J70,"")</f>
        <v>MODE: Email   INJECTED BY: SEOC LNO</v>
      </c>
      <c r="F70" s="85" t="str">
        <f>IF('Excercise - Al '!K70&lt;&gt;"","STORYLINE: "&amp;'Excercise - Al '!K70,"")&amp;IF('Excercise - Al '!M70&lt;&gt;"","   DESCRIPTION: "&amp;'Excercise - Al '!M70,"")&amp;IF('Excercise - Al '!O70&lt;&gt;"","   NOTES/REMARKS: "&amp;'Excercise - Al '!O70,"")&amp;IF('Excercise - Al '!Q70&lt;&gt;"","   BACKGROUND INFO: "&amp;'Excercise - Al '!Q70,"")</f>
        <v>STORYLINE: EVACUATION   DESCRIPTION: Governor Orders Evacuation of Dauphin Island and Gulf Shores</v>
      </c>
      <c r="G70" s="85" t="str">
        <f>IF('Excercise - Al '!P70&lt;&gt;"","IMPLEMENTER: "&amp;'Excercise - Al '!P70,"")</f>
        <v>IMPLEMENTER: Governor Orders Evacuation of Dauphin Island and Gulf Shores</v>
      </c>
      <c r="H70" s="85" t="str">
        <f>IF('Excercise - Al '!N70&lt;&gt;"","EXPECTED ACTIONS: "&amp;'Excercise - Al '!N70,"")</f>
        <v/>
      </c>
      <c r="I70" s="85" t="str">
        <f>'Excercise - Al '!R70</f>
        <v>Keane</v>
      </c>
    </row>
    <row r="71" spans="1:9" s="27" customFormat="1" ht="140">
      <c r="A71" s="85">
        <f>'Excercise - Al '!A71</f>
        <v>70</v>
      </c>
      <c r="B71" s="85"/>
      <c r="C71" s="86">
        <f>'Excercise - Al '!E71</f>
        <v>40301.916666666664</v>
      </c>
      <c r="D71" s="85" t="str">
        <f>IF('Excercise - Al '!F71&lt;&gt;0,'Excercise - Al '!F71,"")</f>
        <v>INFO</v>
      </c>
      <c r="E71" s="85" t="str">
        <f>IF('Excercise - Al '!G71&lt;&gt;"","MODE: "&amp;'Excercise - Al '!G71,"")&amp;IF('Excercise - Al '!H71&lt;&gt;"","   FROM: "&amp;'Excercise - Al '!H71,"")&amp;IF('Excercise - Al '!I71&lt;&gt;"","   INJECTED BY: "&amp;'Excercise - Al '!I71,"")&amp;IF('Excercise - Al '!J71&lt;&gt;"","   SEND TO: "&amp;'Excercise - Al '!J71,"")</f>
        <v>MODE: Email   FROM: Simcell - National Hurricane Center   INJECTED BY: KEANE   SEND TO: JOC, All</v>
      </c>
      <c r="F71" s="85" t="str">
        <f>IF('Excercise - Al '!K71&lt;&gt;"","STORYLINE: "&amp;'Excercise - Al '!K71,"")&amp;IF('Excercise - Al '!M71&lt;&gt;"","   DESCRIPTION: "&amp;'Excercise - Al '!M71,"")&amp;IF('Excercise - Al '!O71&lt;&gt;"","   NOTES/REMARKS: "&amp;'Excercise - Al '!O71,"")&amp;IF('Excercise - Al '!Q71&lt;&gt;"","   BACKGROUND INFO: "&amp;'Excercise - Al '!Q71,"")</f>
        <v>STORYLINE: Tropical Storm Al Update 12   DESCRIPTION: Tropical Storm Al Update 12</v>
      </c>
      <c r="G71" s="85" t="str">
        <f>IF('Excercise - Al '!P71&lt;&gt;"","IMPLEMENTER: "&amp;'Excercise - Al '!P71,"")</f>
        <v>IMPLEMENTER: _x000D_... HURRICANE AL THREATENS CANCUN..._x000D__x000D__x000D_SUMMARY OF 2300 AM EDT...0300 UTC...INFORMATION_x000D_-----------------------------------------------_x000D_LOCATION...19.9N 85.1W_x000D_ABOUT 141 MILES...228 KM...SOUTHWEST OF CANCUN MEXICO_x000D_ABOUT 245 MILES...395 KM...WEST-SOUTHWEST OF GEORGE TOWN CAYMAN ISLANDS _x000D_ABOUT 261 MILES...421 KM...NORTHEAST OF BELIZE CITY BELIZE_x000D_MAXIMUM SUSTAINED WINDS...120 MPH...193 KM/HR_x000D_PRESENT MOVEMENT...WNW OR 306 DEGREES AT 20 MPH...32 KM/HR_x000D_MINIMUM CENTRAL PRESSURE...952 MB...28.11 INCHES_x000D__x000D_</v>
      </c>
      <c r="H71" s="85" t="str">
        <f>IF('Excercise - Al '!N71&lt;&gt;"","EXPECTED ACTIONS: "&amp;'Excercise - Al '!N71,"")</f>
        <v/>
      </c>
      <c r="I71" s="85" t="str">
        <f>'Excercise - Al '!R71</f>
        <v>Keane</v>
      </c>
    </row>
    <row r="72" spans="1:9" s="27" customFormat="1" ht="130">
      <c r="A72" s="85">
        <f>'Excercise - Al '!A72</f>
        <v>71</v>
      </c>
      <c r="B72" s="85"/>
      <c r="C72" s="86">
        <f>'Excercise - Al '!E72</f>
        <v>40302.166666666664</v>
      </c>
      <c r="D72" s="85" t="str">
        <f>IF('Excercise - Al '!F72&lt;&gt;0,'Excercise - Al '!F72,"")</f>
        <v>INFO</v>
      </c>
      <c r="E72" s="85" t="str">
        <f>IF('Excercise - Al '!G72&lt;&gt;"","MODE: "&amp;'Excercise - Al '!G72,"")&amp;IF('Excercise - Al '!H72&lt;&gt;"","   FROM: "&amp;'Excercise - Al '!H72,"")&amp;IF('Excercise - Al '!I72&lt;&gt;"","   INJECTED BY: "&amp;'Excercise - Al '!I72,"")&amp;IF('Excercise - Al '!J72&lt;&gt;"","   SEND TO: "&amp;'Excercise - Al '!J72,"")</f>
        <v>MODE: Email   FROM: Simcell - National Hurricane Center   INJECTED BY: KEANE   SEND TO: JOC, All</v>
      </c>
      <c r="F72" s="85" t="str">
        <f>IF('Excercise - Al '!K72&lt;&gt;"","STORYLINE: "&amp;'Excercise - Al '!K72,"")&amp;IF('Excercise - Al '!M72&lt;&gt;"","   DESCRIPTION: "&amp;'Excercise - Al '!M72,"")&amp;IF('Excercise - Al '!O72&lt;&gt;"","   NOTES/REMARKS: "&amp;'Excercise - Al '!O72,"")&amp;IF('Excercise - Al '!Q72&lt;&gt;"","   BACKGROUND INFO: "&amp;'Excercise - Al '!Q72,"")</f>
        <v>STORYLINE: Tropical Storm Al Update 13   DESCRIPTION: Tropical Storm Al Update 13</v>
      </c>
      <c r="G72" s="85" t="str">
        <f>IF('Excercise - Al '!P72&lt;&gt;"","IMPLEMENTER: "&amp;'Excercise - Al '!P72,"")</f>
        <v>IMPLEMENTER: _x000D_... HURRICANE AL EYE JUST OFF THE TIP OF THE YUCATAN..._x000D__x000D__x000D_SUMMARY OF 0500 AM EDT...0900 UTC...INFORMATION_x000D_-----------------------------------------------_x000D_LOCATION...21.2N 86.2W_x000D_ABOUT 41 MILES...66 KM...EAST OF CANCUN MEXICO_x000D_ABOUT 67 MILES...109 KM...NORTHEAST COZUMEL MEXICO _x000D_ABOUT 94 MILES...152 KM...WEST-SOUTHWEST OF THE WESTERN TIP OF CUBA_x000D_MAXIMUM SUSTAINED WINDS...105 MPH...168 KM/HR_x000D_PRESENT MOVEMENT...WNW OR 316 DEGREES AT 12 MPH...19 KM/HR_x000D_MINIMUM CENTRAL PRESSURE...955 MB...28.20 INCHES_x000D__x000D_</v>
      </c>
      <c r="H72" s="85" t="str">
        <f>IF('Excercise - Al '!N72&lt;&gt;"","EXPECTED ACTIONS: "&amp;'Excercise - Al '!N72,"")</f>
        <v/>
      </c>
      <c r="I72" s="85" t="str">
        <f>'Excercise - Al '!R72</f>
        <v>Keane</v>
      </c>
    </row>
    <row r="73" spans="1:9" s="27" customFormat="1" ht="40">
      <c r="A73" s="85">
        <f>'Excercise - Al '!A73</f>
        <v>72</v>
      </c>
      <c r="B73" s="85"/>
      <c r="C73" s="86">
        <f>'Excercise - Al '!E73</f>
        <v>40302.166666666664</v>
      </c>
      <c r="D73" s="85" t="str">
        <f>IF('Excercise - Al '!F73&lt;&gt;0,'Excercise - Al '!F73,"")</f>
        <v>31st CHEM BDE - Staff security requirements for Evac Shelters</v>
      </c>
      <c r="E73" s="85" t="str">
        <f>IF('Excercise - Al '!G73&lt;&gt;"","MODE: "&amp;'Excercise - Al '!G73,"")&amp;IF('Excercise - Al '!H73&lt;&gt;"","   FROM: "&amp;'Excercise - Al '!H73,"")&amp;IF('Excercise - Al '!I73&lt;&gt;"","   INJECTED BY: "&amp;'Excercise - Al '!I73,"")&amp;IF('Excercise - Al '!J73&lt;&gt;"","   SEND TO: "&amp;'Excercise - Al '!J73,"")</f>
        <v>MODE: Not Injected</v>
      </c>
      <c r="F73" s="85" t="str">
        <f>IF('Excercise - Al '!K73&lt;&gt;"","STORYLINE: "&amp;'Excercise - Al '!K73,"")&amp;IF('Excercise - Al '!M73&lt;&gt;"","   DESCRIPTION: "&amp;'Excercise - Al '!M73,"")&amp;IF('Excercise - Al '!O73&lt;&gt;"","   NOTES/REMARKS: "&amp;'Excercise - Al '!O73,"")&amp;IF('Excercise - Al '!Q73&lt;&gt;"","   BACKGROUND INFO: "&amp;'Excercise - Al '!Q73,"")</f>
        <v/>
      </c>
      <c r="G73" s="85" t="str">
        <f>IF('Excercise - Al '!P73&lt;&gt;"","IMPLEMENTER: "&amp;'Excercise - Al '!P73,"")</f>
        <v/>
      </c>
      <c r="H73" s="85" t="str">
        <f>IF('Excercise - Al '!N73&lt;&gt;"","EXPECTED ACTIONS: "&amp;'Excercise - Al '!N73,"")</f>
        <v/>
      </c>
      <c r="I73" s="85" t="str">
        <f>'Excercise - Al '!R73</f>
        <v>Napier</v>
      </c>
    </row>
    <row r="74" spans="1:9" s="27" customFormat="1" ht="50">
      <c r="A74" s="85">
        <f>'Excercise - Al '!A74</f>
        <v>73</v>
      </c>
      <c r="B74" s="85"/>
      <c r="C74" s="86">
        <f>'Excercise - Al '!E74</f>
        <v>40302.208333333336</v>
      </c>
      <c r="D74" s="85" t="str">
        <f>IF('Excercise - Al '!F74&lt;&gt;0,'Excercise - Al '!F74,"")</f>
        <v>31st CHEM BDE - Coordinate w/ JTF-S and establish direct communications with 1165th and 690th</v>
      </c>
      <c r="E74" s="85" t="str">
        <f>IF('Excercise - Al '!G74&lt;&gt;"","MODE: "&amp;'Excercise - Al '!G74,"")&amp;IF('Excercise - Al '!H74&lt;&gt;"","   FROM: "&amp;'Excercise - Al '!H74,"")&amp;IF('Excercise - Al '!I74&lt;&gt;"","   INJECTED BY: "&amp;'Excercise - Al '!I74,"")&amp;IF('Excercise - Al '!J74&lt;&gt;"","   SEND TO: "&amp;'Excercise - Al '!J74,"")</f>
        <v>MODE: Not Injected</v>
      </c>
      <c r="F74" s="85" t="str">
        <f>IF('Excercise - Al '!K74&lt;&gt;"","STORYLINE: "&amp;'Excercise - Al '!K74,"")&amp;IF('Excercise - Al '!M74&lt;&gt;"","   DESCRIPTION: "&amp;'Excercise - Al '!M74,"")&amp;IF('Excercise - Al '!O74&lt;&gt;"","   NOTES/REMARKS: "&amp;'Excercise - Al '!O74,"")&amp;IF('Excercise - Al '!Q74&lt;&gt;"","   BACKGROUND INFO: "&amp;'Excercise - Al '!Q74,"")</f>
        <v/>
      </c>
      <c r="G74" s="85" t="str">
        <f>IF('Excercise - Al '!P74&lt;&gt;"","IMPLEMENTER: "&amp;'Excercise - Al '!P74,"")</f>
        <v/>
      </c>
      <c r="H74" s="85" t="str">
        <f>IF('Excercise - Al '!N74&lt;&gt;"","EXPECTED ACTIONS: "&amp;'Excercise - Al '!N74,"")</f>
        <v/>
      </c>
      <c r="I74" s="85" t="str">
        <f>'Excercise - Al '!R74</f>
        <v>Napier</v>
      </c>
    </row>
    <row r="75" spans="1:9" s="27" customFormat="1" ht="50">
      <c r="A75" s="85">
        <f>'Excercise - Al '!A75</f>
        <v>74</v>
      </c>
      <c r="B75" s="85"/>
      <c r="C75" s="86">
        <f>'Excercise - Al '!E75</f>
        <v>40302.291666666664</v>
      </c>
      <c r="D75" s="85" t="str">
        <f>IF('Excercise - Al '!F75&lt;&gt;0,'Excercise - Al '!F75,"")</f>
        <v/>
      </c>
      <c r="E75" s="85" t="str">
        <f>IF('Excercise - Al '!G75&lt;&gt;"","MODE: "&amp;'Excercise - Al '!G75,"")&amp;IF('Excercise - Al '!H75&lt;&gt;"","   FROM: "&amp;'Excercise - Al '!H75,"")&amp;IF('Excercise - Al '!I75&lt;&gt;"","   INJECTED BY: "&amp;'Excercise - Al '!I75,"")&amp;IF('Excercise - Al '!J75&lt;&gt;"","   SEND TO: "&amp;'Excercise - Al '!J75,"")</f>
        <v>MODE: EMITS   FROM: White Cell - AEMA   INJECTED BY: SEOC LNO   SEND TO: JOC</v>
      </c>
      <c r="F75" s="85" t="str">
        <f>IF('Excercise - Al '!K75&lt;&gt;"","STORYLINE: "&amp;'Excercise - Al '!K75,"")&amp;IF('Excercise - Al '!M75&lt;&gt;"","   DESCRIPTION: "&amp;'Excercise - Al '!M75,"")&amp;IF('Excercise - Al '!O75&lt;&gt;"","   NOTES/REMARKS: "&amp;'Excercise - Al '!O75,"")&amp;IF('Excercise - Al '!Q75&lt;&gt;"","   BACKGROUND INFO: "&amp;'Excercise - Al '!Q75,"")</f>
        <v/>
      </c>
      <c r="G75" s="85" t="str">
        <f>IF('Excercise - Al '!P75&lt;&gt;"","IMPLEMENTER: "&amp;'Excercise - Al '!P75,"")</f>
        <v>IMPLEMENTER: DOT through AEMA requests resources resources (vehicles and manpower) to staff twenty traffic control points to assist in implementing the I-65 Lane Reversal Contingency Plan.</v>
      </c>
      <c r="H75" s="85" t="str">
        <f>IF('Excercise - Al '!N75&lt;&gt;"","EXPECTED ACTIONS: "&amp;'Excercise - Al '!N75,"")</f>
        <v/>
      </c>
      <c r="I75" s="85" t="str">
        <f>'Excercise - Al '!R75</f>
        <v>Keane</v>
      </c>
    </row>
    <row r="76" spans="1:9" s="27" customFormat="1" ht="90">
      <c r="A76" s="85">
        <f>'Excercise - Al '!A76</f>
        <v>75</v>
      </c>
      <c r="B76" s="85"/>
      <c r="C76" s="86">
        <f>'Excercise - Al '!E76</f>
        <v>40302.302083333336</v>
      </c>
      <c r="D76" s="85" t="str">
        <f>IF('Excercise - Al '!F76&lt;&gt;0,'Excercise - Al '!F76,"")</f>
        <v>INFO - Holman Prison</v>
      </c>
      <c r="E76" s="85" t="str">
        <f>IF('Excercise - Al '!G76&lt;&gt;"","MODE: "&amp;'Excercise - Al '!G76,"")&amp;IF('Excercise - Al '!H76&lt;&gt;"","   FROM: "&amp;'Excercise - Al '!H76,"")&amp;IF('Excercise - Al '!I76&lt;&gt;"","   INJECTED BY: "&amp;'Excercise - Al '!I76,"")&amp;IF('Excercise - Al '!J76&lt;&gt;"","   SEND TO: "&amp;'Excercise - Al '!J76,"")</f>
        <v>MODE: E-Mail   FROM: SEOC Department of Public Safety LNO   INJECTED BY: SEOC LNO   SEND TO: JOC Message Center</v>
      </c>
      <c r="F76" s="85" t="str">
        <f>IF('Excercise - Al '!K76&lt;&gt;"","STORYLINE: "&amp;'Excercise - Al '!K76,"")&amp;IF('Excercise - Al '!M76&lt;&gt;"","   DESCRIPTION: "&amp;'Excercise - Al '!M76,"")&amp;IF('Excercise - Al '!O76&lt;&gt;"","   NOTES/REMARKS: "&amp;'Excercise - Al '!O76,"")&amp;IF('Excercise - Al '!Q76&lt;&gt;"","   BACKGROUND INFO: "&amp;'Excercise - Al '!Q76,"")</f>
        <v>STORYLINE: Holman Prison Blues   DESCRIPTION: Armored cars stolen in Mobile</v>
      </c>
      <c r="G76" s="85" t="str">
        <f>IF('Excercise - Al '!P76&lt;&gt;"","IMPLEMENTER: "&amp;'Excercise - Al '!P76,"")</f>
        <v>IMPLEMENTER: Mobile Police Department reports incident where three armored cars were stolen from a Brinks Company parking lot in Mobile.  Report states that parking lot guard and vehicle dispatcher were overpowered by five armed men at approximately 0200.  Three armored cars (no money or valuables) were taken.  Vehicles were equipped with tracking devices, but the tracking devices were disabled shortly after the incident.</v>
      </c>
      <c r="H76" s="85" t="str">
        <f>IF('Excercise - Al '!N76&lt;&gt;"","EXPECTED ACTIONS: "&amp;'Excercise - Al '!N76,"")</f>
        <v/>
      </c>
      <c r="I76" s="85" t="str">
        <f>'Excercise - Al '!R76</f>
        <v>Jenne</v>
      </c>
    </row>
    <row r="77" spans="1:9" s="27" customFormat="1" ht="20">
      <c r="A77" s="85">
        <f>'Excercise - Al '!A77</f>
        <v>76</v>
      </c>
      <c r="B77" s="85"/>
      <c r="C77" s="86">
        <f>'Excercise - Al '!E77</f>
        <v>40302.315972222219</v>
      </c>
      <c r="D77" s="85" t="str">
        <f>IF('Excercise - Al '!F77&lt;&gt;0,'Excercise - Al '!F77,"")</f>
        <v>INFO - KC-135 Crash</v>
      </c>
      <c r="E77" s="85" t="str">
        <f>IF('Excercise - Al '!G77&lt;&gt;"","MODE: "&amp;'Excercise - Al '!G77,"")&amp;IF('Excercise - Al '!H77&lt;&gt;"","   FROM: "&amp;'Excercise - Al '!H77,"")&amp;IF('Excercise - Al '!I77&lt;&gt;"","   INJECTED BY: "&amp;'Excercise - Al '!I77,"")&amp;IF('Excercise - Al '!J77&lt;&gt;"","   SEND TO: "&amp;'Excercise - Al '!J77,"")</f>
        <v xml:space="preserve">   INJECTED BY: JENNE</v>
      </c>
      <c r="F77" s="85" t="str">
        <f>IF('Excercise - Al '!K77&lt;&gt;"","STORYLINE: "&amp;'Excercise - Al '!K77,"")&amp;IF('Excercise - Al '!M77&lt;&gt;"","   DESCRIPTION: "&amp;'Excercise - Al '!M77,"")&amp;IF('Excercise - Al '!O77&lt;&gt;"","   NOTES/REMARKS: "&amp;'Excercise - Al '!O77,"")&amp;IF('Excercise - Al '!Q77&lt;&gt;"","   BACKGROUND INFO: "&amp;'Excercise - Al '!Q77,"")</f>
        <v xml:space="preserve">   DESCRIPTION: Initial Report of KC-135 Crash in Birmingham (soldier calls in to report that it is on the news)</v>
      </c>
      <c r="G77" s="85" t="str">
        <f>IF('Excercise - Al '!P77&lt;&gt;"","IMPLEMENTER: "&amp;'Excercise - Al '!P77,"")</f>
        <v/>
      </c>
      <c r="H77" s="85" t="str">
        <f>IF('Excercise - Al '!N77&lt;&gt;"","EXPECTED ACTIONS: "&amp;'Excercise - Al '!N77,"")</f>
        <v/>
      </c>
      <c r="I77" s="85">
        <f>'Excercise - Al '!R77</f>
        <v>0</v>
      </c>
    </row>
    <row r="78" spans="1:9" s="27" customFormat="1" ht="20">
      <c r="A78" s="85">
        <f>'Excercise - Al '!A78</f>
        <v>77</v>
      </c>
      <c r="B78" s="85"/>
      <c r="C78" s="86">
        <f>'Excercise - Al '!E78</f>
        <v>40302.319444444445</v>
      </c>
      <c r="D78" s="85" t="str">
        <f>IF('Excercise - Al '!F78&lt;&gt;0,'Excercise - Al '!F78,"")</f>
        <v>INFO - KC-135 Crash</v>
      </c>
      <c r="E78" s="85" t="str">
        <f>IF('Excercise - Al '!G78&lt;&gt;"","MODE: "&amp;'Excercise - Al '!G78,"")&amp;IF('Excercise - Al '!H78&lt;&gt;"","   FROM: "&amp;'Excercise - Al '!H78,"")&amp;IF('Excercise - Al '!I78&lt;&gt;"","   INJECTED BY: "&amp;'Excercise - Al '!I78,"")&amp;IF('Excercise - Al '!J78&lt;&gt;"","   SEND TO: "&amp;'Excercise - Al '!J78,"")</f>
        <v xml:space="preserve">   INJECTED BY: 117TH OPS</v>
      </c>
      <c r="F78" s="85" t="str">
        <f>IF('Excercise - Al '!K78&lt;&gt;"","STORYLINE: "&amp;'Excercise - Al '!K78,"")&amp;IF('Excercise - Al '!M78&lt;&gt;"","   DESCRIPTION: "&amp;'Excercise - Al '!M78,"")&amp;IF('Excercise - Al '!O78&lt;&gt;"","   NOTES/REMARKS: "&amp;'Excercise - Al '!O78,"")&amp;IF('Excercise - Al '!Q78&lt;&gt;"","   BACKGROUND INFO: "&amp;'Excercise - Al '!Q78,"")</f>
        <v xml:space="preserve">   DESCRIPTION: Follow-Up Report on KC-135 Crash (from 117th Operations to Air ATAG)</v>
      </c>
      <c r="G78" s="85" t="str">
        <f>IF('Excercise - Al '!P78&lt;&gt;"","IMPLEMENTER: "&amp;'Excercise - Al '!P78,"")</f>
        <v/>
      </c>
      <c r="H78" s="85" t="str">
        <f>IF('Excercise - Al '!N78&lt;&gt;"","EXPECTED ACTIONS: "&amp;'Excercise - Al '!N78,"")</f>
        <v/>
      </c>
      <c r="I78" s="85">
        <f>'Excercise - Al '!R78</f>
        <v>0</v>
      </c>
    </row>
    <row r="79" spans="1:9" s="27" customFormat="1" ht="30">
      <c r="A79" s="85">
        <f>'Excercise - Al '!A79</f>
        <v>78</v>
      </c>
      <c r="B79" s="85"/>
      <c r="C79" s="86">
        <f>'Excercise - Al '!E79</f>
        <v>40302.333333333336</v>
      </c>
      <c r="D79" s="85" t="str">
        <f>IF('Excercise - Al '!F79&lt;&gt;0,'Excercise - Al '!F79,"")</f>
        <v>INFO - KC-135 Crash</v>
      </c>
      <c r="E79" s="85" t="str">
        <f>IF('Excercise - Al '!G79&lt;&gt;"","MODE: "&amp;'Excercise - Al '!G79,"")&amp;IF('Excercise - Al '!H79&lt;&gt;"","   FROM: "&amp;'Excercise - Al '!H79,"")&amp;IF('Excercise - Al '!I79&lt;&gt;"","   INJECTED BY: "&amp;'Excercise - Al '!I79,"")&amp;IF('Excercise - Al '!J79&lt;&gt;"","   SEND TO: "&amp;'Excercise - Al '!J79,"")</f>
        <v xml:space="preserve">   INJECTED BY: 117TH OPS</v>
      </c>
      <c r="F79" s="85" t="str">
        <f>IF('Excercise - Al '!K79&lt;&gt;"","STORYLINE: "&amp;'Excercise - Al '!K79,"")&amp;IF('Excercise - Al '!M79&lt;&gt;"","   DESCRIPTION: "&amp;'Excercise - Al '!M79,"")&amp;IF('Excercise - Al '!O79&lt;&gt;"","   NOTES/REMARKS: "&amp;'Excercise - Al '!O79,"")&amp;IF('Excercise - Al '!Q79&lt;&gt;"","   BACKGROUND INFO: "&amp;'Excercise - Al '!Q79,"")</f>
        <v xml:space="preserve">   DESCRIPTION: Follow-Up Report on KC-135 Crash (from 117th Operations to Air ATAG) concerning radioactive materials found on aircraft</v>
      </c>
      <c r="G79" s="85" t="str">
        <f>IF('Excercise - Al '!P79&lt;&gt;"","IMPLEMENTER: "&amp;'Excercise - Al '!P79,"")</f>
        <v/>
      </c>
      <c r="H79" s="85" t="str">
        <f>IF('Excercise - Al '!N79&lt;&gt;"","EXPECTED ACTIONS: "&amp;'Excercise - Al '!N79,"")</f>
        <v/>
      </c>
      <c r="I79" s="85">
        <f>'Excercise - Al '!R79</f>
        <v>0</v>
      </c>
    </row>
    <row r="80" spans="1:9" s="27" customFormat="1" ht="20">
      <c r="A80" s="85">
        <f>'Excercise - Al '!A80</f>
        <v>79</v>
      </c>
      <c r="B80" s="85"/>
      <c r="C80" s="86">
        <f>'Excercise - Al '!E80</f>
        <v>40302.333333333336</v>
      </c>
      <c r="D80" s="85" t="str">
        <f>IF('Excercise - Al '!F80&lt;&gt;0,'Excercise - Al '!F80,"")</f>
        <v>31st CHME BDE - Stands up the CMOC</v>
      </c>
      <c r="E80" s="85" t="str">
        <f>IF('Excercise - Al '!G80&lt;&gt;"","MODE: "&amp;'Excercise - Al '!G80,"")&amp;IF('Excercise - Al '!H80&lt;&gt;"","   FROM: "&amp;'Excercise - Al '!H80,"")&amp;IF('Excercise - Al '!I80&lt;&gt;"","   INJECTED BY: "&amp;'Excercise - Al '!I80,"")&amp;IF('Excercise - Al '!J80&lt;&gt;"","   SEND TO: "&amp;'Excercise - Al '!J80,"")</f>
        <v>MODE: Not Injected</v>
      </c>
      <c r="F80" s="85" t="str">
        <f>IF('Excercise - Al '!K80&lt;&gt;"","STORYLINE: "&amp;'Excercise - Al '!K80,"")&amp;IF('Excercise - Al '!M80&lt;&gt;"","   DESCRIPTION: "&amp;'Excercise - Al '!M80,"")&amp;IF('Excercise - Al '!O80&lt;&gt;"","   NOTES/REMARKS: "&amp;'Excercise - Al '!O80,"")&amp;IF('Excercise - Al '!Q80&lt;&gt;"","   BACKGROUND INFO: "&amp;'Excercise - Al '!Q80,"")</f>
        <v/>
      </c>
      <c r="G80" s="85" t="str">
        <f>IF('Excercise - Al '!P80&lt;&gt;"","IMPLEMENTER: "&amp;'Excercise - Al '!P80,"")</f>
        <v/>
      </c>
      <c r="H80" s="85" t="str">
        <f>IF('Excercise - Al '!N80&lt;&gt;"","EXPECTED ACTIONS: "&amp;'Excercise - Al '!N80,"")</f>
        <v/>
      </c>
      <c r="I80" s="85" t="str">
        <f>'Excercise - Al '!R80</f>
        <v>Napier</v>
      </c>
    </row>
    <row r="81" spans="1:9" s="27" customFormat="1" ht="170">
      <c r="A81" s="85">
        <f>'Excercise - Al '!A81</f>
        <v>80</v>
      </c>
      <c r="B81" s="85"/>
      <c r="C81" s="86">
        <f>'Excercise - Al '!E81</f>
        <v>40302.354166666664</v>
      </c>
      <c r="D81" s="85" t="str">
        <f>IF('Excercise - Al '!F81&lt;&gt;0,'Excercise - Al '!F81,"")</f>
        <v>RFI - Holman Prison</v>
      </c>
      <c r="E81" s="85" t="str">
        <f>IF('Excercise - Al '!G81&lt;&gt;"","MODE: "&amp;'Excercise - Al '!G81,"")&amp;IF('Excercise - Al '!H81&lt;&gt;"","   FROM: "&amp;'Excercise - Al '!H81,"")&amp;IF('Excercise - Al '!I81&lt;&gt;"","   INJECTED BY: "&amp;'Excercise - Al '!I81,"")&amp;IF('Excercise - Al '!J81&lt;&gt;"","   SEND TO: "&amp;'Excercise - Al '!J81,"")</f>
        <v>MODE: EMITS   FROM: SEOC   INJECTED BY: SEOC LNO   SEND TO: JOC Message Center</v>
      </c>
      <c r="F81" s="85" t="str">
        <f>IF('Excercise - Al '!K81&lt;&gt;"","STORYLINE: "&amp;'Excercise - Al '!K81,"")&amp;IF('Excercise - Al '!M81&lt;&gt;"","   DESCRIPTION: "&amp;'Excercise - Al '!M81,"")&amp;IF('Excercise - Al '!O81&lt;&gt;"","   NOTES/REMARKS: "&amp;'Excercise - Al '!O81,"")&amp;IF('Excercise - Al '!Q81&lt;&gt;"","   BACKGROUND INFO: "&amp;'Excercise - Al '!Q81,"")</f>
        <v>STORYLINE: Holman Prison Blues   DESCRIPTION: SEOC requests contingency study on providing security assistance at Holman Prison</v>
      </c>
      <c r="G81" s="85" t="str">
        <f>IF('Excercise - Al '!P81&lt;&gt;"","IMPLEMENTER: "&amp;'Excercise - Al '!P81,"")</f>
        <v>IMPLEMENTER: SEOC requests that Guard conduct a contingency study to determine if they can provide security assistance to Holman Prison at same time hurricane response operations are underway.  Potential security assistance requirement is for approximately a company-sized element (preferably MPs or infantry) to establish VCPs, roadblocks and blocking positions on external perimeter to prevent external forces from entering prison compound and providing assistance to prisoners.  All Guard operations are anticipated to be external to prison; DOC and State Troopers will manage in-prison and internal security perimeter. Governor states that because of political sensitivity of situation, he wants a detailed briefback on ground tactical plan (via VTC or other means, if necessary) to Directors of DOC and DPS.</v>
      </c>
      <c r="H81" s="85" t="str">
        <f>IF('Excercise - Al '!N81&lt;&gt;"","EXPECTED ACTIONS: "&amp;'Excercise - Al '!N81,"")</f>
        <v/>
      </c>
      <c r="I81" s="85" t="str">
        <f>'Excercise - Al '!R81</f>
        <v>Jenne</v>
      </c>
    </row>
    <row r="82" spans="1:9" s="27" customFormat="1" ht="60">
      <c r="A82" s="85">
        <f>'Excercise - Al '!A82</f>
        <v>81</v>
      </c>
      <c r="B82" s="85"/>
      <c r="C82" s="86">
        <f>'Excercise - Al '!E82</f>
        <v>40302.416666666664</v>
      </c>
      <c r="D82" s="85" t="str">
        <f>IF('Excercise - Al '!F82&lt;&gt;0,'Excercise - Al '!F82,"")</f>
        <v>INFO</v>
      </c>
      <c r="E82" s="85" t="str">
        <f>IF('Excercise - Al '!G82&lt;&gt;"","MODE: "&amp;'Excercise - Al '!G82,"")&amp;IF('Excercise - Al '!H82&lt;&gt;"","   FROM: "&amp;'Excercise - Al '!H82,"")&amp;IF('Excercise - Al '!I82&lt;&gt;"","   INJECTED BY: "&amp;'Excercise - Al '!I82,"")&amp;IF('Excercise - Al '!J82&lt;&gt;"","   SEND TO: "&amp;'Excercise - Al '!J82,"")</f>
        <v>MODE: Phone   FROM: White Cell - JTF South   INJECTED BY: POLLARD   SEND TO: JTF South</v>
      </c>
      <c r="F82" s="85" t="str">
        <f>IF('Excercise - Al '!K82&lt;&gt;"","STORYLINE: "&amp;'Excercise - Al '!K82,"")&amp;IF('Excercise - Al '!M82&lt;&gt;"","   DESCRIPTION: "&amp;'Excercise - Al '!M82,"")&amp;IF('Excercise - Al '!O82&lt;&gt;"","   NOTES/REMARKS: "&amp;'Excercise - Al '!O82,"")&amp;IF('Excercise - Al '!Q82&lt;&gt;"","   BACKGROUND INFO: "&amp;'Excercise - Al '!Q82,"")</f>
        <v xml:space="preserve">   DESCRIPTION: Sgt ……. Vehicle rolled over on interstate in route to armory.  He was wearing a seat belt but rolled into ditch and drowned   BACKGROUND INFO: SIR should be developed/ NGB notified/ TAG/ PAO/  CCIR tracking established</v>
      </c>
      <c r="G82" s="85" t="str">
        <f>IF('Excercise - Al '!P82&lt;&gt;"","IMPLEMENTER: "&amp;'Excercise - Al '!P82,"")</f>
        <v/>
      </c>
      <c r="H82" s="85" t="str">
        <f>IF('Excercise - Al '!N82&lt;&gt;"","EXPECTED ACTIONS: "&amp;'Excercise - Al '!N82,"")</f>
        <v/>
      </c>
      <c r="I82" s="85" t="str">
        <f>'Excercise - Al '!R82</f>
        <v>Kahl</v>
      </c>
    </row>
    <row r="83" spans="1:9" s="27" customFormat="1" ht="20">
      <c r="A83" s="85">
        <f>'Excercise - Al '!A83</f>
        <v>82</v>
      </c>
      <c r="B83" s="85"/>
      <c r="C83" s="86">
        <f>'Excercise - Al '!E83</f>
        <v>40302.427083333336</v>
      </c>
      <c r="D83" s="85" t="str">
        <f>IF('Excercise - Al '!F83&lt;&gt;0,'Excercise - Al '!F83,"")</f>
        <v>INFO - KC-135 Crash</v>
      </c>
      <c r="E83" s="85" t="str">
        <f>IF('Excercise - Al '!G83&lt;&gt;"","MODE: "&amp;'Excercise - Al '!G83,"")&amp;IF('Excercise - Al '!H83&lt;&gt;"","   FROM: "&amp;'Excercise - Al '!H83,"")&amp;IF('Excercise - Al '!I83&lt;&gt;"","   INJECTED BY: "&amp;'Excercise - Al '!I83,"")&amp;IF('Excercise - Al '!J83&lt;&gt;"","   SEND TO: "&amp;'Excercise - Al '!J83,"")</f>
        <v xml:space="preserve">   INJECTED BY: HOWARD</v>
      </c>
      <c r="F83" s="85" t="str">
        <f>IF('Excercise - Al '!K83&lt;&gt;"","STORYLINE: "&amp;'Excercise - Al '!K83,"")&amp;IF('Excercise - Al '!M83&lt;&gt;"","   DESCRIPTION: "&amp;'Excercise - Al '!M83,"")&amp;IF('Excercise - Al '!O83&lt;&gt;"","   NOTES/REMARKS: "&amp;'Excercise - Al '!O83,"")&amp;IF('Excercise - Al '!Q83&lt;&gt;"","   BACKGROUND INFO: "&amp;'Excercise - Al '!Q83,"")</f>
        <v xml:space="preserve">   DESCRIPTION: News media calling concerning KC-135 Crash and radioactive materials</v>
      </c>
      <c r="G83" s="85" t="str">
        <f>IF('Excercise - Al '!P83&lt;&gt;"","IMPLEMENTER: "&amp;'Excercise - Al '!P83,"")</f>
        <v/>
      </c>
      <c r="H83" s="85" t="str">
        <f>IF('Excercise - Al '!N83&lt;&gt;"","EXPECTED ACTIONS: "&amp;'Excercise - Al '!N83,"")</f>
        <v/>
      </c>
      <c r="I83" s="85">
        <f>'Excercise - Al '!R83</f>
        <v>0</v>
      </c>
    </row>
    <row r="84" spans="1:9" s="27" customFormat="1" ht="110">
      <c r="A84" s="85">
        <f>'Excercise - Al '!A84</f>
        <v>83</v>
      </c>
      <c r="B84" s="85"/>
      <c r="C84" s="86">
        <f>'Excercise - Al '!E84</f>
        <v>40302.4375</v>
      </c>
      <c r="D84" s="85" t="str">
        <f>IF('Excercise - Al '!F84&lt;&gt;0,'Excercise - Al '!F84,"")</f>
        <v>INFO - Train Derailment</v>
      </c>
      <c r="E84" s="85" t="str">
        <f>IF('Excercise - Al '!G84&lt;&gt;"","MODE: "&amp;'Excercise - Al '!G84,"")&amp;IF('Excercise - Al '!H84&lt;&gt;"","   FROM: "&amp;'Excercise - Al '!H84,"")&amp;IF('Excercise - Al '!I84&lt;&gt;"","   INJECTED BY: "&amp;'Excercise - Al '!I84,"")&amp;IF('Excercise - Al '!J84&lt;&gt;"","   SEND TO: "&amp;'Excercise - Al '!J84,"")</f>
        <v>MODE: Telephone   FROM: FTUS NCO manning Grove Hill armory   INJECTED BY: POLLARD   SEND TO: JTF-S</v>
      </c>
      <c r="F84" s="85" t="str">
        <f>IF('Excercise - Al '!K84&lt;&gt;"","STORYLINE: "&amp;'Excercise - Al '!K84,"")&amp;IF('Excercise - Al '!M84&lt;&gt;"","   DESCRIPTION: "&amp;'Excercise - Al '!M84,"")&amp;IF('Excercise - Al '!O84&lt;&gt;"","   NOTES/REMARKS: "&amp;'Excercise - Al '!O84,"")&amp;IF('Excercise - Al '!Q84&lt;&gt;"","   BACKGROUND INFO: "&amp;'Excercise - Al '!Q84,"")</f>
        <v>STORYLINE: Grove Hill Train Derailment   DESCRIPTION: Grove Hill soldier reports significant train derailment   NOTES/REMARKS: The entire purpose of ths thread is to determine if the information (which will be received from multiple sources at different levels) is passed up-line to JFHQ JOC, and then subsequently assessed by various J-Staff elements. The location of the train derailment is directly adjacent to US 43, which should be an MSR for moving troops and equipment downrange, so will J-2 and J-4 receive info and advise TAG and units accordingly?</v>
      </c>
      <c r="G84" s="85" t="str">
        <f>IF('Excercise - Al '!P84&lt;&gt;"","IMPLEMENTER: "&amp;'Excercise - Al '!P84,"")</f>
        <v>IMPLEMENTER: FTUS NCO from Det 1, Co A, 711 BSB is standing by at Grove Hill armory to support hurricane response operations. He reports that a north-bound Norfolk Southern train experienced a serious derailment between Grove Hill and Thomasville (to the north). Clarke County Sheriff's Department and local fire departments are responding. A hazardous materials release is suspected. NCO states that local officials indicate that Grove Hill and surrounding communities will likely be evacuated. He is requesting guidance if evacuation is required.</v>
      </c>
      <c r="H84" s="85" t="str">
        <f>IF('Excercise - Al '!N84&lt;&gt;"","EXPECTED ACTIONS: "&amp;'Excercise - Al '!N84,"")</f>
        <v>EXPECTED ACTIONS: JTF-S should pass this information upline to JFHQ JOC.</v>
      </c>
      <c r="I84" s="85" t="str">
        <f>'Excercise - Al '!R84</f>
        <v>Jenne</v>
      </c>
    </row>
    <row r="85" spans="1:9" s="27" customFormat="1" ht="30">
      <c r="A85" s="85">
        <f>'Excercise - Al '!A85</f>
        <v>84</v>
      </c>
      <c r="B85" s="85"/>
      <c r="C85" s="86">
        <f>'Excercise - Al '!E85</f>
        <v>40302.440972222219</v>
      </c>
      <c r="D85" s="85" t="str">
        <f>IF('Excercise - Al '!F85&lt;&gt;0,'Excercise - Al '!F85,"")</f>
        <v>INFO - KC-135 Crash</v>
      </c>
      <c r="E85" s="85" t="str">
        <f>IF('Excercise - Al '!G85&lt;&gt;"","MODE: "&amp;'Excercise - Al '!G85,"")&amp;IF('Excercise - Al '!H85&lt;&gt;"","   FROM: "&amp;'Excercise - Al '!H85,"")&amp;IF('Excercise - Al '!I85&lt;&gt;"","   INJECTED BY: "&amp;'Excercise - Al '!I85,"")&amp;IF('Excercise - Al '!J85&lt;&gt;"","   SEND TO: "&amp;'Excercise - Al '!J85,"")</f>
        <v xml:space="preserve">   FROM: BFRS   INJECTED BY: JENNE</v>
      </c>
      <c r="F85" s="85" t="str">
        <f>IF('Excercise - Al '!K85&lt;&gt;"","STORYLINE: "&amp;'Excercise - Al '!K85,"")&amp;IF('Excercise - Al '!M85&lt;&gt;"","   DESCRIPTION: "&amp;'Excercise - Al '!M85,"")&amp;IF('Excercise - Al '!O85&lt;&gt;"","   NOTES/REMARKS: "&amp;'Excercise - Al '!O85,"")&amp;IF('Excercise - Al '!Q85&lt;&gt;"","   BACKGROUND INFO: "&amp;'Excercise - Al '!Q85,"")</f>
        <v xml:space="preserve">   DESCRIPTION: Birmingham Fire and Rescue Service isolating KC-135 crash site until radioactive materials can be identified. Requesting Guard assistance.</v>
      </c>
      <c r="G85" s="85" t="str">
        <f>IF('Excercise - Al '!P85&lt;&gt;"","IMPLEMENTER: "&amp;'Excercise - Al '!P85,"")</f>
        <v/>
      </c>
      <c r="H85" s="85" t="str">
        <f>IF('Excercise - Al '!N85&lt;&gt;"","EXPECTED ACTIONS: "&amp;'Excercise - Al '!N85,"")</f>
        <v/>
      </c>
      <c r="I85" s="85">
        <f>'Excercise - Al '!R85</f>
        <v>0</v>
      </c>
    </row>
    <row r="86" spans="1:9" s="27" customFormat="1" ht="100">
      <c r="A86" s="85">
        <f>'Excercise - Al '!A86</f>
        <v>85</v>
      </c>
      <c r="B86" s="85"/>
      <c r="C86" s="86">
        <f>'Excercise - Al '!E86</f>
        <v>40302.447916666664</v>
      </c>
      <c r="D86" s="85" t="str">
        <f>IF('Excercise - Al '!F86&lt;&gt;0,'Excercise - Al '!F86,"")</f>
        <v>INFO - Train Derailment</v>
      </c>
      <c r="E86" s="85" t="str">
        <f>IF('Excercise - Al '!G86&lt;&gt;"","MODE: "&amp;'Excercise - Al '!G86,"")&amp;IF('Excercise - Al '!H86&lt;&gt;"","   FROM: "&amp;'Excercise - Al '!H86,"")&amp;IF('Excercise - Al '!I86&lt;&gt;"","   INJECTED BY: "&amp;'Excercise - Al '!I86,"")&amp;IF('Excercise - Al '!J86&lt;&gt;"","   SEND TO: "&amp;'Excercise - Al '!J86,"")</f>
        <v>MODE: Telephone or e-mail   FROM: SEOC LNO   INJECTED BY: SEOC LNO   SEND TO: JOC Chief</v>
      </c>
      <c r="F86" s="85" t="str">
        <f>IF('Excercise - Al '!K86&lt;&gt;"","STORYLINE: "&amp;'Excercise - Al '!K86,"")&amp;IF('Excercise - Al '!M86&lt;&gt;"","   DESCRIPTION: "&amp;'Excercise - Al '!M86,"")&amp;IF('Excercise - Al '!O86&lt;&gt;"","   NOTES/REMARKS: "&amp;'Excercise - Al '!O86,"")&amp;IF('Excercise - Al '!Q86&lt;&gt;"","   BACKGROUND INFO: "&amp;'Excercise - Al '!Q86,"")</f>
        <v>STORYLINE: Grove Hill Train Derailment   DESCRIPTION: SEOC LNO reports train derailment just north of Grove Hill   NOTES/REMARKS: The entire purpose of ths thread is to determine if the information (which will be received from multiple sources at different levels) is passed up-line to JFHQ JOC, and then subsequently assessed by various J-Staff elements. The location of the train derailment is directly adjacent to US 43, which should be an MSR for moving troops and equipment downrange, so will J-2 and J-4 receive info and advise TAG and units accordingly?</v>
      </c>
      <c r="G86" s="85" t="str">
        <f>IF('Excercise - Al '!P86&lt;&gt;"","IMPLEMENTER: "&amp;'Excercise - Al '!P86,"")</f>
        <v>IMPLEMENTER: SEOC LNO calls JOC Chief with a "heads up" that a Norfolk Southern train has derailed approximately ten miles north of Grove Hill (Clarke County). The train was being "pushed" north to get it out of the hurricane impact area. Derailment involves multiple tank cars of hazardous materials, including chlorine, anhydrous ammonia, and flourine. Local emergency responders are on scene; State Troopers and ADEM are en route. SEOC LNO states that EMA may request technical assistance from the CST.</v>
      </c>
      <c r="H86" s="85" t="str">
        <f>IF('Excercise - Al '!N86&lt;&gt;"","EXPECTED ACTIONS: "&amp;'Excercise - Al '!N86,"")</f>
        <v>EXPECTED ACTIONS: JOC Chief should notify TAG and key leaders, pertinent staff personnel and JTFs.</v>
      </c>
      <c r="I86" s="85" t="str">
        <f>'Excercise - Al '!R86</f>
        <v>Jenne</v>
      </c>
    </row>
    <row r="87" spans="1:9" s="27" customFormat="1" ht="120">
      <c r="A87" s="85">
        <f>'Excercise - Al '!A87</f>
        <v>86</v>
      </c>
      <c r="B87" s="85"/>
      <c r="C87" s="86">
        <f>'Excercise - Al '!E87</f>
        <v>40302.416666666664</v>
      </c>
      <c r="D87" s="85" t="str">
        <f>IF('Excercise - Al '!F87&lt;&gt;0,'Excercise - Al '!F87,"")</f>
        <v>INFO</v>
      </c>
      <c r="E87" s="85" t="str">
        <f>IF('Excercise - Al '!G87&lt;&gt;"","MODE: "&amp;'Excercise - Al '!G87,"")&amp;IF('Excercise - Al '!H87&lt;&gt;"","   FROM: "&amp;'Excercise - Al '!H87,"")&amp;IF('Excercise - Al '!I87&lt;&gt;"","   INJECTED BY: "&amp;'Excercise - Al '!I87,"")&amp;IF('Excercise - Al '!J87&lt;&gt;"","   SEND TO: "&amp;'Excercise - Al '!J87,"")</f>
        <v>MODE: Email   FROM: Simcell - National Hurricane Center   INJECTED BY: KEANE   SEND TO: JOC, All</v>
      </c>
      <c r="F87" s="85" t="str">
        <f>IF('Excercise - Al '!K87&lt;&gt;"","STORYLINE: "&amp;'Excercise - Al '!K87,"")&amp;IF('Excercise - Al '!M87&lt;&gt;"","   DESCRIPTION: "&amp;'Excercise - Al '!M87,"")&amp;IF('Excercise - Al '!O87&lt;&gt;"","   NOTES/REMARKS: "&amp;'Excercise - Al '!O87,"")&amp;IF('Excercise - Al '!Q87&lt;&gt;"","   BACKGROUND INFO: "&amp;'Excercise - Al '!Q87,"")</f>
        <v>STORYLINE: Tropical Storm Al Update 14   DESCRIPTION: Tropical Storm Al Update 14</v>
      </c>
      <c r="G87" s="85" t="str">
        <f>IF('Excercise - Al '!P87&lt;&gt;"","IMPLEMENTER: "&amp;'Excercise - Al '!P87,"")</f>
        <v>IMPLEMENTER: _x000D_... HURRICANE AL PASSES NORTH OF CANCUN...ENTERS THE GULF OF MEXICO..._x000D__x000D__x000D_SUMMARY OF 1100 AM EDT...1500 UTC...INFORMATION_x000D_-----------------------------------------------_x000D_LOCATION...22.0N 86.8W_x000D_ABOUT 58 MILES...94 KM...NORTH OF CANCUN MEXICO_x000D_ABOUT 120 MILES...193 KM...WEST OF THE WESTERN TIP OF CUBA_x000D_MAXIMUM SUSTAINED WINDS...105 MPH...169 KM/HR_x000D_PRESENT MOVEMENT...WNW OR 314 DEGREES AT 15 MPH...24 KM/HR_x000D_MINIMUM CENTRAL PRESSURE...960 MB...28.35 INCHES_x000D__x000D_</v>
      </c>
      <c r="H87" s="85" t="str">
        <f>IF('Excercise - Al '!N87&lt;&gt;"","EXPECTED ACTIONS: "&amp;'Excercise - Al '!N87,"")</f>
        <v/>
      </c>
      <c r="I87" s="85" t="str">
        <f>'Excercise - Al '!R87</f>
        <v>Keane</v>
      </c>
    </row>
    <row r="88" spans="1:9" s="27" customFormat="1" ht="30">
      <c r="A88" s="85">
        <f>'Excercise - Al '!A88</f>
        <v>87</v>
      </c>
      <c r="B88" s="85"/>
      <c r="C88" s="86">
        <f>'Excercise - Al '!E88</f>
        <v>40302.459027777775</v>
      </c>
      <c r="D88" s="85" t="str">
        <f>IF('Excercise - Al '!F88&lt;&gt;0,'Excercise - Al '!F88,"")</f>
        <v/>
      </c>
      <c r="E88" s="85" t="str">
        <f>IF('Excercise - Al '!G88&lt;&gt;"","MODE: "&amp;'Excercise - Al '!G88,"")&amp;IF('Excercise - Al '!H88&lt;&gt;"","   FROM: "&amp;'Excercise - Al '!H88,"")&amp;IF('Excercise - Al '!I88&lt;&gt;"","   INJECTED BY: "&amp;'Excercise - Al '!I88,"")&amp;IF('Excercise - Al '!J88&lt;&gt;"","   SEND TO: "&amp;'Excercise - Al '!J88,"")</f>
        <v>MODE: Email   INJECTED BY: TOMBERLIN</v>
      </c>
      <c r="F88" s="85" t="str">
        <f>IF('Excercise - Al '!K88&lt;&gt;"","STORYLINE: "&amp;'Excercise - Al '!K88,"")&amp;IF('Excercise - Al '!M88&lt;&gt;"","   DESCRIPTION: "&amp;'Excercise - Al '!M88,"")&amp;IF('Excercise - Al '!O88&lt;&gt;"","   NOTES/REMARKS: "&amp;'Excercise - Al '!O88,"")&amp;IF('Excercise - Al '!Q88&lt;&gt;"","   BACKGROUND INFO: "&amp;'Excercise - Al '!Q88,"")</f>
        <v>STORYLINE: All units activated submit travel vouchers for identified soldiers.</v>
      </c>
      <c r="G88" s="85" t="str">
        <f>IF('Excercise - Al '!P88&lt;&gt;"","IMPLEMENTER: "&amp;'Excercise - Al '!P88,"")</f>
        <v>IMPLEMENTER: All units activated submit travel vouchers for identified soldiers.</v>
      </c>
      <c r="H88" s="85" t="str">
        <f>IF('Excercise - Al '!N88&lt;&gt;"","EXPECTED ACTIONS: "&amp;'Excercise - Al '!N88,"")</f>
        <v/>
      </c>
      <c r="I88" s="85" t="str">
        <f>'Excercise - Al '!R88</f>
        <v>Therman</v>
      </c>
    </row>
    <row r="89" spans="1:9" s="27" customFormat="1" ht="30">
      <c r="A89" s="85">
        <f>'Excercise - Al '!A89</f>
        <v>88</v>
      </c>
      <c r="B89" s="85"/>
      <c r="C89" s="86">
        <f>'Excercise - Al '!E89</f>
        <v>40302.479166666664</v>
      </c>
      <c r="D89" s="85" t="str">
        <f>IF('Excercise - Al '!F89&lt;&gt;0,'Excercise - Al '!F89,"")</f>
        <v>RFI</v>
      </c>
      <c r="E89" s="85" t="str">
        <f>IF('Excercise - Al '!G89&lt;&gt;"","MODE: "&amp;'Excercise - Al '!G89,"")&amp;IF('Excercise - Al '!H89&lt;&gt;"","   FROM: "&amp;'Excercise - Al '!H89,"")&amp;IF('Excercise - Al '!I89&lt;&gt;"","   INJECTED BY: "&amp;'Excercise - Al '!I89,"")&amp;IF('Excercise - Al '!J89&lt;&gt;"","   SEND TO: "&amp;'Excercise - Al '!J89,"")</f>
        <v>MODE: Email   INJECTED BY: DENNIS</v>
      </c>
      <c r="F89" s="85" t="str">
        <f>IF('Excercise - Al '!K89&lt;&gt;"","STORYLINE: "&amp;'Excercise - Al '!K89,"")&amp;IF('Excercise - Al '!M89&lt;&gt;"","   DESCRIPTION: "&amp;'Excercise - Al '!M89,"")&amp;IF('Excercise - Al '!O89&lt;&gt;"","   NOTES/REMARKS: "&amp;'Excercise - Al '!O89,"")&amp;IF('Excercise - Al '!Q89&lt;&gt;"","   BACKGROUND INFO: "&amp;'Excercise - Al '!Q89,"")</f>
        <v xml:space="preserve">   DESCRIPTION: Task Force South is requesting a Class A Agent.  </v>
      </c>
      <c r="G89" s="85" t="str">
        <f>IF('Excercise - Al '!P89&lt;&gt;"","IMPLEMENTER: "&amp;'Excercise - Al '!P89,"")</f>
        <v xml:space="preserve">IMPLEMENTER: Task Force South is requesting a Class A Agent.  </v>
      </c>
      <c r="H89" s="85" t="str">
        <f>IF('Excercise - Al '!N89&lt;&gt;"","EXPECTED ACTIONS: "&amp;'Excercise - Al '!N89,"")</f>
        <v/>
      </c>
      <c r="I89" s="85" t="str">
        <f>'Excercise - Al '!R89</f>
        <v>Therman</v>
      </c>
    </row>
    <row r="90" spans="1:9" s="27" customFormat="1" ht="30">
      <c r="A90" s="85">
        <f>'Excercise - Al '!A90</f>
        <v>89</v>
      </c>
      <c r="B90" s="85"/>
      <c r="C90" s="86">
        <f>'Excercise - Al '!E90</f>
        <v>40302.486111111109</v>
      </c>
      <c r="D90" s="85" t="str">
        <f>IF('Excercise - Al '!F90&lt;&gt;0,'Excercise - Al '!F90,"")</f>
        <v>INFO - KC-135 Crash</v>
      </c>
      <c r="E90" s="85" t="str">
        <f>IF('Excercise - Al '!G90&lt;&gt;"","MODE: "&amp;'Excercise - Al '!G90,"")&amp;IF('Excercise - Al '!H90&lt;&gt;"","   FROM: "&amp;'Excercise - Al '!H90,"")&amp;IF('Excercise - Al '!I90&lt;&gt;"","   INJECTED BY: "&amp;'Excercise - Al '!I90,"")&amp;IF('Excercise - Al '!J90&lt;&gt;"","   SEND TO: "&amp;'Excercise - Al '!J90,"")</f>
        <v xml:space="preserve">   INJECTED BY: JENNE</v>
      </c>
      <c r="F90" s="85" t="str">
        <f>IF('Excercise - Al '!K90&lt;&gt;"","STORYLINE: "&amp;'Excercise - Al '!K90,"")&amp;IF('Excercise - Al '!M90&lt;&gt;"","   DESCRIPTION: "&amp;'Excercise - Al '!M90,"")&amp;IF('Excercise - Al '!O90&lt;&gt;"","   NOTES/REMARKS: "&amp;'Excercise - Al '!O90,"")&amp;IF('Excercise - Al '!Q90&lt;&gt;"","   BACKGROUND INFO: "&amp;'Excercise - Al '!Q90,"")</f>
        <v xml:space="preserve">   DESCRIPTION: Birmingham Police bomb robot being used to inspect interior of aircraft. Located container with marking (NSN number)</v>
      </c>
      <c r="G90" s="85" t="str">
        <f>IF('Excercise - Al '!P90&lt;&gt;"","IMPLEMENTER: "&amp;'Excercise - Al '!P90,"")</f>
        <v/>
      </c>
      <c r="H90" s="85" t="str">
        <f>IF('Excercise - Al '!N90&lt;&gt;"","EXPECTED ACTIONS: "&amp;'Excercise - Al '!N90,"")</f>
        <v/>
      </c>
      <c r="I90" s="85">
        <f>'Excercise - Al '!R90</f>
        <v>0</v>
      </c>
    </row>
    <row r="91" spans="1:9" s="27" customFormat="1" ht="120">
      <c r="A91" s="85">
        <f>'Excercise - Al '!A91</f>
        <v>90</v>
      </c>
      <c r="B91" s="85"/>
      <c r="C91" s="86">
        <f>'Excercise - Al '!E91</f>
        <v>40302.489583333336</v>
      </c>
      <c r="D91" s="85" t="str">
        <f>IF('Excercise - Al '!F91&lt;&gt;0,'Excercise - Al '!F91,"")</f>
        <v>RFI - Train Derailment</v>
      </c>
      <c r="E91" s="85" t="str">
        <f>IF('Excercise - Al '!G91&lt;&gt;"","MODE: "&amp;'Excercise - Al '!G91,"")&amp;IF('Excercise - Al '!H91&lt;&gt;"","   FROM: "&amp;'Excercise - Al '!H91,"")&amp;IF('Excercise - Al '!I91&lt;&gt;"","   INJECTED BY: "&amp;'Excercise - Al '!I91,"")&amp;IF('Excercise - Al '!J91&lt;&gt;"","   SEND TO: "&amp;'Excercise - Al '!J91,"")</f>
        <v>MODE: EMITS   FROM: SEOC WC   INJECTED BY: SEOC LNO   SEND TO: JOC Message Center</v>
      </c>
      <c r="F91" s="85" t="str">
        <f>IF('Excercise - Al '!K91&lt;&gt;"","STORYLINE: "&amp;'Excercise - Al '!K91,"")&amp;IF('Excercise - Al '!M91&lt;&gt;"","   DESCRIPTION: "&amp;'Excercise - Al '!M91,"")&amp;IF('Excercise - Al '!O91&lt;&gt;"","   NOTES/REMARKS: "&amp;'Excercise - Al '!O91,"")&amp;IF('Excercise - Al '!Q91&lt;&gt;"","   BACKGROUND INFO: "&amp;'Excercise - Al '!Q91,"")</f>
        <v>STORYLINE: Grove Hill Train Derailment   DESCRIPTION: EMITS Request for Assistance for Train Derailment emergency response   NOTES/REMARKS: The entire purpose of ths thread is to determine if the information (which will be received from multiple sources at different levels) is passed up-line to JFHQ JOC, and then subsequently assessed by various J-Staff elements. The location of the train derailment is directly adjacent to US 43, which should be an MSR for moving troops and equipment downrange, so will J-2 and J-4 receive info and advise TAG and units accordingly?</v>
      </c>
      <c r="G91" s="85" t="str">
        <f>IF('Excercise - Al '!P91&lt;&gt;"","IMPLEMENTER: "&amp;'Excercise - Al '!P91,"")</f>
        <v>IMPLEMENTER: EMITS message requests capability assessment of potential Guard capabilities to assist with train derailment north of Grove Hill. Area, including US 43, is being evacuated. EMA wants to know viability of CST providing hazardous materials assistance. Additionally, EMA wants to determine availability of FLIRS-equipped R/W aircraft to locate "hot spots" in train, to assist in firefighting effort. There is extensive smoke as a result of multiple fires, which is why FLIR is being requested. State Trooper FLIR-equipped aircraft are currently tasked to other activities.</v>
      </c>
      <c r="H91" s="85" t="str">
        <f>IF('Excercise - Al '!N91&lt;&gt;"","EXPECTED ACTIONS: "&amp;'Excercise - Al '!N91,"")</f>
        <v>EXPECTED ACTIONS: JOC Chief should notify TAG and key leaders, pertinent staff personnel and JTFs.</v>
      </c>
      <c r="I91" s="85" t="str">
        <f>'Excercise - Al '!R91</f>
        <v>Jenne</v>
      </c>
    </row>
    <row r="92" spans="1:9" s="27" customFormat="1" ht="60">
      <c r="A92" s="85">
        <f>'Excercise - Al '!A92</f>
        <v>91</v>
      </c>
      <c r="B92" s="85"/>
      <c r="C92" s="86">
        <f>'Excercise - Al '!E92</f>
        <v>40302.500694444447</v>
      </c>
      <c r="D92" s="85" t="str">
        <f>IF('Excercise - Al '!F92&lt;&gt;0,'Excercise - Al '!F92,"")</f>
        <v>INFO</v>
      </c>
      <c r="E92" s="85" t="str">
        <f>IF('Excercise - Al '!G92&lt;&gt;"","MODE: "&amp;'Excercise - Al '!G92,"")&amp;IF('Excercise - Al '!H92&lt;&gt;"","   FROM: "&amp;'Excercise - Al '!H92,"")&amp;IF('Excercise - Al '!I92&lt;&gt;"","   INJECTED BY: "&amp;'Excercise - Al '!I92,"")&amp;IF('Excercise - Al '!J92&lt;&gt;"","   SEND TO: "&amp;'Excercise - Al '!J92,"")</f>
        <v>MODE: Phone   FROM: GATE GUARD   INJECTED BY: DONAHUE   SEND TO: MSG CTR</v>
      </c>
      <c r="F92" s="85" t="str">
        <f>IF('Excercise - Al '!K92&lt;&gt;"","STORYLINE: "&amp;'Excercise - Al '!K92,"")&amp;IF('Excercise - Al '!M92&lt;&gt;"","   DESCRIPTION: "&amp;'Excercise - Al '!M92,"")&amp;IF('Excercise - Al '!O92&lt;&gt;"","   NOTES/REMARKS: "&amp;'Excercise - Al '!O92,"")&amp;IF('Excercise - Al '!Q92&lt;&gt;"","   BACKGROUND INFO: "&amp;'Excercise - Al '!Q92,"")</f>
        <v>STORYLINE: AT/FP   DESCRIPTION: Citizen reports accident at front gate</v>
      </c>
      <c r="G92" s="85" t="str">
        <f>IF('Excercise - Al '!P92&lt;&gt;"","IMPLEMENTER: "&amp;'Excercise - Al '!P92,"")</f>
        <v>IMPLEMENTER: I just witnessed an accident at the gate in which a large truck  was hit by a civilian car. What should I do?</v>
      </c>
      <c r="H92" s="85" t="str">
        <f>IF('Excercise - Al '!N92&lt;&gt;"","EXPECTED ACTIONS: "&amp;'Excercise - Al '!N92,"")</f>
        <v>EXPECTED ACTIONS: MSG CTR reports to J3/ who calls 911?</v>
      </c>
      <c r="I92" s="85" t="str">
        <f>'Excercise - Al '!R92</f>
        <v>Messer</v>
      </c>
    </row>
    <row r="93" spans="1:9" s="27" customFormat="1" ht="40">
      <c r="A93" s="85">
        <f>'Excercise - Al '!A93</f>
        <v>92</v>
      </c>
      <c r="B93" s="85"/>
      <c r="C93" s="86">
        <f>'Excercise - Al '!E93</f>
        <v>40302.501388888886</v>
      </c>
      <c r="D93" s="85" t="str">
        <f>IF('Excercise - Al '!F93&lt;&gt;0,'Excercise - Al '!F93,"")</f>
        <v>RFI</v>
      </c>
      <c r="E93" s="85" t="str">
        <f>IF('Excercise - Al '!G93&lt;&gt;"","MODE: "&amp;'Excercise - Al '!G93,"")&amp;IF('Excercise - Al '!H93&lt;&gt;"","   FROM: "&amp;'Excercise - Al '!H93,"")&amp;IF('Excercise - Al '!I93&lt;&gt;"","   INJECTED BY: "&amp;'Excercise - Al '!I93,"")&amp;IF('Excercise - Al '!J93&lt;&gt;"","   SEND TO: "&amp;'Excercise - Al '!J93,"")</f>
        <v>MODE: Email   FROM: USPFO   INJECTED BY: DENNIS</v>
      </c>
      <c r="F93" s="85" t="str">
        <f>IF('Excercise - Al '!K93&lt;&gt;"","STORYLINE: "&amp;'Excercise - Al '!K93,"")&amp;IF('Excercise - Al '!M93&lt;&gt;"","   DESCRIPTION: "&amp;'Excercise - Al '!M93,"")&amp;IF('Excercise - Al '!O93&lt;&gt;"","   NOTES/REMARKS: "&amp;'Excercise - Al '!O93,"")&amp;IF('Excercise - Al '!Q93&lt;&gt;"","   BACKGROUND INFO: "&amp;'Excercise - Al '!Q93,"")</f>
        <v xml:space="preserve">   DESCRIPTION: National Guard Bureau is requesting a spreadsheet which capture and track funding costs associated with the hurricane disaster.</v>
      </c>
      <c r="G93" s="85" t="str">
        <f>IF('Excercise - Al '!P93&lt;&gt;"","IMPLEMENTER: "&amp;'Excercise - Al '!P93,"")</f>
        <v>IMPLEMENTER: National Guard Bureau is requesting a spreadsheet which capture and track funding costs associated with the hurricane disaster.</v>
      </c>
      <c r="H93" s="85" t="str">
        <f>IF('Excercise - Al '!N93&lt;&gt;"","EXPECTED ACTIONS: "&amp;'Excercise - Al '!N93,"")</f>
        <v/>
      </c>
      <c r="I93" s="85" t="str">
        <f>'Excercise - Al '!R93</f>
        <v>Therman</v>
      </c>
    </row>
    <row r="94" spans="1:9" s="27" customFormat="1" ht="40">
      <c r="A94" s="85">
        <f>'Excercise - Al '!A94</f>
        <v>93</v>
      </c>
      <c r="B94" s="85"/>
      <c r="C94" s="86">
        <f>'Excercise - Al '!E94</f>
        <v>40302.520833333336</v>
      </c>
      <c r="D94" s="85" t="str">
        <f>IF('Excercise - Al '!F94&lt;&gt;0,'Excercise - Al '!F94,"")</f>
        <v>INFO - KC-135 Crash</v>
      </c>
      <c r="E94" s="85" t="str">
        <f>IF('Excercise - Al '!G94&lt;&gt;"","MODE: "&amp;'Excercise - Al '!G94,"")&amp;IF('Excercise - Al '!H94&lt;&gt;"","   FROM: "&amp;'Excercise - Al '!H94,"")&amp;IF('Excercise - Al '!I94&lt;&gt;"","   INJECTED BY: "&amp;'Excercise - Al '!I94,"")&amp;IF('Excercise - Al '!J94&lt;&gt;"","   SEND TO: "&amp;'Excercise - Al '!J94,"")</f>
        <v xml:space="preserve">   FROM: GOVERNOR'S OFFICE    INJECTED BY: REAGAN</v>
      </c>
      <c r="F94" s="85" t="str">
        <f>IF('Excercise - Al '!K94&lt;&gt;"","STORYLINE: "&amp;'Excercise - Al '!K94,"")&amp;IF('Excercise - Al '!M94&lt;&gt;"","   DESCRIPTION: "&amp;'Excercise - Al '!M94,"")&amp;IF('Excercise - Al '!O94&lt;&gt;"","   NOTES/REMARKS: "&amp;'Excercise - Al '!O94,"")&amp;IF('Excercise - Al '!Q94&lt;&gt;"","   BACKGROUND INFO: "&amp;'Excercise - Al '!Q94,"")</f>
        <v xml:space="preserve">   DESCRIPTION: Governor asks TAG to conduct press conference concerning KC-135 crash</v>
      </c>
      <c r="G94" s="85" t="str">
        <f>IF('Excercise - Al '!P94&lt;&gt;"","IMPLEMENTER: "&amp;'Excercise - Al '!P94,"")</f>
        <v/>
      </c>
      <c r="H94" s="85" t="str">
        <f>IF('Excercise - Al '!N94&lt;&gt;"","EXPECTED ACTIONS: "&amp;'Excercise - Al '!N94,"")</f>
        <v/>
      </c>
      <c r="I94" s="85">
        <f>'Excercise - Al '!R94</f>
        <v>0</v>
      </c>
    </row>
    <row r="95" spans="1:9" s="27" customFormat="1" ht="70">
      <c r="A95" s="85">
        <f>'Excercise - Al '!A95</f>
        <v>94</v>
      </c>
      <c r="B95" s="85"/>
      <c r="C95" s="86">
        <f>'Excercise - Al '!E95</f>
        <v>40302.041666666664</v>
      </c>
      <c r="D95" s="85" t="str">
        <f>IF('Excercise - Al '!F95&lt;&gt;0,'Excercise - Al '!F95,"")</f>
        <v>RFI</v>
      </c>
      <c r="E95" s="85" t="str">
        <f>IF('Excercise - Al '!G95&lt;&gt;"","MODE: "&amp;'Excercise - Al '!G95,"")&amp;IF('Excercise - Al '!H95&lt;&gt;"","   FROM: "&amp;'Excercise - Al '!H95,"")&amp;IF('Excercise - Al '!I95&lt;&gt;"","   INJECTED BY: "&amp;'Excercise - Al '!I95,"")&amp;IF('Excercise - Al '!J95&lt;&gt;"","   SEND TO: "&amp;'Excercise - Al '!J95,"")</f>
        <v>MODE: Email   INJECTED BY: TF S2   SEND TO: JOC, J2</v>
      </c>
      <c r="F95" s="85" t="str">
        <f>IF('Excercise - Al '!K95&lt;&gt;"","STORYLINE: "&amp;'Excercise - Al '!K95,"")&amp;IF('Excercise - Al '!M95&lt;&gt;"","   DESCRIPTION: "&amp;'Excercise - Al '!M95,"")&amp;IF('Excercise - Al '!O95&lt;&gt;"","   NOTES/REMARKS: "&amp;'Excercise - Al '!O95,"")&amp;IF('Excercise - Al '!Q95&lt;&gt;"","   BACKGROUND INFO: "&amp;'Excercise - Al '!Q95,"")</f>
        <v xml:space="preserve">   DESCRIPTION: Weather Update/Storm Track</v>
      </c>
      <c r="G95" s="85" t="str">
        <f>IF('Excercise - Al '!P95&lt;&gt;"","IMPLEMENTER: "&amp;'Excercise - Al '!P95,"")</f>
        <v>IMPLEMENTER: Weather RFI from Task Force to J2</v>
      </c>
      <c r="H95" s="85" t="str">
        <f>IF('Excercise - Al '!N95&lt;&gt;"","EXPECTED ACTIONS: "&amp;'Excercise - Al '!N95,"")</f>
        <v>EXPECTED ACTIONS: J2 Provides latest Weather and Storm Track to the TFs</v>
      </c>
      <c r="I95" s="85" t="str">
        <f>'Excercise - Al '!R95</f>
        <v>Houlton</v>
      </c>
    </row>
    <row r="96" spans="1:9" s="27" customFormat="1" ht="40">
      <c r="A96" s="85">
        <f>'Excercise - Al '!A96</f>
        <v>95</v>
      </c>
      <c r="B96" s="85"/>
      <c r="C96" s="86">
        <f>'Excercise - Al '!E96</f>
        <v>40302.583333333336</v>
      </c>
      <c r="D96" s="85" t="str">
        <f>IF('Excercise - Al '!F96&lt;&gt;0,'Excercise - Al '!F96,"")</f>
        <v>RFI</v>
      </c>
      <c r="E96" s="85" t="str">
        <f>IF('Excercise - Al '!G96&lt;&gt;"","MODE: "&amp;'Excercise - Al '!G96,"")&amp;IF('Excercise - Al '!H96&lt;&gt;"","   FROM: "&amp;'Excercise - Al '!H96,"")&amp;IF('Excercise - Al '!I96&lt;&gt;"","   INJECTED BY: "&amp;'Excercise - Al '!I96,"")&amp;IF('Excercise - Al '!J96&lt;&gt;"","   SEND TO: "&amp;'Excercise - Al '!J96,"")</f>
        <v>MODE: Email   INJECTED BY: MCLEOD   SEND TO: CFMO</v>
      </c>
      <c r="F96" s="85" t="str">
        <f>IF('Excercise - Al '!K96&lt;&gt;"","STORYLINE: "&amp;'Excercise - Al '!K96,"")&amp;IF('Excercise - Al '!M96&lt;&gt;"","   DESCRIPTION: "&amp;'Excercise - Al '!M96,"")&amp;IF('Excercise - Al '!O96&lt;&gt;"","   NOTES/REMARKS: "&amp;'Excercise - Al '!O96,"")&amp;IF('Excercise - Al '!Q96&lt;&gt;"","   BACKGROUND INFO: "&amp;'Excercise - Al '!Q96,"")</f>
        <v>STORYLINE: Provide information as to what armories are under construction.  Specifically in areas of the projected landfall, or planned staging areas.   DESCRIPTION: SA</v>
      </c>
      <c r="G96" s="85" t="str">
        <f>IF('Excercise - Al '!P96&lt;&gt;"","IMPLEMENTER: "&amp;'Excercise - Al '!P96,"")</f>
        <v>IMPLEMENTER: Provide information as to what armories are under construction.  Specifically in areas of the projected landfall, or planned staging areas.</v>
      </c>
      <c r="H96" s="85" t="str">
        <f>IF('Excercise - Al '!N96&lt;&gt;"","EXPECTED ACTIONS: "&amp;'Excercise - Al '!N96,"")</f>
        <v/>
      </c>
      <c r="I96" s="85" t="str">
        <f>'Excercise - Al '!R96</f>
        <v>McLeod</v>
      </c>
    </row>
    <row r="97" spans="1:9" s="27" customFormat="1" ht="230">
      <c r="A97" s="85">
        <f>'Excercise - Al '!A97</f>
        <v>96</v>
      </c>
      <c r="B97" s="85"/>
      <c r="C97" s="86">
        <f>'Excercise - Al '!E97</f>
        <v>40302.584027777775</v>
      </c>
      <c r="D97" s="85" t="str">
        <f>IF('Excercise - Al '!F97&lt;&gt;0,'Excercise - Al '!F97,"")</f>
        <v>INFO - Train Derailment</v>
      </c>
      <c r="E97" s="85" t="str">
        <f>IF('Excercise - Al '!G97&lt;&gt;"","MODE: "&amp;'Excercise - Al '!G97,"")&amp;IF('Excercise - Al '!H97&lt;&gt;"","   FROM: "&amp;'Excercise - Al '!H97,"")&amp;IF('Excercise - Al '!I97&lt;&gt;"","   INJECTED BY: "&amp;'Excercise - Al '!I97,"")&amp;IF('Excercise - Al '!J97&lt;&gt;"","   SEND TO: "&amp;'Excercise - Al '!J97,"")</f>
        <v>MODE: Telephone   FROM: SEOC WC   INJECTED BY: SEOC LNO   SEND TO: JOC Message Center</v>
      </c>
      <c r="F97" s="85" t="str">
        <f>IF('Excercise - Al '!K97&lt;&gt;"","STORYLINE: "&amp;'Excercise - Al '!K97,"")&amp;IF('Excercise - Al '!M97&lt;&gt;"","   DESCRIPTION: "&amp;'Excercise - Al '!M97,"")&amp;IF('Excercise - Al '!O97&lt;&gt;"","   NOTES/REMARKS: "&amp;'Excercise - Al '!O97,"")&amp;IF('Excercise - Al '!Q97&lt;&gt;"","   BACKGROUND INFO: "&amp;'Excercise - Al '!Q97,"")</f>
        <v>STORYLINE: Grove Hill Train Derailment   DESCRIPTION: SEOC LNO forwards report from DPS concerning train derailment north of Grove Hill   NOTES/REMARKS: The entire purpose of ths thread is to determine if the information (which will be received from multiple sources at different levels) is passed up-line to JFHQ JOC, and then subsequently assessed by various J-Staff elements. The location of the train derailment is directly adjacent to US 43, which should be an MSR for moving troops and equipment downrange, so will J-2 and J-4 receive info and advise TAG and units accordingly?</v>
      </c>
      <c r="G97" s="85" t="str">
        <f>IF('Excercise - Al '!P97&lt;&gt;"","IMPLEMENTER: "&amp;'Excercise - Al '!P97,"")</f>
        <v>IMPLEMENTER: SEOC LNO calls to report that DPS has just given a briefing on Grove Hill train derailment. DPS stated that the derailment involved a train consisting of four diesel-electric locomotives and roughly two hundred railcars of varying types. They stated that at least a third of the rolling stock had physically left the railroad tracks as a result of the derailment. The accident involved numerous tank cars containing hazardous materials, but there is no clear indication whether any of these cars are breached or in danger of breaching. The derailment involves multiple fires, most apparently involving rail cars carrying building materials (plywood) and bulk carpet scraps. Because of the fires, thesre is considerable amount of low-hanging smoke in the area, which is slowing the efforts of emergency responders to assess damages. Until hazards can be completely assessed, a mandatory evacuation is currently underway for the towns of Grove Hill, Fulton, Dickenson, and Thomasville. US 43 is closed, and all motorists are advised to avoid Clarke County because of all the evacuation-related traffic in the vicinity of the accident.</v>
      </c>
      <c r="H97" s="85" t="str">
        <f>IF('Excercise - Al '!N97&lt;&gt;"","EXPECTED ACTIONS: "&amp;'Excercise - Al '!N97,"")</f>
        <v>EXPECTED ACTIONS: JOC Chief should notify TAG and key leaders, pertinent staff personnel and JTFs.</v>
      </c>
      <c r="I97" s="85" t="str">
        <f>'Excercise - Al '!R97</f>
        <v>Jenne</v>
      </c>
    </row>
    <row r="98" spans="1:9" s="27" customFormat="1" ht="50">
      <c r="A98" s="85">
        <f>'Excercise - Al '!A98</f>
        <v>97</v>
      </c>
      <c r="B98" s="85"/>
      <c r="C98" s="86">
        <f>'Excercise - Al '!E98</f>
        <v>40302.584722222222</v>
      </c>
      <c r="D98" s="85" t="str">
        <f>IF('Excercise - Al '!F98&lt;&gt;0,'Excercise - Al '!F98,"")</f>
        <v>INFO</v>
      </c>
      <c r="E98" s="85" t="str">
        <f>IF('Excercise - Al '!G98&lt;&gt;"","MODE: "&amp;'Excercise - Al '!G98,"")&amp;IF('Excercise - Al '!H98&lt;&gt;"","   FROM: "&amp;'Excercise - Al '!H98,"")&amp;IF('Excercise - Al '!I98&lt;&gt;"","   INJECTED BY: "&amp;'Excercise - Al '!I98,"")&amp;IF('Excercise - Al '!J98&lt;&gt;"","   SEND TO: "&amp;'Excercise - Al '!J98,"")</f>
        <v>MODE: Email   FROM: USPFO   INJECTED BY: DENNIS</v>
      </c>
      <c r="F98" s="85" t="str">
        <f>IF('Excercise - Al '!K98&lt;&gt;"","STORYLINE: "&amp;'Excercise - Al '!K98,"")&amp;IF('Excercise - Al '!M98&lt;&gt;"","   DESCRIPTION: "&amp;'Excercise - Al '!M98,"")&amp;IF('Excercise - Al '!O98&lt;&gt;"","   NOTES/REMARKS: "&amp;'Excercise - Al '!O98,"")&amp;IF('Excercise - Al '!Q98&lt;&gt;"","   BACKGROUND INFO: "&amp;'Excercise - Al '!Q98,"")</f>
        <v xml:space="preserve">   DESCRIPTION: There are no military transportation assets available, provide commercial haul to deliver 50 tents (GP Medium) to Fort Whiting.</v>
      </c>
      <c r="G98" s="85" t="str">
        <f>IF('Excercise - Al '!P98&lt;&gt;"","IMPLEMENTER: "&amp;'Excercise - Al '!P98,"")</f>
        <v>IMPLEMENTER: There are no military transportation assets available, provide commercial haul to deliver 50 tents (GP Medium) to Fort Whiting.</v>
      </c>
      <c r="H98" s="85" t="str">
        <f>IF('Excercise - Al '!N98&lt;&gt;"","EXPECTED ACTIONS: "&amp;'Excercise - Al '!N98,"")</f>
        <v>EXPECTED ACTIONS: Identify assets to be used for haul</v>
      </c>
      <c r="I98" s="85" t="str">
        <f>'Excercise - Al '!R98</f>
        <v>Therman</v>
      </c>
    </row>
    <row r="99" spans="1:9" s="27" customFormat="1" ht="40">
      <c r="A99" s="85">
        <f>'Excercise - Al '!A99</f>
        <v>98</v>
      </c>
      <c r="B99" s="85"/>
      <c r="C99" s="86">
        <f>'Excercise - Al '!E99</f>
        <v>40302.604166666664</v>
      </c>
      <c r="D99" s="85" t="str">
        <f>IF('Excercise - Al '!F99&lt;&gt;0,'Excercise - Al '!F99,"")</f>
        <v>INFO</v>
      </c>
      <c r="E99" s="85" t="str">
        <f>IF('Excercise - Al '!G99&lt;&gt;"","MODE: "&amp;'Excercise - Al '!G99,"")&amp;IF('Excercise - Al '!H99&lt;&gt;"","   FROM: "&amp;'Excercise - Al '!H99,"")&amp;IF('Excercise - Al '!I99&lt;&gt;"","   INJECTED BY: "&amp;'Excercise - Al '!I99,"")&amp;IF('Excercise - Al '!J99&lt;&gt;"","   SEND TO: "&amp;'Excercise - Al '!J99,"")</f>
        <v>MODE: Email   INJECTED BY: MCLEOD   SEND TO: CFMO</v>
      </c>
      <c r="F99" s="85" t="str">
        <f>IF('Excercise - Al '!K99&lt;&gt;"","STORYLINE: "&amp;'Excercise - Al '!K99,"")&amp;IF('Excercise - Al '!M99&lt;&gt;"","   DESCRIPTION: "&amp;'Excercise - Al '!M99,"")&amp;IF('Excercise - Al '!O99&lt;&gt;"","   NOTES/REMARKS: "&amp;'Excercise - Al '!O99,"")&amp;IF('Excercise - Al '!Q99&lt;&gt;"","   BACKGROUND INFO: "&amp;'Excercise - Al '!Q99,"")</f>
        <v xml:space="preserve">   DESCRIPTION: "X" armory is being renovated, and is not suitable for occupation before, during, or after land fall.  BPT coordinate with local/regional contractors for services at alternate locations.</v>
      </c>
      <c r="G99" s="85" t="str">
        <f>IF('Excercise - Al '!P99&lt;&gt;"","IMPLEMENTER: "&amp;'Excercise - Al '!P99,"")</f>
        <v>IMPLEMENTER: "X" armory is being renovated, and is not suitable for occupation before, during, or after land fall.  BPT coordinate with local/regional contractors for services at alternate locations.</v>
      </c>
      <c r="H99" s="85" t="str">
        <f>IF('Excercise - Al '!N99&lt;&gt;"","EXPECTED ACTIONS: "&amp;'Excercise - Al '!N99,"")</f>
        <v/>
      </c>
      <c r="I99" s="85" t="str">
        <f>'Excercise - Al '!R99</f>
        <v>McLeod</v>
      </c>
    </row>
    <row r="100" spans="1:9" s="27" customFormat="1" ht="100">
      <c r="A100" s="85">
        <f>'Excercise - Al '!A100</f>
        <v>99</v>
      </c>
      <c r="B100" s="85"/>
      <c r="C100" s="86">
        <f>'Excercise - Al '!E100</f>
        <v>40302.625</v>
      </c>
      <c r="D100" s="85" t="str">
        <f>IF('Excercise - Al '!F100&lt;&gt;0,'Excercise - Al '!F100,"")</f>
        <v>RFI - Train Derailment</v>
      </c>
      <c r="E100" s="85" t="str">
        <f>IF('Excercise - Al '!G100&lt;&gt;"","MODE: "&amp;'Excercise - Al '!G100,"")&amp;IF('Excercise - Al '!H100&lt;&gt;"","   FROM: "&amp;'Excercise - Al '!H100,"")&amp;IF('Excercise - Al '!I100&lt;&gt;"","   INJECTED BY: "&amp;'Excercise - Al '!I100,"")&amp;IF('Excercise - Al '!J100&lt;&gt;"","   SEND TO: "&amp;'Excercise - Al '!J100,"")</f>
        <v>MODE: EMITS   FROM: SEOC WC   INJECTED BY: SEOC LNO   SEND TO: JOC Message Center</v>
      </c>
      <c r="F100" s="85" t="str">
        <f>IF('Excercise - Al '!K100&lt;&gt;"","STORYLINE: "&amp;'Excercise - Al '!K100,"")&amp;IF('Excercise - Al '!M100&lt;&gt;"","   DESCRIPTION: "&amp;'Excercise - Al '!M100,"")&amp;IF('Excercise - Al '!O100&lt;&gt;"","   NOTES/REMARKS: "&amp;'Excercise - Al '!O100,"")&amp;IF('Excercise - Al '!Q100&lt;&gt;"","   BACKGROUND INFO: "&amp;'Excercise - Al '!Q100,"")</f>
        <v>STORYLINE: Grove Hill Train Derailment   DESCRIPTION: EMITS Request for Assistance for Train Derailment emergency response   NOTES/REMARKS: JOC planners may determine that a more appropriate targeting/attack method would be linear slurry drops with fixed wing aircraft (like C-130s) rather than spot attacks with helicopters. JOC may determine if slurry-equipped aircraft are available for EMACS request.</v>
      </c>
      <c r="G100" s="85" t="str">
        <f>IF('Excercise - Al '!P100&lt;&gt;"","IMPLEMENTER: "&amp;'Excercise - Al '!P100,"")</f>
        <v>IMPLEMENTER: EMITS message requests capability assessment of potential Guard capabilities to assist with train derailment north of Grove Hill. Request is to determine availability of CH-47 or UH-60 "Bambi Bucket" capability to help extinguish fires on railcars because of difficulty reaching fires with conventional fire apparatus.</v>
      </c>
      <c r="H100" s="85" t="str">
        <f>IF('Excercise - Al '!N100&lt;&gt;"","EXPECTED ACTIONS: "&amp;'Excercise - Al '!N100,"")</f>
        <v>EXPECTED ACTIONS: JOC Chief should notify TAG and key leaders, pertinent staff personnel and JTFs.</v>
      </c>
      <c r="I100" s="85" t="str">
        <f>'Excercise - Al '!R100</f>
        <v>Jenne</v>
      </c>
    </row>
    <row r="101" spans="1:9" s="27" customFormat="1" ht="40">
      <c r="A101" s="85">
        <f>'Excercise - Al '!A101</f>
        <v>100</v>
      </c>
      <c r="B101" s="85"/>
      <c r="C101" s="86">
        <f>'Excercise - Al '!E101</f>
        <v>40302.625694444447</v>
      </c>
      <c r="D101" s="85" t="str">
        <f>IF('Excercise - Al '!F101&lt;&gt;0,'Excercise - Al '!F101,"")</f>
        <v>RFI</v>
      </c>
      <c r="E101" s="85" t="str">
        <f>IF('Excercise - Al '!G101&lt;&gt;"","MODE: "&amp;'Excercise - Al '!G101,"")&amp;IF('Excercise - Al '!H101&lt;&gt;"","   FROM: "&amp;'Excercise - Al '!H101,"")&amp;IF('Excercise - Al '!I101&lt;&gt;"","   INJECTED BY: "&amp;'Excercise - Al '!I101,"")&amp;IF('Excercise - Al '!J101&lt;&gt;"","   SEND TO: "&amp;'Excercise - Al '!J101,"")</f>
        <v>MODE: Email   INJECTED BY: MCLEOD   SEND TO: CFMO</v>
      </c>
      <c r="F101" s="85" t="str">
        <f>IF('Excercise - Al '!K101&lt;&gt;"","STORYLINE: "&amp;'Excercise - Al '!K101,"")&amp;IF('Excercise - Al '!M101&lt;&gt;"","   DESCRIPTION: "&amp;'Excercise - Al '!M101,"")&amp;IF('Excercise - Al '!O101&lt;&gt;"","   NOTES/REMARKS: "&amp;'Excercise - Al '!O101,"")&amp;IF('Excercise - Al '!Q101&lt;&gt;"","   BACKGROUND INFO: "&amp;'Excercise - Al '!Q101,"")</f>
        <v>STORYLINE: Determine survivability and sustainability of select armories.  As directed by state/federal authorities.     DESCRIPTION: SA</v>
      </c>
      <c r="G101" s="85" t="str">
        <f>IF('Excercise - Al '!P101&lt;&gt;"","IMPLEMENTER: "&amp;'Excercise - Al '!P101,"")</f>
        <v xml:space="preserve">IMPLEMENTER: Determine survivability and sustainability of select armories.  As directed by state/federal authorities.  </v>
      </c>
      <c r="H101" s="85" t="str">
        <f>IF('Excercise - Al '!N101&lt;&gt;"","EXPECTED ACTIONS: "&amp;'Excercise - Al '!N101,"")</f>
        <v/>
      </c>
      <c r="I101" s="85" t="str">
        <f>'Excercise - Al '!R101</f>
        <v>McLeod</v>
      </c>
    </row>
    <row r="102" spans="1:9" s="27" customFormat="1" ht="100">
      <c r="A102" s="85">
        <f>'Excercise - Al '!A102</f>
        <v>101</v>
      </c>
      <c r="B102" s="85"/>
      <c r="C102" s="86">
        <f>'Excercise - Al '!E102</f>
        <v>40302.666666666664</v>
      </c>
      <c r="D102" s="85" t="str">
        <f>IF('Excercise - Al '!F102&lt;&gt;0,'Excercise - Al '!F102,"")</f>
        <v>RFI</v>
      </c>
      <c r="E102" s="85" t="str">
        <f>IF('Excercise - Al '!G102&lt;&gt;"","MODE: "&amp;'Excercise - Al '!G102,"")&amp;IF('Excercise - Al '!H102&lt;&gt;"","   FROM: "&amp;'Excercise - Al '!H102,"")&amp;IF('Excercise - Al '!I102&lt;&gt;"","   INJECTED BY: "&amp;'Excercise - Al '!I102,"")&amp;IF('Excercise - Al '!J102&lt;&gt;"","   SEND TO: "&amp;'Excercise - Al '!J102,"")</f>
        <v>MODE: E-mail   INJECTED BY: MCDONALD   SEND TO: JOC J-4</v>
      </c>
      <c r="F102" s="85" t="str">
        <f>IF('Excercise - Al '!K102&lt;&gt;"","STORYLINE: "&amp;'Excercise - Al '!K102,"")&amp;IF('Excercise - Al '!M102&lt;&gt;"","   DESCRIPTION: "&amp;'Excercise - Al '!M102,"")&amp;IF('Excercise - Al '!O102&lt;&gt;"","   NOTES/REMARKS: "&amp;'Excercise - Al '!O102,"")&amp;IF('Excercise - Al '!Q102&lt;&gt;"","   BACKGROUND INFO: "&amp;'Excercise - Al '!Q102,"")</f>
        <v>STORYLINE: MTS   DESCRIPTION: The JOC is tracking a two vehicle convoy on MTS until they reach the first rest stop in Greenville.</v>
      </c>
      <c r="G102" s="85" t="str">
        <f>IF('Excercise - Al '!P102&lt;&gt;"","IMPLEMENTER: "&amp;'Excercise - Al '!P102,"")</f>
        <v>IMPLEMENTER: Two vehicles convoy of generator mechanics traveling from Brundidge to Mobile to repair a 100kw generator. The convoy movement is being tracked by MTS. After reaching Greenville, AL from that point on, the convoy isn't visible on MTS and the JOC receives no response on MTS messenger. - No SAT phone available. - Unaware of personnel cellular phone.</v>
      </c>
      <c r="H102" s="85" t="str">
        <f>IF('Excercise - Al '!N102&lt;&gt;"","EXPECTED ACTIONS: "&amp;'Excercise - Al '!N102,"")</f>
        <v>EXPECTED ACTIONS: Ability to use alternative means for tracking convoy, such as; (Call in check-points)</v>
      </c>
      <c r="I102" s="85" t="str">
        <f>'Excercise - Al '!R102</f>
        <v>McDonald</v>
      </c>
    </row>
    <row r="103" spans="1:9" s="27" customFormat="1" ht="40">
      <c r="A103" s="85">
        <f>'Excercise - Al '!A103</f>
        <v>102</v>
      </c>
      <c r="B103" s="85"/>
      <c r="C103" s="86">
        <f>'Excercise - Al '!E103</f>
        <v>40302.667361111111</v>
      </c>
      <c r="D103" s="85" t="str">
        <f>IF('Excercise - Al '!F103&lt;&gt;0,'Excercise - Al '!F103,"")</f>
        <v>MISSION - BPT</v>
      </c>
      <c r="E103" s="85" t="str">
        <f>IF('Excercise - Al '!G103&lt;&gt;"","MODE: "&amp;'Excercise - Al '!G103,"")&amp;IF('Excercise - Al '!H103&lt;&gt;"","   FROM: "&amp;'Excercise - Al '!H103,"")&amp;IF('Excercise - Al '!I103&lt;&gt;"","   INJECTED BY: "&amp;'Excercise - Al '!I103,"")&amp;IF('Excercise - Al '!J103&lt;&gt;"","   SEND TO: "&amp;'Excercise - Al '!J103,"")</f>
        <v>MODE: Email   INJECTED BY: MCLEOD   SEND TO: CFMO</v>
      </c>
      <c r="F103" s="85" t="str">
        <f>IF('Excercise - Al '!K103&lt;&gt;"","STORYLINE: "&amp;'Excercise - Al '!K103,"")&amp;IF('Excercise - Al '!M103&lt;&gt;"","   DESCRIPTION: "&amp;'Excercise - Al '!M103,"")&amp;IF('Excercise - Al '!O103&lt;&gt;"","   NOTES/REMARKS: "&amp;'Excercise - Al '!O103,"")&amp;IF('Excercise - Al '!Q103&lt;&gt;"","   BACKGROUND INFO: "&amp;'Excercise - Al '!Q103,"")</f>
        <v xml:space="preserve">   DESCRIPTION: BPT send engineer assessment teams out to support JTF and or local authorities.</v>
      </c>
      <c r="G103" s="85" t="str">
        <f>IF('Excercise - Al '!P103&lt;&gt;"","IMPLEMENTER: "&amp;'Excercise - Al '!P103,"")</f>
        <v>IMPLEMENTER: BPT send engineer assessment teams out to support JTF and or local authorities.</v>
      </c>
      <c r="H103" s="85" t="str">
        <f>IF('Excercise - Al '!N103&lt;&gt;"","EXPECTED ACTIONS: "&amp;'Excercise - Al '!N103,"")</f>
        <v/>
      </c>
      <c r="I103" s="85" t="str">
        <f>'Excercise - Al '!R103</f>
        <v>McLeod</v>
      </c>
    </row>
    <row r="104" spans="1:9" s="27" customFormat="1" ht="70">
      <c r="A104" s="85">
        <f>'Excercise - Al '!A104</f>
        <v>103</v>
      </c>
      <c r="B104" s="85"/>
      <c r="C104" s="86">
        <f>'Excercise - Al '!E104</f>
        <v>40302.677083333336</v>
      </c>
      <c r="D104" s="85" t="str">
        <f>IF('Excercise - Al '!F104&lt;&gt;0,'Excercise - Al '!F104,"")</f>
        <v>INFO</v>
      </c>
      <c r="E104" s="85" t="str">
        <f>IF('Excercise - Al '!G104&lt;&gt;"","MODE: "&amp;'Excercise - Al '!G104,"")&amp;IF('Excercise - Al '!H104&lt;&gt;"","   FROM: "&amp;'Excercise - Al '!H104,"")&amp;IF('Excercise - Al '!I104&lt;&gt;"","   INJECTED BY: "&amp;'Excercise - Al '!I104,"")&amp;IF('Excercise - Al '!J104&lt;&gt;"","   SEND TO: "&amp;'Excercise - Al '!J104,"")</f>
        <v>MODE: Phone   FROM: White Cell   INJECTED BY: WHEELER   SEND TO: JOC</v>
      </c>
      <c r="F104" s="85" t="str">
        <f>IF('Excercise - Al '!K104&lt;&gt;"","STORYLINE: "&amp;'Excercise - Al '!K104,"")&amp;IF('Excercise - Al '!M104&lt;&gt;"","   DESCRIPTION: "&amp;'Excercise - Al '!M104,"")&amp;IF('Excercise - Al '!O104&lt;&gt;"","   NOTES/REMARKS: "&amp;'Excercise - Al '!O104,"")&amp;IF('Excercise - Al '!Q104&lt;&gt;"","   BACKGROUND INFO: "&amp;'Excercise - Al '!Q104,"")</f>
        <v xml:space="preserve">   DESCRIPTION: 2LT Jackson contacts 226 MEB on Armory opening inquiry. Monroeville Mayor makes a premature statement of an Armory opening on public radio.   BACKGROUND INFO: Should give PAO notification and let them make inquires with Mayors Office / Refer to State EMA</v>
      </c>
      <c r="G104" s="85" t="str">
        <f>IF('Excercise - Al '!P104&lt;&gt;"","IMPLEMENTER: "&amp;'Excercise - Al '!P104,"")</f>
        <v>IMPLEMENTER: 2LT------------, I just heard the Monroeville Mayor make a public statement on FM 89.6 that our (Det 1, 778th Mn Co) Armory will be open for the duration of the storm. He also stated that this will be the primary distribution point for water and food. Just wanted to pass this along as I am a PL with the unit and this is the first I've heard of this.</v>
      </c>
      <c r="H104" s="85" t="str">
        <f>IF('Excercise - Al '!N104&lt;&gt;"","EXPECTED ACTIONS: "&amp;'Excercise - Al '!N104,"")</f>
        <v/>
      </c>
      <c r="I104" s="85" t="str">
        <f>'Excercise - Al '!R104</f>
        <v>Wheeler</v>
      </c>
    </row>
    <row r="105" spans="1:9" s="27" customFormat="1" ht="40">
      <c r="A105" s="85">
        <f>'Excercise - Al '!A105</f>
        <v>104</v>
      </c>
      <c r="B105" s="85"/>
      <c r="C105" s="86">
        <f>'Excercise - Al '!E105</f>
        <v>40302.6875</v>
      </c>
      <c r="D105" s="85" t="str">
        <f>IF('Excercise - Al '!F105&lt;&gt;0,'Excercise - Al '!F105,"")</f>
        <v>RFI</v>
      </c>
      <c r="E105" s="85" t="str">
        <f>IF('Excercise - Al '!G105&lt;&gt;"","MODE: "&amp;'Excercise - Al '!G105,"")&amp;IF('Excercise - Al '!H105&lt;&gt;"","   FROM: "&amp;'Excercise - Al '!H105,"")&amp;IF('Excercise - Al '!I105&lt;&gt;"","   INJECTED BY: "&amp;'Excercise - Al '!I105,"")&amp;IF('Excercise - Al '!J105&lt;&gt;"","   SEND TO: "&amp;'Excercise - Al '!J105,"")</f>
        <v>MODE: Email   INJECTED BY: MCLEOD   SEND TO: CFMO</v>
      </c>
      <c r="F105" s="85" t="str">
        <f>IF('Excercise - Al '!K105&lt;&gt;"","STORYLINE: "&amp;'Excercise - Al '!K105,"")&amp;IF('Excercise - Al '!M105&lt;&gt;"","   DESCRIPTION: "&amp;'Excercise - Al '!M105,"")&amp;IF('Excercise - Al '!O105&lt;&gt;"","   NOTES/REMARKS: "&amp;'Excercise - Al '!O105,"")&amp;IF('Excercise - Al '!Q105&lt;&gt;"","   BACKGROUND INFO: "&amp;'Excercise - Al '!Q105,"")</f>
        <v xml:space="preserve">   DESCRIPTION: Provide storm surge models for anticipated areas of landfall.  </v>
      </c>
      <c r="G105" s="85" t="str">
        <f>IF('Excercise - Al '!P105&lt;&gt;"","IMPLEMENTER: "&amp;'Excercise - Al '!P105,"")</f>
        <v xml:space="preserve">IMPLEMENTER: Provide storm surge models for anticipated areas of landfall.  </v>
      </c>
      <c r="H105" s="85" t="str">
        <f>IF('Excercise - Al '!N105&lt;&gt;"","EXPECTED ACTIONS: "&amp;'Excercise - Al '!N105,"")</f>
        <v/>
      </c>
      <c r="I105" s="85" t="str">
        <f>'Excercise - Al '!R105</f>
        <v>McLeod</v>
      </c>
    </row>
    <row r="106" spans="1:9" s="27" customFormat="1" ht="140">
      <c r="A106" s="85">
        <f>'Excercise - Al '!A106</f>
        <v>105</v>
      </c>
      <c r="B106" s="85"/>
      <c r="C106" s="86">
        <f>'Excercise - Al '!E106</f>
        <v>40302.708333333336</v>
      </c>
      <c r="D106" s="85" t="str">
        <f>IF('Excercise - Al '!F106&lt;&gt;0,'Excercise - Al '!F106,"")</f>
        <v>MISSION - BPT</v>
      </c>
      <c r="E106" s="85" t="str">
        <f>IF('Excercise - Al '!G106&lt;&gt;"","MODE: "&amp;'Excercise - Al '!G106,"")&amp;IF('Excercise - Al '!H106&lt;&gt;"","   FROM: "&amp;'Excercise - Al '!H106,"")&amp;IF('Excercise - Al '!I106&lt;&gt;"","   INJECTED BY: "&amp;'Excercise - Al '!I106,"")&amp;IF('Excercise - Al '!J106&lt;&gt;"","   SEND TO: "&amp;'Excercise - Al '!J106,"")</f>
        <v>MODE: EMITS   FROM: AEMA ESF ___   INJECTED BY: SEOC LNO   SEND TO: AEMA</v>
      </c>
      <c r="F106" s="85" t="str">
        <f>IF('Excercise - Al '!K106&lt;&gt;"","STORYLINE: "&amp;'Excercise - Al '!K106,"")&amp;IF('Excercise - Al '!M106&lt;&gt;"","   DESCRIPTION: "&amp;'Excercise - Al '!M106,"")&amp;IF('Excercise - Al '!O106&lt;&gt;"","   NOTES/REMARKS: "&amp;'Excercise - Al '!O106,"")&amp;IF('Excercise - Al '!Q106&lt;&gt;"","   BACKGROUND INFO: "&amp;'Excercise - Al '!Q106,"")</f>
        <v xml:space="preserve">   DESCRIPTION: AEMA Preparations for JTF Standup</v>
      </c>
      <c r="G106" s="85" t="str">
        <f>IF('Excercise - Al '!P106&lt;&gt;"","IMPLEMENTER: "&amp;'Excercise - Al '!P106,"")</f>
        <v>IMPLEMENTER: At the request of Governor Riley, the Alabama Adjutant General has directed the Joint Force Headquarters make preparations to fully activate and deploy a Joint Task Force in support of emergency response in the region of the Hurricane AL impact area. The JTF will be tasked with Defense Support to Civilian Authorities and other specific missions as identified by the Alabama Emergency Management Division. The JFHQ will prepare an Operations Order that outlines primary mission assignments, responsibilities and parameters.  JTF personnel should report to their assigned armory / staging area for immediate RSOI and deployment to the JOA.</v>
      </c>
      <c r="H106" s="85" t="str">
        <f>IF('Excercise - Al '!N106&lt;&gt;"","EXPECTED ACTIONS: "&amp;'Excercise - Al '!N106,"")</f>
        <v/>
      </c>
      <c r="I106" s="85" t="str">
        <f>'Excercise - Al '!R106</f>
        <v>Keane</v>
      </c>
    </row>
    <row r="107" spans="1:9" s="27" customFormat="1" ht="50">
      <c r="A107" s="85">
        <f>'Excercise - Al '!A107</f>
        <v>106</v>
      </c>
      <c r="B107" s="85"/>
      <c r="C107" s="86">
        <f>'Excercise - Al '!E107</f>
        <v>40302.709027777775</v>
      </c>
      <c r="D107" s="85" t="str">
        <f>IF('Excercise - Al '!F107&lt;&gt;0,'Excercise - Al '!F107,"")</f>
        <v>INFO</v>
      </c>
      <c r="E107" s="85" t="str">
        <f>IF('Excercise - Al '!G107&lt;&gt;"","MODE: "&amp;'Excercise - Al '!G107,"")&amp;IF('Excercise - Al '!H107&lt;&gt;"","   FROM: "&amp;'Excercise - Al '!H107,"")&amp;IF('Excercise - Al '!I107&lt;&gt;"","   INJECTED BY: "&amp;'Excercise - Al '!I107,"")&amp;IF('Excercise - Al '!J107&lt;&gt;"","   SEND TO: "&amp;'Excercise - Al '!J107,"")</f>
        <v>MODE: EMITS   FROM: SEOC   INJECTED BY: SEOC LNO   SEND TO: JOC</v>
      </c>
      <c r="F107" s="85" t="str">
        <f>IF('Excercise - Al '!K107&lt;&gt;"","STORYLINE: "&amp;'Excercise - Al '!K107,"")&amp;IF('Excercise - Al '!M107&lt;&gt;"","   DESCRIPTION: "&amp;'Excercise - Al '!M107,"")&amp;IF('Excercise - Al '!O107&lt;&gt;"","   NOTES/REMARKS: "&amp;'Excercise - Al '!O107,"")&amp;IF('Excercise - Al '!Q107&lt;&gt;"","   BACKGROUND INFO: "&amp;'Excercise - Al '!Q107,"")</f>
        <v xml:space="preserve">   DESCRIPTION: AL Governor issues declares State of Emergency </v>
      </c>
      <c r="G107" s="85" t="str">
        <f>IF('Excercise - Al '!P107&lt;&gt;"","IMPLEMENTER: "&amp;'Excercise - Al '!P107,"")</f>
        <v xml:space="preserve">IMPLEMENTER: AL Governor issues declares State of Emergency </v>
      </c>
      <c r="H107" s="85" t="str">
        <f>IF('Excercise - Al '!N107&lt;&gt;"","EXPECTED ACTIONS: "&amp;'Excercise - Al '!N107,"")</f>
        <v/>
      </c>
      <c r="I107" s="85" t="str">
        <f>'Excercise - Al '!R107</f>
        <v>Keane</v>
      </c>
    </row>
    <row r="108" spans="1:9" s="27" customFormat="1" ht="50">
      <c r="A108" s="85">
        <f>'Excercise - Al '!A108</f>
        <v>107</v>
      </c>
      <c r="B108" s="85"/>
      <c r="C108" s="86">
        <f>'Excercise - Al '!E108</f>
        <v>40302.711805555555</v>
      </c>
      <c r="D108" s="85" t="str">
        <f>IF('Excercise - Al '!F108&lt;&gt;0,'Excercise - Al '!F108,"")</f>
        <v>MISSION</v>
      </c>
      <c r="E108" s="85" t="str">
        <f>IF('Excercise - Al '!G108&lt;&gt;"","MODE: "&amp;'Excercise - Al '!G108,"")&amp;IF('Excercise - Al '!H108&lt;&gt;"","   FROM: "&amp;'Excercise - Al '!H108,"")&amp;IF('Excercise - Al '!I108&lt;&gt;"","   INJECTED BY: "&amp;'Excercise - Al '!I108,"")&amp;IF('Excercise - Al '!J108&lt;&gt;"","   SEND TO: "&amp;'Excercise - Al '!J108,"")</f>
        <v>MODE: EMITS   FROM: AEMA   INJECTED BY: SEOC LNO   SEND TO: JOC</v>
      </c>
      <c r="F108" s="85" t="str">
        <f>IF('Excercise - Al '!K108&lt;&gt;"","STORYLINE: "&amp;'Excercise - Al '!K108,"")&amp;IF('Excercise - Al '!M108&lt;&gt;"","   DESCRIPTION: "&amp;'Excercise - Al '!M108,"")&amp;IF('Excercise - Al '!O108&lt;&gt;"","   NOTES/REMARKS: "&amp;'Excercise - Al '!O108,"")&amp;IF('Excercise - Al '!Q108&lt;&gt;"","   BACKGROUND INFO: "&amp;'Excercise - Al '!Q108,"")</f>
        <v xml:space="preserve">   DESCRIPTION: AEMA requests dispatch of NG LNOs to County EOCs  by 1200 5 May 2010.</v>
      </c>
      <c r="G108" s="85" t="str">
        <f>IF('Excercise - Al '!P108&lt;&gt;"","IMPLEMENTER: "&amp;'Excercise - Al '!P108,"")</f>
        <v>IMPLEMENTER: AEMA requests dispatch of NG LNOs to County EOCs  by 1200 19 May 2009.</v>
      </c>
      <c r="H108" s="85" t="str">
        <f>IF('Excercise - Al '!N108&lt;&gt;"","EXPECTED ACTIONS: "&amp;'Excercise - Al '!N108,"")</f>
        <v/>
      </c>
      <c r="I108" s="85" t="str">
        <f>'Excercise - Al '!R108</f>
        <v>Keane</v>
      </c>
    </row>
    <row r="109" spans="1:9" s="27" customFormat="1" ht="60">
      <c r="A109" s="85">
        <f>'Excercise - Al '!A109</f>
        <v>108</v>
      </c>
      <c r="B109" s="85"/>
      <c r="C109" s="86">
        <f>'Excercise - Al '!E109</f>
        <v>40302.713888888888</v>
      </c>
      <c r="D109" s="85" t="str">
        <f>IF('Excercise - Al '!F109&lt;&gt;0,'Excercise - Al '!F109,"")</f>
        <v>INFO</v>
      </c>
      <c r="E109" s="85" t="str">
        <f>IF('Excercise - Al '!G109&lt;&gt;"","MODE: "&amp;'Excercise - Al '!G109,"")&amp;IF('Excercise - Al '!H109&lt;&gt;"","   FROM: "&amp;'Excercise - Al '!H109,"")&amp;IF('Excercise - Al '!I109&lt;&gt;"","   INJECTED BY: "&amp;'Excercise - Al '!I109,"")&amp;IF('Excercise - Al '!J109&lt;&gt;"","   SEND TO: "&amp;'Excercise - Al '!J109,"")</f>
        <v>MODE: Email   FROM: Simcell - National Hurricane Center   INJECTED BY: KEANE   SEND TO: JOC, All</v>
      </c>
      <c r="F109" s="85" t="str">
        <f>IF('Excercise - Al '!K109&lt;&gt;"","STORYLINE: "&amp;'Excercise - Al '!K109,"")&amp;IF('Excercise - Al '!M109&lt;&gt;"","   DESCRIPTION: "&amp;'Excercise - Al '!M109,"")&amp;IF('Excercise - Al '!O109&lt;&gt;"","   NOTES/REMARKS: "&amp;'Excercise - Al '!O109,"")&amp;IF('Excercise - Al '!Q109&lt;&gt;"","   BACKGROUND INFO: "&amp;'Excercise - Al '!Q109,"")</f>
        <v>STORYLINE: Tropical Storm Al Update 15   DESCRIPTION: Tropical Storm Al Update 15</v>
      </c>
      <c r="G109" s="85" t="str">
        <f>IF('Excercise - Al '!P109&lt;&gt;"","IMPLEMENTER: "&amp;'Excercise - Al '!P109,"")</f>
        <v/>
      </c>
      <c r="H109" s="85" t="str">
        <f>IF('Excercise - Al '!N109&lt;&gt;"","EXPECTED ACTIONS: "&amp;'Excercise - Al '!N109,"")</f>
        <v/>
      </c>
      <c r="I109" s="85" t="str">
        <f>'Excercise - Al '!R109</f>
        <v>Keane</v>
      </c>
    </row>
    <row r="110" spans="1:9" s="27" customFormat="1" ht="50">
      <c r="A110" s="85">
        <f>'Excercise - Al '!A110</f>
        <v>109</v>
      </c>
      <c r="B110" s="85"/>
      <c r="C110" s="86">
        <f>'Excercise - Al '!E110</f>
        <v>40302.714583333334</v>
      </c>
      <c r="D110" s="85" t="str">
        <f>IF('Excercise - Al '!F110&lt;&gt;0,'Excercise - Al '!F110,"")</f>
        <v/>
      </c>
      <c r="E110" s="85" t="str">
        <f>IF('Excercise - Al '!G110&lt;&gt;"","MODE: "&amp;'Excercise - Al '!G110,"")&amp;IF('Excercise - Al '!H110&lt;&gt;"","   FROM: "&amp;'Excercise - Al '!H110,"")&amp;IF('Excercise - Al '!I110&lt;&gt;"","   INJECTED BY: "&amp;'Excercise - Al '!I110,"")&amp;IF('Excercise - Al '!J110&lt;&gt;"","   SEND TO: "&amp;'Excercise - Al '!J110,"")</f>
        <v>MODE: Email   FROM: JTF-S   INJECTED BY: KEANE   SEND TO: JOC, All</v>
      </c>
      <c r="F110" s="85" t="str">
        <f>IF('Excercise - Al '!K110&lt;&gt;"","STORYLINE: "&amp;'Excercise - Al '!K110,"")&amp;IF('Excercise - Al '!M110&lt;&gt;"","   DESCRIPTION: "&amp;'Excercise - Al '!M110,"")&amp;IF('Excercise - Al '!O110&lt;&gt;"","   NOTES/REMARKS: "&amp;'Excercise - Al '!O110,"")&amp;IF('Excercise - Al '!Q110&lt;&gt;"","   BACKGROUND INFO: "&amp;'Excercise - Al '!Q110,"")</f>
        <v/>
      </c>
      <c r="G110" s="85" t="str">
        <f>IF('Excercise - Al '!P110&lt;&gt;"","IMPLEMENTER: "&amp;'Excercise - Al '!P110,"")</f>
        <v/>
      </c>
      <c r="H110" s="85" t="str">
        <f>IF('Excercise - Al '!N110&lt;&gt;"","EXPECTED ACTIONS: "&amp;'Excercise - Al '!N110,"")</f>
        <v/>
      </c>
      <c r="I110" s="85" t="str">
        <f>'Excercise - Al '!R110</f>
        <v>Keane</v>
      </c>
    </row>
    <row r="111" spans="1:9" s="27" customFormat="1" ht="180">
      <c r="A111" s="85">
        <f>'Excercise - Al '!A111</f>
        <v>110</v>
      </c>
      <c r="B111" s="85"/>
      <c r="C111" s="86">
        <f>'Excercise - Al '!E111</f>
        <v>40302.758333333331</v>
      </c>
      <c r="D111" s="85" t="str">
        <f>IF('Excercise - Al '!F111&lt;&gt;0,'Excercise - Al '!F111,"")</f>
        <v>INFO</v>
      </c>
      <c r="E111" s="85" t="str">
        <f>IF('Excercise - Al '!G111&lt;&gt;"","MODE: "&amp;'Excercise - Al '!G111,"")&amp;IF('Excercise - Al '!H111&lt;&gt;"","   FROM: "&amp;'Excercise - Al '!H111,"")&amp;IF('Excercise - Al '!I111&lt;&gt;"","   INJECTED BY: "&amp;'Excercise - Al '!I111,"")&amp;IF('Excercise - Al '!J111&lt;&gt;"","   SEND TO: "&amp;'Excercise - Al '!J111,"")</f>
        <v>MODE: Phone   FROM: Simcell - JTF South   INJECTED BY: WHEELER   SEND TO: JTF South</v>
      </c>
      <c r="F111" s="85" t="str">
        <f>IF('Excercise - Al '!K111&lt;&gt;"","STORYLINE: "&amp;'Excercise - Al '!K111,"")&amp;IF('Excercise - Al '!M111&lt;&gt;"","   DESCRIPTION: "&amp;'Excercise - Al '!M111,"")&amp;IF('Excercise - Al '!O111&lt;&gt;"","   NOTES/REMARKS: "&amp;'Excercise - Al '!O111,"")&amp;IF('Excercise - Al '!Q111&lt;&gt;"","   BACKGROUND INFO: "&amp;'Excercise - Al '!Q111,"")</f>
        <v xml:space="preserve">STORYLINE: Soldier - Citizen Confrontation   DESCRIPTION: Sergeant L. Green reports to higher (1-117 FA BN) that while conducting his contra flow mission on I-65 at Evergreen a vehicle refused to stop and almost struck him. He stated at which time he kicked the front end of their vehicle to get their attention . He further advised that the citizen then became irate and jumped out their vehicle and a fight ensued.    NOTES/REMARKS: Sergeant L. Green reports to higher (1-117 FA BN) that while conducting his contra flow mission on I-65 at Evergreen a vehicle refused to stop and almost struck him. He stated at which time he kicked the front end of their vehicle to get their attention . He further advised that the citizen then became irate and jumped out their vehicle and a fight ensued. </v>
      </c>
      <c r="G111" s="85" t="str">
        <f>IF('Excercise - Al '!P111&lt;&gt;"","IMPLEMENTER: "&amp;'Excercise - Al '!P111,"")</f>
        <v>IMPLEMENTER: MAJ Berry (XO 1/117) to JTF-South - I just had one of my Soldiers contact me and he stated that he was at his assigned post conducting Contra flow Operations and vehicle refused to stop almost hitting him. He told me he kicked the front of the car to get the distracted drivers attention. He further stated that the driver became irate and jumped out the car, approaching him fast. He stated that he had reasonable apprehension that the citizen was going to strike him so he struck the driver in the face first. He stated that the driver then punched him in the ear and SPC Turncoat had to pull the driver off of him. He said the driver then walked back to his vehicle and stated he would sue him and the US Army for every penny they have and left the scene. I told him to stand fast and I would have his Platoon Leader in route to his location. I will provide more information when 1LT Johnson arrives at the scene.</v>
      </c>
      <c r="H111" s="85" t="str">
        <f>IF('Excercise - Al '!N111&lt;&gt;"","EXPECTED ACTIONS: "&amp;'Excercise - Al '!N111,"")</f>
        <v/>
      </c>
      <c r="I111" s="85" t="str">
        <f>'Excercise - Al '!R111</f>
        <v>Wheeler</v>
      </c>
    </row>
    <row r="112" spans="1:9" s="27" customFormat="1" ht="50">
      <c r="A112" s="85">
        <f>'Excercise - Al '!A112</f>
        <v>111</v>
      </c>
      <c r="B112" s="85"/>
      <c r="C112" s="86">
        <f>'Excercise - Al '!E112</f>
        <v>40302.760416666664</v>
      </c>
      <c r="D112" s="85" t="str">
        <f>IF('Excercise - Al '!F112&lt;&gt;0,'Excercise - Al '!F112,"")</f>
        <v>INFO</v>
      </c>
      <c r="E112" s="85" t="str">
        <f>IF('Excercise - Al '!G112&lt;&gt;"","MODE: "&amp;'Excercise - Al '!G112,"")&amp;IF('Excercise - Al '!H112&lt;&gt;"","   FROM: "&amp;'Excercise - Al '!H112,"")&amp;IF('Excercise - Al '!I112&lt;&gt;"","   INJECTED BY: "&amp;'Excercise - Al '!I112,"")&amp;IF('Excercise - Al '!J112&lt;&gt;"","   SEND TO: "&amp;'Excercise - Al '!J112,"")</f>
        <v>MODE: Email   FROM: JTF N   INJECTED BY: BENTON   SEND TO: J3</v>
      </c>
      <c r="F112" s="85" t="str">
        <f>IF('Excercise - Al '!K112&lt;&gt;"","STORYLINE: "&amp;'Excercise - Al '!K112,"")&amp;IF('Excercise - Al '!M112&lt;&gt;"","   DESCRIPTION: "&amp;'Excercise - Al '!M112,"")&amp;IF('Excercise - Al '!O112&lt;&gt;"","   NOTES/REMARKS: "&amp;'Excercise - Al '!O112,"")&amp;IF('Excercise - Al '!Q112&lt;&gt;"","   BACKGROUND INFO: "&amp;'Excercise - Al '!Q112,"")</f>
        <v xml:space="preserve">   DESCRIPTION: MVA on I-65/I-85 interchange involving 3 vehicles (2 military LMTVs and 1 civilian tractor trailer).  4 military SM injured and transported to Jackson Hospital.</v>
      </c>
      <c r="G112" s="85" t="str">
        <f>IF('Excercise - Al '!P112&lt;&gt;"","IMPLEMENTER: "&amp;'Excercise - Al '!P112,"")</f>
        <v>IMPLEMENTER: MVA on I-65/I-85 interchange involving 3 vehicles (2 military LMTVs and 1 civilian tractor trailer).  4 military personnel injured and transported to Jackson Hospital.</v>
      </c>
      <c r="H112" s="85" t="str">
        <f>IF('Excercise - Al '!N112&lt;&gt;"","EXPECTED ACTIONS: "&amp;'Excercise - Al '!N112,"")</f>
        <v/>
      </c>
      <c r="I112" s="85" t="str">
        <f>'Excercise - Al '!R112</f>
        <v>Benton</v>
      </c>
    </row>
    <row r="113" spans="1:9" s="27" customFormat="1" ht="220">
      <c r="A113" s="85">
        <f>'Excercise - Al '!A113</f>
        <v>112</v>
      </c>
      <c r="B113" s="85"/>
      <c r="C113" s="86">
        <f>'Excercise - Al '!E113</f>
        <v>40302.78125</v>
      </c>
      <c r="D113" s="85" t="str">
        <f>IF('Excercise - Al '!F113&lt;&gt;0,'Excercise - Al '!F113,"")</f>
        <v>INFO</v>
      </c>
      <c r="E113" s="85" t="str">
        <f>IF('Excercise - Al '!G113&lt;&gt;"","MODE: "&amp;'Excercise - Al '!G113,"")&amp;IF('Excercise - Al '!H113&lt;&gt;"","   FROM: "&amp;'Excercise - Al '!H113,"")&amp;IF('Excercise - Al '!I113&lt;&gt;"","   INJECTED BY: "&amp;'Excercise - Al '!I113,"")&amp;IF('Excercise - Al '!J113&lt;&gt;"","   SEND TO: "&amp;'Excercise - Al '!J113,"")</f>
        <v>MODE: Phone   FROM: Simcell (LEA)   INJECTED BY: WHEELER   SEND TO: JOC Message Center</v>
      </c>
      <c r="F113" s="85" t="str">
        <f>IF('Excercise - Al '!K113&lt;&gt;"","STORYLINE: "&amp;'Excercise - Al '!K113,"")&amp;IF('Excercise - Al '!M113&lt;&gt;"","   DESCRIPTION: "&amp;'Excercise - Al '!M113,"")&amp;IF('Excercise - Al '!O113&lt;&gt;"","   NOTES/REMARKS: "&amp;'Excercise - Al '!O113,"")&amp;IF('Excercise - Al '!Q113&lt;&gt;"","   BACKGROUND INFO: "&amp;'Excercise - Al '!Q113,"")</f>
        <v xml:space="preserve">STORYLINE: Soldier - Citizen Confrontation    DESCRIPTION: Assistant Police Chief Fitzgerald reports that Soldier questioned at scene has no signs of physical injury and has given a conflicting report. Fitzgerald states that SPC Judas Turncoat who was with SGT Green confirms the citizens statement. Fitzgerald states Soldier is in custody for Assault 3rd pending the citizen signing a warrant.     NOTES/REMARKS: Assistant Police Chief Fitzgerald reports that Soldier questioned at scene has no signs of physical injury and has given a conflicting report. Fitzgerald states that SPC Judas Turncoat who was with SGT Green confirms the citizens statement. Fitzgerald states Soldier is in custody for Assault 3rd pending the citizen signing a warrant.  </v>
      </c>
      <c r="G113" s="85" t="str">
        <f>IF('Excercise - Al '!P113&lt;&gt;"","IMPLEMENTER: "&amp;'Excercise - Al '!P113,"")</f>
        <v>IMPLEMENTER: Hi this MAJ Fitzgerald again with the Evergreen PD and I just wanted to advise you that I had to get 10-15 (arrest) with your Soldier. I have a unit in route to headquarters with your Soldier. When I arrived at the scene I took his statement and a statement from SPC Judas Turncoat. They both contradicted each other and SPC Turncoat advised that SGT Fitzgerald initiated the whole the incident. I had the convenient store owner at the corner state that she also saw the whole incident and only witnessed SGT Green striking the citizen. When I advised your Soldier he was being placed in custody, he said, "This is bullshit you can't arrest me I'm on Federal Orders working for the Army" and "You have absolutely no jurisdiction over me". I then attempted to affect an arrest and he pushed me. It then took an additional unit, SPC Turncoat, and myself to handcuff him. During the course of affecting an arrest on him he was maced, and struck several times with a collapsible baton to get him subdued. The media is now at Police Headquarters wanting a statement on what occurred.</v>
      </c>
      <c r="H113" s="85" t="str">
        <f>IF('Excercise - Al '!N113&lt;&gt;"","EXPECTED ACTIONS: "&amp;'Excercise - Al '!N113,"")</f>
        <v/>
      </c>
      <c r="I113" s="85" t="str">
        <f>'Excercise - Al '!R113</f>
        <v>Wheeler</v>
      </c>
    </row>
    <row r="114" spans="1:9" s="27" customFormat="1" ht="160">
      <c r="A114" s="85">
        <f>'Excercise - Al '!A114</f>
        <v>113</v>
      </c>
      <c r="B114" s="85"/>
      <c r="C114" s="86">
        <f>'Excercise - Al '!E114</f>
        <v>40302.791666666664</v>
      </c>
      <c r="D114" s="85" t="str">
        <f>IF('Excercise - Al '!F114&lt;&gt;0,'Excercise - Al '!F114,"")</f>
        <v>MISSION - Train Derailment</v>
      </c>
      <c r="E114" s="85" t="str">
        <f>IF('Excercise - Al '!G114&lt;&gt;"","MODE: "&amp;'Excercise - Al '!G114,"")&amp;IF('Excercise - Al '!H114&lt;&gt;"","   FROM: "&amp;'Excercise - Al '!H114,"")&amp;IF('Excercise - Al '!I114&lt;&gt;"","   INJECTED BY: "&amp;'Excercise - Al '!I114,"")&amp;IF('Excercise - Al '!J114&lt;&gt;"","   SEND TO: "&amp;'Excercise - Al '!J114,"")</f>
        <v>MODE: EMITS   FROM: SEOC WC   INJECTED BY: SEOC LNO   SEND TO: JOC Message Center</v>
      </c>
      <c r="F114" s="85" t="str">
        <f>IF('Excercise - Al '!K114&lt;&gt;"","STORYLINE: "&amp;'Excercise - Al '!K114,"")&amp;IF('Excercise - Al '!M114&lt;&gt;"","   DESCRIPTION: "&amp;'Excercise - Al '!M114,"")&amp;IF('Excercise - Al '!O114&lt;&gt;"","   NOTES/REMARKS: "&amp;'Excercise - Al '!O114,"")&amp;IF('Excercise - Al '!Q114&lt;&gt;"","   BACKGROUND INFO: "&amp;'Excercise - Al '!Q114,"")</f>
        <v>STORYLINE: Grove Hill Train Derailment   DESCRIPTION: EMITS Request for Assistance for Train Derailment emergency response   NOTES/REMARKS: The duty status of this mission should come into question, and the JAG probably brought into the discussion. This mission is received as an SAD mission, and will likely remain as such. While the train derailment occurred in the same timeframe (roughly) as the hurricane, it is not a direct result of the hurricane, thus SAD rather than T32.   BACKGROUND INFO: Because of impending hurricane landfall and associated emergency response activities, the Governor has decided that populations evacuated from Grove Hill and surrounding communities will be managed with hurricane evacuees, and will not be allowed to return until train derailment can be completely assessed and mitigated, which will likely not happen until after the hurricane has passed.</v>
      </c>
      <c r="G114" s="85" t="str">
        <f>IF('Excercise - Al '!P114&lt;&gt;"","IMPLEMENTER: "&amp;'Excercise - Al '!P114,"")</f>
        <v>IMPLEMENTER: EMITS message requests thirty personnel to establish VCPs to prevent civilians from entering evacuated areas in the vicinity of Grove Hill. Mission is SAD, anticipated duration is four days. Element is required to be self-sustaining for duration of mission.</v>
      </c>
      <c r="H114" s="85" t="str">
        <f>IF('Excercise - Al '!N114&lt;&gt;"","EXPECTED ACTIONS: "&amp;'Excercise - Al '!N114,"")</f>
        <v/>
      </c>
      <c r="I114" s="85" t="str">
        <f>'Excercise - Al '!R114</f>
        <v>Jenne</v>
      </c>
    </row>
    <row r="115" spans="1:9" s="27" customFormat="1" ht="50">
      <c r="A115" s="85">
        <f>'Excercise - Al '!A115</f>
        <v>114</v>
      </c>
      <c r="B115" s="85"/>
      <c r="C115" s="86">
        <f>'Excercise - Al '!E115</f>
        <v>40302.822916666664</v>
      </c>
      <c r="D115" s="85" t="str">
        <f>IF('Excercise - Al '!F115&lt;&gt;0,'Excercise - Al '!F115,"")</f>
        <v>RFI</v>
      </c>
      <c r="E115" s="85" t="str">
        <f>IF('Excercise - Al '!G115&lt;&gt;"","MODE: "&amp;'Excercise - Al '!G115,"")&amp;IF('Excercise - Al '!H115&lt;&gt;"","   FROM: "&amp;'Excercise - Al '!H115,"")&amp;IF('Excercise - Al '!I115&lt;&gt;"","   INJECTED BY: "&amp;'Excercise - Al '!I115,"")&amp;IF('Excercise - Al '!J115&lt;&gt;"","   SEND TO: "&amp;'Excercise - Al '!J115,"")</f>
        <v>MODE: RFA   FROM: White Cell - JTF South   INJECTED BY: WHEELER   SEND TO: JOC</v>
      </c>
      <c r="F115" s="85" t="str">
        <f>IF('Excercise - Al '!K115&lt;&gt;"","STORYLINE: "&amp;'Excercise - Al '!K115,"")&amp;IF('Excercise - Al '!M115&lt;&gt;"","   DESCRIPTION: "&amp;'Excercise - Al '!M115,"")&amp;IF('Excercise - Al '!O115&lt;&gt;"","   NOTES/REMARKS: "&amp;'Excercise - Al '!O115,"")&amp;IF('Excercise - Al '!Q115&lt;&gt;"","   BACKGROUND INFO: "&amp;'Excercise - Al '!Q115,"")</f>
        <v xml:space="preserve">   DESCRIPTION: Need SINCGARS batteries for manpack radios.</v>
      </c>
      <c r="G115" s="85" t="str">
        <f>IF('Excercise - Al '!P115&lt;&gt;"","IMPLEMENTER: "&amp;'Excercise - Al '!P115,"")</f>
        <v>IMPLEMENTER: Request 600 batteries for Manpack Radios (AN/PRC-150 or D Model SINCGARS) delivered to Fort Whiting in anticipation of manning security check points</v>
      </c>
      <c r="H115" s="85" t="str">
        <f>IF('Excercise - Al '!N115&lt;&gt;"","EXPECTED ACTIONS: "&amp;'Excercise - Al '!N115,"")</f>
        <v/>
      </c>
      <c r="I115" s="85" t="str">
        <f>'Excercise - Al '!R115</f>
        <v>Wheeler</v>
      </c>
    </row>
    <row r="116" spans="1:9" s="27" customFormat="1" ht="50">
      <c r="A116" s="85">
        <f>'Excercise - Al '!A116</f>
        <v>115</v>
      </c>
      <c r="B116" s="85"/>
      <c r="C116" s="86">
        <f>'Excercise - Al '!E116</f>
        <v>40302.823611111111</v>
      </c>
      <c r="D116" s="85" t="str">
        <f>IF('Excercise - Al '!F116&lt;&gt;0,'Excercise - Al '!F116,"")</f>
        <v>RFI</v>
      </c>
      <c r="E116" s="85" t="str">
        <f>IF('Excercise - Al '!G116&lt;&gt;"","MODE: "&amp;'Excercise - Al '!G116,"")&amp;IF('Excercise - Al '!H116&lt;&gt;"","   FROM: "&amp;'Excercise - Al '!H116,"")&amp;IF('Excercise - Al '!I116&lt;&gt;"","   INJECTED BY: "&amp;'Excercise - Al '!I116,"")&amp;IF('Excercise - Al '!J116&lt;&gt;"","   SEND TO: "&amp;'Excercise - Al '!J116,"")</f>
        <v>MODE: Email   FROM: JTF S   INJECTED BY: TOMBERLIN   SEND TO: Chaplain</v>
      </c>
      <c r="F116" s="85" t="str">
        <f>IF('Excercise - Al '!K116&lt;&gt;"","STORYLINE: "&amp;'Excercise - Al '!K116,"")&amp;IF('Excercise - Al '!M116&lt;&gt;"","   DESCRIPTION: "&amp;'Excercise - Al '!M116,"")&amp;IF('Excercise - Al '!O116&lt;&gt;"","   NOTES/REMARKS: "&amp;'Excercise - Al '!O116,"")&amp;IF('Excercise - Al '!Q116&lt;&gt;"","   BACKGROUND INFO: "&amp;'Excercise - Al '!Q116,"")</f>
        <v xml:space="preserve">   DESCRIPTION: Soldier's father calls the American Red Cross Shelters trying to contact his son who is deployed to Mobile area.  </v>
      </c>
      <c r="G116" s="85" t="str">
        <f>IF('Excercise - Al '!P116&lt;&gt;"","IMPLEMENTER: "&amp;'Excercise - Al '!P116,"")</f>
        <v>IMPLEMENTER: Soldier's father calls the American Red Cross Shelters trying to contact his son who is deployed to Mobile area.  He wants to send a Red Cross message that his Mother has died suddenly.</v>
      </c>
      <c r="H116" s="85" t="str">
        <f>IF('Excercise - Al '!N116&lt;&gt;"","EXPECTED ACTIONS: "&amp;'Excercise - Al '!N116,"")</f>
        <v/>
      </c>
      <c r="I116" s="85" t="str">
        <f>'Excercise - Al '!R116</f>
        <v>Benton</v>
      </c>
    </row>
    <row r="117" spans="1:9" s="27" customFormat="1" ht="100">
      <c r="A117" s="85">
        <f>'Excercise - Al '!A117</f>
        <v>116</v>
      </c>
      <c r="B117" s="85"/>
      <c r="C117" s="86">
        <f>'Excercise - Al '!E117</f>
        <v>40302.826388888891</v>
      </c>
      <c r="D117" s="85" t="str">
        <f>IF('Excercise - Al '!F117&lt;&gt;0,'Excercise - Al '!F117,"")</f>
        <v>INFO</v>
      </c>
      <c r="E117" s="85" t="str">
        <f>IF('Excercise - Al '!G117&lt;&gt;"","MODE: "&amp;'Excercise - Al '!G117,"")&amp;IF('Excercise - Al '!H117&lt;&gt;"","   FROM: "&amp;'Excercise - Al '!H117,"")&amp;IF('Excercise - Al '!I117&lt;&gt;"","   INJECTED BY: "&amp;'Excercise - Al '!I117,"")&amp;IF('Excercise - Al '!J117&lt;&gt;"","   SEND TO: "&amp;'Excercise - Al '!J117,"")</f>
        <v>MODE: Phone   FROM: Simcell (LEA)   INJECTED BY: TOMBERLIN   SEND TO: JOC Message Center</v>
      </c>
      <c r="F117" s="85" t="str">
        <f>IF('Excercise - Al '!K117&lt;&gt;"","STORYLINE: "&amp;'Excercise - Al '!K117,"")&amp;IF('Excercise - Al '!M117&lt;&gt;"","   DESCRIPTION: "&amp;'Excercise - Al '!M117,"")&amp;IF('Excercise - Al '!O117&lt;&gt;"","   NOTES/REMARKS: "&amp;'Excercise - Al '!O117,"")&amp;IF('Excercise - Al '!Q117&lt;&gt;"","   BACKGROUND INFO: "&amp;'Excercise - Al '!Q117,"")</f>
        <v>STORYLINE: Soldier - Citizen Confrontation    DESCRIPTION: Reporter from the Montgomery Advertiser wants  to speak with Army Public Affairs in reference to Soldiers arrest in Evergreen.</v>
      </c>
      <c r="G117" s="85" t="str">
        <f>IF('Excercise - Al '!P117&lt;&gt;"","IMPLEMENTER: "&amp;'Excercise - Al '!P117,"")</f>
        <v>IMPLEMENTER: Reporter from the Montgomery Advertiser who also states he is a freelance writer for the associated press wants  to speak with Army Public Affairs in reference to Soldiers arrest in Evergreen. He stated he has already spoken with the Evergreen Police Department, the alleged assaulted citizen, and two witnesses (Soldier and Convenient Store Owner). He stated that he wants the Army National Guard official position and statement before he goes to press with the story.</v>
      </c>
      <c r="H117" s="85" t="str">
        <f>IF('Excercise - Al '!N117&lt;&gt;"","EXPECTED ACTIONS: "&amp;'Excercise - Al '!N117,"")</f>
        <v/>
      </c>
      <c r="I117" s="85" t="str">
        <f>'Excercise - Al '!R117</f>
        <v>Wheeler</v>
      </c>
    </row>
    <row r="118" spans="1:9" s="27" customFormat="1" ht="140">
      <c r="A118" s="85">
        <f>'Excercise - Al '!A118</f>
        <v>117</v>
      </c>
      <c r="B118" s="85"/>
      <c r="C118" s="86">
        <f>'Excercise - Al '!E118</f>
        <v>40302.916666666664</v>
      </c>
      <c r="D118" s="85" t="str">
        <f>IF('Excercise - Al '!F118&lt;&gt;0,'Excercise - Al '!F118,"")</f>
        <v>INFO</v>
      </c>
      <c r="E118" s="85" t="str">
        <f>IF('Excercise - Al '!G118&lt;&gt;"","MODE: "&amp;'Excercise - Al '!G118,"")&amp;IF('Excercise - Al '!H118&lt;&gt;"","   FROM: "&amp;'Excercise - Al '!H118,"")&amp;IF('Excercise - Al '!I118&lt;&gt;"","   INJECTED BY: "&amp;'Excercise - Al '!I118,"")&amp;IF('Excercise - Al '!J118&lt;&gt;"","   SEND TO: "&amp;'Excercise - Al '!J118,"")</f>
        <v>MODE: Email   FROM: Simcell - National Hurricane Center   INJECTED BY: KEANE   SEND TO: JOC, All</v>
      </c>
      <c r="F118" s="85" t="str">
        <f>IF('Excercise - Al '!K118&lt;&gt;"","STORYLINE: "&amp;'Excercise - Al '!K118,"")&amp;IF('Excercise - Al '!M118&lt;&gt;"","   DESCRIPTION: "&amp;'Excercise - Al '!M118,"")&amp;IF('Excercise - Al '!O118&lt;&gt;"","   NOTES/REMARKS: "&amp;'Excercise - Al '!O118,"")&amp;IF('Excercise - Al '!Q118&lt;&gt;"","   BACKGROUND INFO: "&amp;'Excercise - Al '!Q118,"")</f>
        <v>STORYLINE: Tropical Storm Al Update 16   DESCRIPTION: Tropical Storm Al Update 16</v>
      </c>
      <c r="G118" s="85" t="str">
        <f>IF('Excercise - Al '!P118&lt;&gt;"","IMPLEMENTER: "&amp;'Excercise - Al '!P118,"")</f>
        <v>IMPLEMENTER: _x000D_... HURRICANE AL ...NOW A CATEGORY THREE...SHIFTS NORTHWARD..._x000D__x000D__x000D_SUMMARY OF 2300 PM EDT...0300 UTC...INFORMATION_x000D_-----------------------------------------------_x000D_LOCATION...24.7N 88.3W_x000D_ABOUT 261 MILES...421 KM...NORTH-NORTHWEST OF CANCUN MEXICO_x000D_ABOUT 392 MILES...631 KM...WEST-NORTHWEST OF HAVANA CUBA_x000D_ABOUT 412 MILES...664 KM...SOUTH OF MOBILE ALABAMA_x000D_MAXIMUM SUSTAINED WINDS...120 MPH...193 KM/HR_x000D_PRESENT MOVEMENT...NNW OR 334 DEGREES AT 14 MPH...23 KM/HR_x000D_MINIMUM CENTRAL PRESSURE...960 MB...28.35 INCHES_x000D__x000D_</v>
      </c>
      <c r="H118" s="85" t="str">
        <f>IF('Excercise - Al '!N118&lt;&gt;"","EXPECTED ACTIONS: "&amp;'Excercise - Al '!N118,"")</f>
        <v/>
      </c>
      <c r="I118" s="85" t="str">
        <f>'Excercise - Al '!R118</f>
        <v>Keane</v>
      </c>
    </row>
    <row r="119" spans="1:9" s="27" customFormat="1" ht="140">
      <c r="A119" s="85">
        <f>'Excercise - Al '!A119</f>
        <v>118</v>
      </c>
      <c r="B119" s="85"/>
      <c r="C119" s="86">
        <f>'Excercise - Al '!E119</f>
        <v>40303.166666666664</v>
      </c>
      <c r="D119" s="85" t="str">
        <f>IF('Excercise - Al '!F119&lt;&gt;0,'Excercise - Al '!F119,"")</f>
        <v>INFO</v>
      </c>
      <c r="E119" s="85" t="str">
        <f>IF('Excercise - Al '!G119&lt;&gt;"","MODE: "&amp;'Excercise - Al '!G119,"")&amp;IF('Excercise - Al '!H119&lt;&gt;"","   FROM: "&amp;'Excercise - Al '!H119,"")&amp;IF('Excercise - Al '!I119&lt;&gt;"","   INJECTED BY: "&amp;'Excercise - Al '!I119,"")&amp;IF('Excercise - Al '!J119&lt;&gt;"","   SEND TO: "&amp;'Excercise - Al '!J119,"")</f>
        <v>MODE: Email   FROM: Simcell - National Hurricane Center   INJECTED BY: KEANE   SEND TO: JOC, All</v>
      </c>
      <c r="F119" s="85" t="str">
        <f>IF('Excercise - Al '!K119&lt;&gt;"","STORYLINE: "&amp;'Excercise - Al '!K119,"")&amp;IF('Excercise - Al '!M119&lt;&gt;"","   DESCRIPTION: "&amp;'Excercise - Al '!M119,"")&amp;IF('Excercise - Al '!O119&lt;&gt;"","   NOTES/REMARKS: "&amp;'Excercise - Al '!O119,"")&amp;IF('Excercise - Al '!Q119&lt;&gt;"","   BACKGROUND INFO: "&amp;'Excercise - Al '!Q119,"")</f>
        <v>STORYLINE: Tropical Storm Al Update 17   DESCRIPTION: Tropical Storm Al Update 17</v>
      </c>
      <c r="G119" s="85" t="str">
        <f>IF('Excercise - Al '!P119&lt;&gt;"","IMPLEMENTER: "&amp;'Excercise - Al '!P119,"")</f>
        <v>IMPLEMENTER: _x000D_...HURRICANE AL MOVING TOWARD THE NEW ORLEANS..._x000D__x000D__x000D_SUMMARY OF 500 AM EDT...0900 UTC...INFORMATION_x000D_-----------------------------------------------_x000D_LOCATION...25.8N 88.8W_x000D_ABOUT 338 MILES...544 KM...SOUTH OF MOBILE ALABAMA_x000D_ABOUT 445 MILES...717 KM...WEST-NORTHWEST OF HAVANA CUBA_x000D_ABOUT 546 MILES...879 KM...EAST-SOUTHEAST OF CORPUS CHRISTI TEXAS_x000D_MAXIMUM SUSTAINED WINDS...120 MPH...193 KM/HR_x000D_PRESENT MOVEMENT...NORTHERLY OR 351 DEGREES AT 16 MPH...26 KM/HR_x000D_MINIMUM CENTRAL PRESSURE...959 MB...28.32 INCHES_x000D__x000D_</v>
      </c>
      <c r="H119" s="85" t="str">
        <f>IF('Excercise - Al '!N119&lt;&gt;"","EXPECTED ACTIONS: "&amp;'Excercise - Al '!N119,"")</f>
        <v/>
      </c>
      <c r="I119" s="85" t="str">
        <f>'Excercise - Al '!R119</f>
        <v>Keane</v>
      </c>
    </row>
    <row r="120" spans="1:9" s="27" customFormat="1" ht="30">
      <c r="A120" s="85">
        <f>'Excercise - Al '!A120</f>
        <v>119</v>
      </c>
      <c r="B120" s="85"/>
      <c r="C120" s="86">
        <f>'Excercise - Al '!E120</f>
        <v>40303.208333333336</v>
      </c>
      <c r="D120" s="85" t="str">
        <f>IF('Excercise - Al '!F120&lt;&gt;0,'Excercise - Al '!F120,"")</f>
        <v>31st CHEM BDE - Activates the 1165th and 690th</v>
      </c>
      <c r="E120" s="85" t="str">
        <f>IF('Excercise - Al '!G120&lt;&gt;"","MODE: "&amp;'Excercise - Al '!G120,"")&amp;IF('Excercise - Al '!H120&lt;&gt;"","   FROM: "&amp;'Excercise - Al '!H120,"")&amp;IF('Excercise - Al '!I120&lt;&gt;"","   INJECTED BY: "&amp;'Excercise - Al '!I120,"")&amp;IF('Excercise - Al '!J120&lt;&gt;"","   SEND TO: "&amp;'Excercise - Al '!J120,"")</f>
        <v>MODE: Not Injected</v>
      </c>
      <c r="F120" s="85" t="str">
        <f>IF('Excercise - Al '!K120&lt;&gt;"","STORYLINE: "&amp;'Excercise - Al '!K120,"")&amp;IF('Excercise - Al '!M120&lt;&gt;"","   DESCRIPTION: "&amp;'Excercise - Al '!M120,"")&amp;IF('Excercise - Al '!O120&lt;&gt;"","   NOTES/REMARKS: "&amp;'Excercise - Al '!O120,"")&amp;IF('Excercise - Al '!Q120&lt;&gt;"","   BACKGROUND INFO: "&amp;'Excercise - Al '!Q120,"")</f>
        <v/>
      </c>
      <c r="G120" s="85" t="str">
        <f>IF('Excercise - Al '!P120&lt;&gt;"","IMPLEMENTER: "&amp;'Excercise - Al '!P120,"")</f>
        <v/>
      </c>
      <c r="H120" s="85" t="str">
        <f>IF('Excercise - Al '!N120&lt;&gt;"","EXPECTED ACTIONS: "&amp;'Excercise - Al '!N120,"")</f>
        <v/>
      </c>
      <c r="I120" s="85" t="str">
        <f>'Excercise - Al '!R120</f>
        <v>Napier</v>
      </c>
    </row>
    <row r="121" spans="1:9" s="27" customFormat="1" ht="40">
      <c r="A121" s="85">
        <f>'Excercise - Al '!A121</f>
        <v>120</v>
      </c>
      <c r="B121" s="85"/>
      <c r="C121" s="86">
        <f>'Excercise - Al '!E121</f>
        <v>40303.208333333336</v>
      </c>
      <c r="D121" s="85" t="str">
        <f>IF('Excercise - Al '!F121&lt;&gt;0,'Excercise - Al '!F121,"")</f>
        <v>31st CHEM BDE - Monitors Convoy for 1165th from Fairhope to Fort Whiting</v>
      </c>
      <c r="E121" s="85" t="str">
        <f>IF('Excercise - Al '!G121&lt;&gt;"","MODE: "&amp;'Excercise - Al '!G121,"")&amp;IF('Excercise - Al '!H121&lt;&gt;"","   FROM: "&amp;'Excercise - Al '!H121,"")&amp;IF('Excercise - Al '!I121&lt;&gt;"","   INJECTED BY: "&amp;'Excercise - Al '!I121,"")&amp;IF('Excercise - Al '!J121&lt;&gt;"","   SEND TO: "&amp;'Excercise - Al '!J121,"")</f>
        <v>MODE: Not Injected</v>
      </c>
      <c r="F121" s="85" t="str">
        <f>IF('Excercise - Al '!K121&lt;&gt;"","STORYLINE: "&amp;'Excercise - Al '!K121,"")&amp;IF('Excercise - Al '!M121&lt;&gt;"","   DESCRIPTION: "&amp;'Excercise - Al '!M121,"")&amp;IF('Excercise - Al '!O121&lt;&gt;"","   NOTES/REMARKS: "&amp;'Excercise - Al '!O121,"")&amp;IF('Excercise - Al '!Q121&lt;&gt;"","   BACKGROUND INFO: "&amp;'Excercise - Al '!Q121,"")</f>
        <v/>
      </c>
      <c r="G121" s="85" t="str">
        <f>IF('Excercise - Al '!P121&lt;&gt;"","IMPLEMENTER: "&amp;'Excercise - Al '!P121,"")</f>
        <v/>
      </c>
      <c r="H121" s="85" t="str">
        <f>IF('Excercise - Al '!N121&lt;&gt;"","EXPECTED ACTIONS: "&amp;'Excercise - Al '!N121,"")</f>
        <v/>
      </c>
      <c r="I121" s="85" t="str">
        <f>'Excercise - Al '!R121</f>
        <v>Napier</v>
      </c>
    </row>
    <row r="122" spans="1:9" s="27" customFormat="1" ht="50">
      <c r="A122" s="85">
        <f>'Excercise - Al '!A122</f>
        <v>121</v>
      </c>
      <c r="B122" s="85"/>
      <c r="C122" s="86">
        <f>'Excercise - Al '!E122</f>
        <v>40303.291666666664</v>
      </c>
      <c r="D122" s="85" t="str">
        <f>IF('Excercise - Al '!F122&lt;&gt;0,'Excercise - Al '!F122,"")</f>
        <v>MISSION</v>
      </c>
      <c r="E122" s="85" t="str">
        <f>IF('Excercise - Al '!G122&lt;&gt;"","MODE: "&amp;'Excercise - Al '!G122,"")&amp;IF('Excercise - Al '!H122&lt;&gt;"","   FROM: "&amp;'Excercise - Al '!H122,"")&amp;IF('Excercise - Al '!I122&lt;&gt;"","   INJECTED BY: "&amp;'Excercise - Al '!I122,"")&amp;IF('Excercise - Al '!J122&lt;&gt;"","   SEND TO: "&amp;'Excercise - Al '!J122,"")</f>
        <v>MODE: EMITS   FROM: AEMA   INJECTED BY: SEOC LNO   SEND TO: JOC</v>
      </c>
      <c r="F122" s="85" t="str">
        <f>IF('Excercise - Al '!K122&lt;&gt;"","STORYLINE: "&amp;'Excercise - Al '!K122,"")&amp;IF('Excercise - Al '!M122&lt;&gt;"","   DESCRIPTION: "&amp;'Excercise - Al '!M122,"")&amp;IF('Excercise - Al '!O122&lt;&gt;"","   NOTES/REMARKS: "&amp;'Excercise - Al '!O122,"")&amp;IF('Excercise - Al '!Q122&lt;&gt;"","   BACKGROUND INFO: "&amp;'Excercise - Al '!Q122,"")</f>
        <v xml:space="preserve">   DESCRIPTION: AEMA issues sandbagging mission</v>
      </c>
      <c r="G122" s="85" t="str">
        <f>IF('Excercise - Al '!P122&lt;&gt;"","IMPLEMENTER: "&amp;'Excercise - Al '!P122,"")</f>
        <v>IMPLEMENTER: AEMA issues mission for 200 personnel to assist with sandbagging in Mobile; anticipate mission duration of 24 hours.</v>
      </c>
      <c r="H122" s="85" t="str">
        <f>IF('Excercise - Al '!N122&lt;&gt;"","EXPECTED ACTIONS: "&amp;'Excercise - Al '!N122,"")</f>
        <v/>
      </c>
      <c r="I122" s="85" t="str">
        <f>'Excercise - Al '!R122</f>
        <v>Keane</v>
      </c>
    </row>
    <row r="123" spans="1:9" s="27" customFormat="1" ht="100">
      <c r="A123" s="85">
        <f>'Excercise - Al '!A123</f>
        <v>122</v>
      </c>
      <c r="B123" s="85"/>
      <c r="C123" s="86">
        <f>'Excercise - Al '!E123</f>
        <v>40303.3125</v>
      </c>
      <c r="D123" s="85" t="str">
        <f>IF('Excercise - Al '!F123&lt;&gt;0,'Excercise - Al '!F123,"")</f>
        <v>MISSION - Holman Prison</v>
      </c>
      <c r="E123" s="85" t="str">
        <f>IF('Excercise - Al '!G123&lt;&gt;"","MODE: "&amp;'Excercise - Al '!G123,"")&amp;IF('Excercise - Al '!H123&lt;&gt;"","   FROM: "&amp;'Excercise - Al '!H123,"")&amp;IF('Excercise - Al '!I123&lt;&gt;"","   INJECTED BY: "&amp;'Excercise - Al '!I123,"")&amp;IF('Excercise - Al '!J123&lt;&gt;"","   SEND TO: "&amp;'Excercise - Al '!J123,"")</f>
        <v>MODE: EMITS   FROM: SEOC   INJECTED BY: SEOC LNO   SEND TO: JOC Message Center</v>
      </c>
      <c r="F123" s="85" t="str">
        <f>IF('Excercise - Al '!K123&lt;&gt;"","STORYLINE: "&amp;'Excercise - Al '!K123,"")&amp;IF('Excercise - Al '!M123&lt;&gt;"","   DESCRIPTION: "&amp;'Excercise - Al '!M123,"")&amp;IF('Excercise - Al '!O123&lt;&gt;"","   NOTES/REMARKS: "&amp;'Excercise - Al '!O123,"")&amp;IF('Excercise - Al '!Q123&lt;&gt;"","   BACKGROUND INFO: "&amp;'Excercise - Al '!Q123,"")</f>
        <v>STORYLINE: Holman Prison Blues   DESCRIPTION: EMITS request to provide security assistance to Holman Prison</v>
      </c>
      <c r="G123" s="85" t="str">
        <f>IF('Excercise - Al '!P123&lt;&gt;"","IMPLEMENTER: "&amp;'Excercise - Al '!P123,"")</f>
        <v>IMPLEMENTER: Request is for company-sized element (100 -150 personnel) to establish VCPs, roadblocks and blocking positions on external perimeter to prevent external forces from entering prison compound and providing assistance to prisoners.  Force must be configured to physically stop vehicles (including armored cars).  Request indicates potential for follow-on mission within prison to assist guards in physically segregating prisoners.  Status is SAD; anticipated duration is 72 hours.</v>
      </c>
      <c r="H123" s="85" t="str">
        <f>IF('Excercise - Al '!N123&lt;&gt;"","EXPECTED ACTIONS: "&amp;'Excercise - Al '!N123,"")</f>
        <v/>
      </c>
      <c r="I123" s="85" t="str">
        <f>'Excercise - Al '!R123</f>
        <v>Jenne</v>
      </c>
    </row>
    <row r="124" spans="1:9" s="27" customFormat="1" ht="70">
      <c r="A124" s="85">
        <f>'Excercise - Al '!A124</f>
        <v>123</v>
      </c>
      <c r="B124" s="85"/>
      <c r="C124" s="86">
        <f>'Excercise - Al '!E124</f>
        <v>40303.333333333336</v>
      </c>
      <c r="D124" s="85" t="str">
        <f>IF('Excercise - Al '!F124&lt;&gt;0,'Excercise - Al '!F124,"")</f>
        <v xml:space="preserve">31st CHEM BDE - During 1165th convoy to Fort Whiting rear axle on a HMMWV busted and broke down on the Bay Bridge </v>
      </c>
      <c r="E124" s="85" t="str">
        <f>IF('Excercise - Al '!G124&lt;&gt;"","MODE: "&amp;'Excercise - Al '!G124,"")&amp;IF('Excercise - Al '!H124&lt;&gt;"","   FROM: "&amp;'Excercise - Al '!H124,"")&amp;IF('Excercise - Al '!I124&lt;&gt;"","   INJECTED BY: "&amp;'Excercise - Al '!I124,"")&amp;IF('Excercise - Al '!J124&lt;&gt;"","   SEND TO: "&amp;'Excercise - Al '!J124,"")</f>
        <v>MODE: Inject</v>
      </c>
      <c r="F124" s="85" t="str">
        <f>IF('Excercise - Al '!K124&lt;&gt;"","STORYLINE: "&amp;'Excercise - Al '!K124,"")&amp;IF('Excercise - Al '!M124&lt;&gt;"","   DESCRIPTION: "&amp;'Excercise - Al '!M124,"")&amp;IF('Excercise - Al '!O124&lt;&gt;"","   NOTES/REMARKS: "&amp;'Excercise - Al '!O124,"")&amp;IF('Excercise - Al '!Q124&lt;&gt;"","   BACKGROUND INFO: "&amp;'Excercise - Al '!Q124,"")</f>
        <v/>
      </c>
      <c r="G124" s="85" t="str">
        <f>IF('Excercise - Al '!P124&lt;&gt;"","IMPLEMENTER: "&amp;'Excercise - Al '!P124,"")</f>
        <v/>
      </c>
      <c r="H124" s="85" t="str">
        <f>IF('Excercise - Al '!N124&lt;&gt;"","EXPECTED ACTIONS: "&amp;'Excercise - Al '!N124,"")</f>
        <v/>
      </c>
      <c r="I124" s="85" t="str">
        <f>'Excercise - Al '!R124</f>
        <v>Napier</v>
      </c>
    </row>
    <row r="125" spans="1:9" s="27" customFormat="1" ht="50">
      <c r="A125" s="85">
        <f>'Excercise - Al '!A125</f>
        <v>124</v>
      </c>
      <c r="B125" s="85"/>
      <c r="C125" s="86">
        <f>'Excercise - Al '!E125</f>
        <v>40303.333333333336</v>
      </c>
      <c r="D125" s="85" t="str">
        <f>IF('Excercise - Al '!F125&lt;&gt;0,'Excercise - Al '!F125,"")</f>
        <v>31st CHEM BDE - Required security support for EVAC sites (# of sites &amp; # of pax @ each site)</v>
      </c>
      <c r="E125" s="85" t="str">
        <f>IF('Excercise - Al '!G125&lt;&gt;"","MODE: "&amp;'Excercise - Al '!G125,"")&amp;IF('Excercise - Al '!H125&lt;&gt;"","   FROM: "&amp;'Excercise - Al '!H125,"")&amp;IF('Excercise - Al '!I125&lt;&gt;"","   INJECTED BY: "&amp;'Excercise - Al '!I125,"")&amp;IF('Excercise - Al '!J125&lt;&gt;"","   SEND TO: "&amp;'Excercise - Al '!J125,"")</f>
        <v>MODE: Not Injected</v>
      </c>
      <c r="F125" s="85" t="str">
        <f>IF('Excercise - Al '!K125&lt;&gt;"","STORYLINE: "&amp;'Excercise - Al '!K125,"")&amp;IF('Excercise - Al '!M125&lt;&gt;"","   DESCRIPTION: "&amp;'Excercise - Al '!M125,"")&amp;IF('Excercise - Al '!O125&lt;&gt;"","   NOTES/REMARKS: "&amp;'Excercise - Al '!O125,"")&amp;IF('Excercise - Al '!Q125&lt;&gt;"","   BACKGROUND INFO: "&amp;'Excercise - Al '!Q125,"")</f>
        <v/>
      </c>
      <c r="G125" s="85" t="str">
        <f>IF('Excercise - Al '!P125&lt;&gt;"","IMPLEMENTER: "&amp;'Excercise - Al '!P125,"")</f>
        <v/>
      </c>
      <c r="H125" s="85" t="str">
        <f>IF('Excercise - Al '!N125&lt;&gt;"","EXPECTED ACTIONS: "&amp;'Excercise - Al '!N125,"")</f>
        <v/>
      </c>
      <c r="I125" s="85" t="str">
        <f>'Excercise - Al '!R125</f>
        <v>Napier</v>
      </c>
    </row>
    <row r="126" spans="1:9" s="27" customFormat="1" ht="40">
      <c r="A126" s="85">
        <f>'Excercise - Al '!A126</f>
        <v>125</v>
      </c>
      <c r="B126" s="85"/>
      <c r="C126" s="86">
        <f>'Excercise - Al '!E126</f>
        <v>40303.333333333336</v>
      </c>
      <c r="D126" s="85" t="str">
        <f>IF('Excercise - Al '!F126&lt;&gt;0,'Excercise - Al '!F126,"")</f>
        <v>31st CHEM BDE - Notify JTF-S for Assistance for broke down HMMWV</v>
      </c>
      <c r="E126" s="85" t="str">
        <f>IF('Excercise - Al '!G126&lt;&gt;"","MODE: "&amp;'Excercise - Al '!G126,"")&amp;IF('Excercise - Al '!H126&lt;&gt;"","   FROM: "&amp;'Excercise - Al '!H126,"")&amp;IF('Excercise - Al '!I126&lt;&gt;"","   INJECTED BY: "&amp;'Excercise - Al '!I126,"")&amp;IF('Excercise - Al '!J126&lt;&gt;"","   SEND TO: "&amp;'Excercise - Al '!J126,"")</f>
        <v>MODE: Not Injected</v>
      </c>
      <c r="F126" s="85" t="str">
        <f>IF('Excercise - Al '!K126&lt;&gt;"","STORYLINE: "&amp;'Excercise - Al '!K126,"")&amp;IF('Excercise - Al '!M126&lt;&gt;"","   DESCRIPTION: "&amp;'Excercise - Al '!M126,"")&amp;IF('Excercise - Al '!O126&lt;&gt;"","   NOTES/REMARKS: "&amp;'Excercise - Al '!O126,"")&amp;IF('Excercise - Al '!Q126&lt;&gt;"","   BACKGROUND INFO: "&amp;'Excercise - Al '!Q126,"")</f>
        <v/>
      </c>
      <c r="G126" s="85" t="str">
        <f>IF('Excercise - Al '!P126&lt;&gt;"","IMPLEMENTER: "&amp;'Excercise - Al '!P126,"")</f>
        <v/>
      </c>
      <c r="H126" s="85" t="str">
        <f>IF('Excercise - Al '!N126&lt;&gt;"","EXPECTED ACTIONS: "&amp;'Excercise - Al '!N126,"")</f>
        <v/>
      </c>
      <c r="I126" s="85" t="str">
        <f>'Excercise - Al '!R126</f>
        <v>Napier</v>
      </c>
    </row>
    <row r="127" spans="1:9" s="27" customFormat="1" ht="50">
      <c r="A127" s="85">
        <f>'Excercise - Al '!A127</f>
        <v>126</v>
      </c>
      <c r="B127" s="85"/>
      <c r="C127" s="86">
        <f>'Excercise - Al '!E127</f>
        <v>40303.375</v>
      </c>
      <c r="D127" s="85" t="str">
        <f>IF('Excercise - Al '!F127&lt;&gt;0,'Excercise - Al '!F127,"")</f>
        <v>RFI</v>
      </c>
      <c r="E127" s="85" t="str">
        <f>IF('Excercise - Al '!G127&lt;&gt;"","MODE: "&amp;'Excercise - Al '!G127,"")&amp;IF('Excercise - Al '!H127&lt;&gt;"","   FROM: "&amp;'Excercise - Al '!H127,"")&amp;IF('Excercise - Al '!I127&lt;&gt;"","   INJECTED BY: "&amp;'Excercise - Al '!I127,"")&amp;IF('Excercise - Al '!J127&lt;&gt;"","   SEND TO: "&amp;'Excercise - Al '!J127,"")</f>
        <v>MODE: RFA   FROM: White Cell - JTF South   INJECTED BY: POLLARD   SEND TO: JTF South</v>
      </c>
      <c r="F127" s="85" t="str">
        <f>IF('Excercise - Al '!K127&lt;&gt;"","STORYLINE: "&amp;'Excercise - Al '!K127,"")&amp;IF('Excercise - Al '!M127&lt;&gt;"","   DESCRIPTION: "&amp;'Excercise - Al '!M127,"")&amp;IF('Excercise - Al '!O127&lt;&gt;"","   NOTES/REMARKS: "&amp;'Excercise - Al '!O127,"")&amp;IF('Excercise - Al '!Q127&lt;&gt;"","   BACKGROUND INFO: "&amp;'Excercise - Al '!Q127,"")</f>
        <v xml:space="preserve">   DESCRIPTION: Question concerning Cell Phone   BACKGROUND INFO: J6 should be involved for solution. Personal Cell phonoe use for missions should not be used if possible.</v>
      </c>
      <c r="G127" s="85" t="str">
        <f>IF('Excercise - Al '!P127&lt;&gt;"","IMPLEMENTER: "&amp;'Excercise - Al '!P127,"")</f>
        <v xml:space="preserve">IMPLEMENTER: LNO Deployed and has been using personal Cell phone. Requests Cell phone activation/ purchase/ issuance </v>
      </c>
      <c r="H127" s="85" t="str">
        <f>IF('Excercise - Al '!N127&lt;&gt;"","EXPECTED ACTIONS: "&amp;'Excercise - Al '!N127,"")</f>
        <v/>
      </c>
      <c r="I127" s="85" t="str">
        <f>'Excercise - Al '!R127</f>
        <v>Kahl</v>
      </c>
    </row>
    <row r="128" spans="1:9" s="27" customFormat="1" ht="60">
      <c r="A128" s="85">
        <f>'Excercise - Al '!A128</f>
        <v>127</v>
      </c>
      <c r="B128" s="85"/>
      <c r="C128" s="86">
        <f>'Excercise - Al '!E128</f>
        <v>40303.375694444447</v>
      </c>
      <c r="D128" s="85" t="str">
        <f>IF('Excercise - Al '!F128&lt;&gt;0,'Excercise - Al '!F128,"")</f>
        <v>RFI</v>
      </c>
      <c r="E128" s="85" t="str">
        <f>IF('Excercise - Al '!G128&lt;&gt;"","MODE: "&amp;'Excercise - Al '!G128,"")&amp;IF('Excercise - Al '!H128&lt;&gt;"","   FROM: "&amp;'Excercise - Al '!H128,"")&amp;IF('Excercise - Al '!I128&lt;&gt;"","   INJECTED BY: "&amp;'Excercise - Al '!I128,"")&amp;IF('Excercise - Al '!J128&lt;&gt;"","   SEND TO: "&amp;'Excercise - Al '!J128,"")</f>
        <v>MODE: Email   INJECTED BY: HICKS</v>
      </c>
      <c r="F128" s="85" t="str">
        <f>IF('Excercise - Al '!K128&lt;&gt;"","STORYLINE: "&amp;'Excercise - Al '!K128,"")&amp;IF('Excercise - Al '!M128&lt;&gt;"","   DESCRIPTION: "&amp;'Excercise - Al '!M128,"")&amp;IF('Excercise - Al '!O128&lt;&gt;"","   NOTES/REMARKS: "&amp;'Excercise - Al '!O128,"")&amp;IF('Excercise - Al '!Q128&lt;&gt;"","   BACKGROUND INFO: "&amp;'Excercise - Al '!Q128,"")</f>
        <v>STORYLINE: CHAPLAIN &amp; UMT ACTIIVITIES   DESCRIPTION: Question concerning Chaplain chain of command</v>
      </c>
      <c r="G128" s="85" t="str">
        <f>IF('Excercise - Al '!P128&lt;&gt;"","IMPLEMENTER: "&amp;'Excercise - Al '!P128,"")</f>
        <v>IMPLEMENTER: Joint Force Chaplain cannot get to HQ due to reverse traffic issues on I-65. In his absence, who is second in command at HQ.  Second highest grade? Officer or Enlisted, ANG or ARNG?</v>
      </c>
      <c r="H128" s="85" t="str">
        <f>IF('Excercise - Al '!N128&lt;&gt;"","EXPECTED ACTIONS: "&amp;'Excercise - Al '!N128,"")</f>
        <v>EXPECTED ACTIONS: Second highest grade should be contacted</v>
      </c>
      <c r="I128" s="85" t="str">
        <f>'Excercise - Al '!R128</f>
        <v>Hicks</v>
      </c>
    </row>
    <row r="129" spans="1:9" s="27" customFormat="1" ht="60">
      <c r="A129" s="85">
        <f>'Excercise - Al '!A129</f>
        <v>128</v>
      </c>
      <c r="B129" s="85"/>
      <c r="C129" s="86">
        <f>'Excercise - Al '!E129</f>
        <v>40303.376388888886</v>
      </c>
      <c r="D129" s="85" t="str">
        <f>IF('Excercise - Al '!F129&lt;&gt;0,'Excercise - Al '!F129,"")</f>
        <v>MISSION</v>
      </c>
      <c r="E129" s="85" t="str">
        <f>IF('Excercise - Al '!G129&lt;&gt;"","MODE: "&amp;'Excercise - Al '!G129,"")&amp;IF('Excercise - Al '!H129&lt;&gt;"","   FROM: "&amp;'Excercise - Al '!H129,"")&amp;IF('Excercise - Al '!I129&lt;&gt;"","   INJECTED BY: "&amp;'Excercise - Al '!I129,"")&amp;IF('Excercise - Al '!J129&lt;&gt;"","   SEND TO: "&amp;'Excercise - Al '!J129,"")</f>
        <v>MODE: EMITS   FROM: White Cell - Mobile EOC/JTF-S   INJECTED BY: SEOC LNO   SEND TO: AEMA</v>
      </c>
      <c r="F129" s="85" t="str">
        <f>IF('Excercise - Al '!K129&lt;&gt;"","STORYLINE: "&amp;'Excercise - Al '!K129,"")&amp;IF('Excercise - Al '!M129&lt;&gt;"","   DESCRIPTION: "&amp;'Excercise - Al '!M129,"")&amp;IF('Excercise - Al '!O129&lt;&gt;"","   NOTES/REMARKS: "&amp;'Excercise - Al '!O129,"")&amp;IF('Excercise - Al '!Q129&lt;&gt;"","   BACKGROUND INFO: "&amp;'Excercise - Al '!Q129,"")</f>
        <v xml:space="preserve">   DESCRIPTION: Mobile County transportation request</v>
      </c>
      <c r="G129" s="85" t="str">
        <f>IF('Excercise - Al '!P129&lt;&gt;"","IMPLEMENTER: "&amp;'Excercise - Al '!P129,"")</f>
        <v>IMPLEMENTER: Mobile County EOC reports the Mobile Convention and Visitor Center has 2500 people waiting to be evacuated and water/food supplies are low.  Request is for immediate transportation</v>
      </c>
      <c r="H129" s="85" t="str">
        <f>IF('Excercise - Al '!N129&lt;&gt;"","EXPECTED ACTIONS: "&amp;'Excercise - Al '!N129,"")</f>
        <v/>
      </c>
      <c r="I129" s="85" t="str">
        <f>'Excercise - Al '!R129</f>
        <v>Keane</v>
      </c>
    </row>
    <row r="130" spans="1:9" s="27" customFormat="1" ht="60">
      <c r="A130" s="85">
        <f>'Excercise - Al '!A130</f>
        <v>129</v>
      </c>
      <c r="B130" s="85"/>
      <c r="C130" s="86">
        <f>'Excercise - Al '!E130</f>
        <v>40303.376388888886</v>
      </c>
      <c r="D130" s="85" t="str">
        <f>IF('Excercise - Al '!F130&lt;&gt;0,'Excercise - Al '!F130,"")</f>
        <v>INFO</v>
      </c>
      <c r="E130" s="85" t="str">
        <f>IF('Excercise - Al '!G130&lt;&gt;"","MODE: "&amp;'Excercise - Al '!G130,"")&amp;IF('Excercise - Al '!H130&lt;&gt;"","   FROM: "&amp;'Excercise - Al '!H130,"")&amp;IF('Excercise - Al '!I130&lt;&gt;"","   INJECTED BY: "&amp;'Excercise - Al '!I130,"")&amp;IF('Excercise - Al '!J130&lt;&gt;"","   SEND TO: "&amp;'Excercise - Al '!J130,"")</f>
        <v>MODE: Phone   FROM: Simcell - Gate Guard   INJECTED BY: HOWARD   SEND TO: MSG CTR</v>
      </c>
      <c r="F130" s="85" t="str">
        <f>IF('Excercise - Al '!K130&lt;&gt;"","STORYLINE: "&amp;'Excercise - Al '!K130,"")&amp;IF('Excercise - Al '!M130&lt;&gt;"","   DESCRIPTION: "&amp;'Excercise - Al '!M130,"")&amp;IF('Excercise - Al '!O130&lt;&gt;"","   NOTES/REMARKS: "&amp;'Excercise - Al '!O130,"")&amp;IF('Excercise - Al '!Q130&lt;&gt;"","   BACKGROUND INFO: "&amp;'Excercise - Al '!Q130,"")</f>
        <v>STORYLINE: AT/FP   DESCRIPTION: Unannounced media at front gate</v>
      </c>
      <c r="G130" s="85" t="str">
        <f>IF('Excercise - Al '!P130&lt;&gt;"","IMPLEMENTER: "&amp;'Excercise - Al '!P130,"")</f>
        <v>IMPLEMENTER: Some media has just arrived wanting to talk with TAG about upcoming hurricane and what the Guard is going to do.</v>
      </c>
      <c r="H130" s="85" t="str">
        <f>IF('Excercise - Al '!N130&lt;&gt;"","EXPECTED ACTIONS: "&amp;'Excercise - Al '!N130,"")</f>
        <v>EXPECTED ACTIONS: MSG CTR informs AFP officer &amp; PAO</v>
      </c>
      <c r="I130" s="85" t="str">
        <f>'Excercise - Al '!R130</f>
        <v>Bachus</v>
      </c>
    </row>
    <row r="131" spans="1:9" s="27" customFormat="1" ht="50">
      <c r="A131" s="85">
        <f>'Excercise - Al '!A131</f>
        <v>130</v>
      </c>
      <c r="B131" s="85"/>
      <c r="C131" s="86">
        <f>'Excercise - Al '!E131</f>
        <v>40303.377083333333</v>
      </c>
      <c r="D131" s="85" t="str">
        <f>IF('Excercise - Al '!F131&lt;&gt;0,'Excercise - Al '!F131,"")</f>
        <v>MISSION</v>
      </c>
      <c r="E131" s="85" t="str">
        <f>IF('Excercise - Al '!G131&lt;&gt;"","MODE: "&amp;'Excercise - Al '!G131,"")&amp;IF('Excercise - Al '!H131&lt;&gt;"","   FROM: "&amp;'Excercise - Al '!H131,"")&amp;IF('Excercise - Al '!I131&lt;&gt;"","   INJECTED BY: "&amp;'Excercise - Al '!I131,"")&amp;IF('Excercise - Al '!J131&lt;&gt;"","   SEND TO: "&amp;'Excercise - Al '!J131,"")</f>
        <v>MODE: EMITS   FROM: AEMA   INJECTED BY: SEOC LNO   SEND TO: JOC</v>
      </c>
      <c r="F131" s="85" t="str">
        <f>IF('Excercise - Al '!K131&lt;&gt;"","STORYLINE: "&amp;'Excercise - Al '!K131,"")&amp;IF('Excercise - Al '!M131&lt;&gt;"","   DESCRIPTION: "&amp;'Excercise - Al '!M131,"")&amp;IF('Excercise - Al '!O131&lt;&gt;"","   NOTES/REMARKS: "&amp;'Excercise - Al '!O131,"")&amp;IF('Excercise - Al '!Q131&lt;&gt;"","   BACKGROUND INFO: "&amp;'Excercise - Al '!Q131,"")</f>
        <v xml:space="preserve">   DESCRIPTION: Marshall Co EOC requests opening of Arab and Albertville armories</v>
      </c>
      <c r="G131" s="85" t="str">
        <f>IF('Excercise - Al '!P131&lt;&gt;"","IMPLEMENTER: "&amp;'Excercise - Al '!P131,"")</f>
        <v>IMPLEMENTER: Marshall Co EOC requests Arab and Albertville armories opened to DP expected to begin arriving 2100hrs 5 May 2009.</v>
      </c>
      <c r="H131" s="85" t="str">
        <f>IF('Excercise - Al '!N131&lt;&gt;"","EXPECTED ACTIONS: "&amp;'Excercise - Al '!N131,"")</f>
        <v/>
      </c>
      <c r="I131" s="85" t="str">
        <f>'Excercise - Al '!R131</f>
        <v>Keane</v>
      </c>
    </row>
    <row r="132" spans="1:9" s="27" customFormat="1" ht="60">
      <c r="A132" s="85">
        <f>'Excercise - Al '!A132</f>
        <v>131</v>
      </c>
      <c r="B132" s="85"/>
      <c r="C132" s="86">
        <f>'Excercise - Al '!E132</f>
        <v>40303.37777777778</v>
      </c>
      <c r="D132" s="85" t="str">
        <f>IF('Excercise - Al '!F132&lt;&gt;0,'Excercise - Al '!F132,"")</f>
        <v>RFI</v>
      </c>
      <c r="E132" s="85" t="str">
        <f>IF('Excercise - Al '!G132&lt;&gt;"","MODE: "&amp;'Excercise - Al '!G132,"")&amp;IF('Excercise - Al '!H132&lt;&gt;"","   FROM: "&amp;'Excercise - Al '!H132,"")&amp;IF('Excercise - Al '!I132&lt;&gt;"","   INJECTED BY: "&amp;'Excercise - Al '!I132,"")&amp;IF('Excercise - Al '!J132&lt;&gt;"","   SEND TO: "&amp;'Excercise - Al '!J132,"")</f>
        <v>MODE: RFA   FROM: White Cell - JTF South   INJECTED BY: POLLARD   SEND TO: JTF South</v>
      </c>
      <c r="F132" s="85" t="str">
        <f>IF('Excercise - Al '!K132&lt;&gt;"","STORYLINE: "&amp;'Excercise - Al '!K132,"")&amp;IF('Excercise - Al '!M132&lt;&gt;"","   DESCRIPTION: "&amp;'Excercise - Al '!M132,"")&amp;IF('Excercise - Al '!O132&lt;&gt;"","   NOTES/REMARKS: "&amp;'Excercise - Al '!O132,"")&amp;IF('Excercise - Al '!Q132&lt;&gt;"","   BACKGROUND INFO: "&amp;'Excercise - Al '!Q132,"")</f>
        <v>STORYLINE: LNO Deployed and has been tasked with an LNO mission and asking for rental car authorization     DESCRIPTION: Rental car request   BACKGROUND INFO: State policy prevals.  Military vehicles my be used for missions but this mission the Vehicles will be sitting a county EOCs</v>
      </c>
      <c r="G132" s="85" t="str">
        <f>IF('Excercise - Al '!P132&lt;&gt;"","IMPLEMENTER: "&amp;'Excercise - Al '!P132,"")</f>
        <v xml:space="preserve">IMPLEMENTER: LNO Deployed and has been tasked with an LNO mission and asking for rental car authorization  </v>
      </c>
      <c r="H132" s="85" t="str">
        <f>IF('Excercise - Al '!N132&lt;&gt;"","EXPECTED ACTIONS: "&amp;'Excercise - Al '!N132,"")</f>
        <v/>
      </c>
      <c r="I132" s="85" t="str">
        <f>'Excercise - Al '!R132</f>
        <v>Kahl</v>
      </c>
    </row>
    <row r="133" spans="1:9" s="27" customFormat="1" ht="40">
      <c r="A133" s="85">
        <f>'Excercise - Al '!A133</f>
        <v>132</v>
      </c>
      <c r="B133" s="85"/>
      <c r="C133" s="86">
        <f>'Excercise - Al '!E133</f>
        <v>40303.378472222219</v>
      </c>
      <c r="D133" s="85" t="str">
        <f>IF('Excercise - Al '!F133&lt;&gt;0,'Excercise - Al '!F133,"")</f>
        <v>RFI</v>
      </c>
      <c r="E133" s="85" t="str">
        <f>IF('Excercise - Al '!G133&lt;&gt;"","MODE: "&amp;'Excercise - Al '!G133,"")&amp;IF('Excercise - Al '!H133&lt;&gt;"","   FROM: "&amp;'Excercise - Al '!H133,"")&amp;IF('Excercise - Al '!I133&lt;&gt;"","   INJECTED BY: "&amp;'Excercise - Al '!I133,"")&amp;IF('Excercise - Al '!J133&lt;&gt;"","   SEND TO: "&amp;'Excercise - Al '!J133,"")</f>
        <v>MODE: Email   INJECTED BY: HICKS</v>
      </c>
      <c r="F133" s="85" t="str">
        <f>IF('Excercise - Al '!K133&lt;&gt;"","STORYLINE: "&amp;'Excercise - Al '!K133,"")&amp;IF('Excercise - Al '!M133&lt;&gt;"","   DESCRIPTION: "&amp;'Excercise - Al '!M133,"")&amp;IF('Excercise - Al '!O133&lt;&gt;"","   NOTES/REMARKS: "&amp;'Excercise - Al '!O133,"")&amp;IF('Excercise - Al '!Q133&lt;&gt;"","   BACKGROUND INFO: "&amp;'Excercise - Al '!Q133,"")</f>
        <v>STORYLINE: CHAPLAIN &amp; UMT ACTIIVITIES   DESCRIPTION: Use of Total Force (Interstate), EMAC, funding</v>
      </c>
      <c r="G133" s="85" t="str">
        <f>IF('Excercise - Al '!P133&lt;&gt;"","IMPLEMENTER: "&amp;'Excercise - Al '!P133,"")</f>
        <v>IMPLEMENTER: An Army unit needs a chaplain because their chaplain is deployed. Closest available ARNG chaplain lives in the Florida panhandle and is in the FL guard.  Can he be used and how?</v>
      </c>
      <c r="H133" s="85" t="str">
        <f>IF('Excercise - Al '!N133&lt;&gt;"","EXPECTED ACTIONS: "&amp;'Excercise - Al '!N133,"")</f>
        <v>EXPECTED ACTIONS: Contact J-1 to work issue</v>
      </c>
      <c r="I133" s="85" t="str">
        <f>'Excercise - Al '!R133</f>
        <v>Hicks</v>
      </c>
    </row>
    <row r="134" spans="1:9" s="27" customFormat="1" ht="50">
      <c r="A134" s="85">
        <f>'Excercise - Al '!A134</f>
        <v>133</v>
      </c>
      <c r="B134" s="85"/>
      <c r="C134" s="86">
        <f>'Excercise - Al '!E134</f>
        <v>40303.396527777775</v>
      </c>
      <c r="D134" s="85" t="str">
        <f>IF('Excercise - Al '!F134&lt;&gt;0,'Excercise - Al '!F134,"")</f>
        <v>MISSION</v>
      </c>
      <c r="E134" s="85" t="str">
        <f>IF('Excercise - Al '!G134&lt;&gt;"","MODE: "&amp;'Excercise - Al '!G134,"")&amp;IF('Excercise - Al '!H134&lt;&gt;"","   FROM: "&amp;'Excercise - Al '!H134,"")&amp;IF('Excercise - Al '!I134&lt;&gt;"","   INJECTED BY: "&amp;'Excercise - Al '!I134,"")&amp;IF('Excercise - Al '!J134&lt;&gt;"","   SEND TO: "&amp;'Excercise - Al '!J134,"")</f>
        <v>MODE: EMITS   FROM: ESF 13   INJECTED BY: SEOC LNO   SEND TO: JTF-S</v>
      </c>
      <c r="F134" s="85" t="str">
        <f>IF('Excercise - Al '!K134&lt;&gt;"","STORYLINE: "&amp;'Excercise - Al '!K134,"")&amp;IF('Excercise - Al '!M134&lt;&gt;"","   DESCRIPTION: "&amp;'Excercise - Al '!M134,"")&amp;IF('Excercise - Al '!O134&lt;&gt;"","   NOTES/REMARKS: "&amp;'Excercise - Al '!O134,"")&amp;IF('Excercise - Al '!Q134&lt;&gt;"","   BACKGROUND INFO: "&amp;'Excercise - Al '!Q134,"")</f>
        <v xml:space="preserve">   DESCRIPTION: Mobile County Sheriff requests NG assistance for site security and traffic control. </v>
      </c>
      <c r="G134" s="85" t="str">
        <f>IF('Excercise - Al '!P134&lt;&gt;"","IMPLEMENTER: "&amp;'Excercise - Al '!P134,"")</f>
        <v>IMPLEMENTER: Mobile County Sheriff requests 250 Soldiers for site security and traffic control. Soldiers will right seat ride with local Law Enforcement personnel</v>
      </c>
      <c r="H134" s="85" t="str">
        <f>IF('Excercise - Al '!N134&lt;&gt;"","EXPECTED ACTIONS: "&amp;'Excercise - Al '!N134,"")</f>
        <v/>
      </c>
      <c r="I134" s="85" t="str">
        <f>'Excercise - Al '!R134</f>
        <v>Keane</v>
      </c>
    </row>
    <row r="135" spans="1:9" s="27" customFormat="1" ht="50">
      <c r="A135" s="85">
        <f>'Excercise - Al '!A135</f>
        <v>134</v>
      </c>
      <c r="B135" s="85"/>
      <c r="C135" s="86">
        <f>'Excercise - Al '!E135</f>
        <v>40303.397222222222</v>
      </c>
      <c r="D135" s="85" t="str">
        <f>IF('Excercise - Al '!F135&lt;&gt;0,'Excercise - Al '!F135,"")</f>
        <v>RFI</v>
      </c>
      <c r="E135" s="85" t="str">
        <f>IF('Excercise - Al '!G135&lt;&gt;"","MODE: "&amp;'Excercise - Al '!G135,"")&amp;IF('Excercise - Al '!H135&lt;&gt;"","   FROM: "&amp;'Excercise - Al '!H135,"")&amp;IF('Excercise - Al '!I135&lt;&gt;"","   INJECTED BY: "&amp;'Excercise - Al '!I135,"")&amp;IF('Excercise - Al '!J135&lt;&gt;"","   SEND TO: "&amp;'Excercise - Al '!J135,"")</f>
        <v>MODE: Phone   FROM: EOC   INJECTED BY: HOWARD   SEND TO: J1</v>
      </c>
      <c r="F135" s="85" t="str">
        <f>IF('Excercise - Al '!K135&lt;&gt;"","STORYLINE: "&amp;'Excercise - Al '!K135,"")&amp;IF('Excercise - Al '!M135&lt;&gt;"","   DESCRIPTION: "&amp;'Excercise - Al '!M135,"")&amp;IF('Excercise - Al '!O135&lt;&gt;"","   NOTES/REMARKS: "&amp;'Excercise - Al '!O135,"")&amp;IF('Excercise - Al '!Q135&lt;&gt;"","   BACKGROUND INFO: "&amp;'Excercise - Al '!Q135,"")</f>
        <v xml:space="preserve">   DESCRIPTION: CCIR concerning troops deployed in Iraq</v>
      </c>
      <c r="G135" s="85" t="str">
        <f>IF('Excercise - Al '!P135&lt;&gt;"","IMPLEMENTER: "&amp;'Excercise - Al '!P135,"")</f>
        <v xml:space="preserve">IMPLEMENTER: Just received notification that several Soldiers were involved in an attack and several were injured or  killed currently waiting on their status. NOK processed started. </v>
      </c>
      <c r="H135" s="85" t="str">
        <f>IF('Excercise - Al '!N135&lt;&gt;"","EXPECTED ACTIONS: "&amp;'Excercise - Al '!N135,"")</f>
        <v>EXPECTED ACTIONS: J1 informs TAG &amp; J3</v>
      </c>
      <c r="I135" s="85" t="str">
        <f>'Excercise - Al '!R135</f>
        <v>Bachus</v>
      </c>
    </row>
    <row r="136" spans="1:9" s="27" customFormat="1" ht="50">
      <c r="A136" s="85">
        <f>'Excercise - Al '!A136</f>
        <v>135</v>
      </c>
      <c r="B136" s="85"/>
      <c r="C136" s="86">
        <f>'Excercise - Al '!E136</f>
        <v>40303.40625</v>
      </c>
      <c r="D136" s="85" t="str">
        <f>IF('Excercise - Al '!F136&lt;&gt;0,'Excercise - Al '!F136,"")</f>
        <v>RFI</v>
      </c>
      <c r="E136" s="85" t="str">
        <f>IF('Excercise - Al '!G136&lt;&gt;"","MODE: "&amp;'Excercise - Al '!G136,"")&amp;IF('Excercise - Al '!H136&lt;&gt;"","   FROM: "&amp;'Excercise - Al '!H136,"")&amp;IF('Excercise - Al '!I136&lt;&gt;"","   INJECTED BY: "&amp;'Excercise - Al '!I136,"")&amp;IF('Excercise - Al '!J136&lt;&gt;"","   SEND TO: "&amp;'Excercise - Al '!J136,"")</f>
        <v>MODE: Phone   FROM: HOSPITAL   INJECTED BY: WHEELER   SEND TO: JTF South</v>
      </c>
      <c r="F136" s="85" t="str">
        <f>IF('Excercise - Al '!K136&lt;&gt;"","STORYLINE: "&amp;'Excercise - Al '!K136,"")&amp;IF('Excercise - Al '!M136&lt;&gt;"","   DESCRIPTION: "&amp;'Excercise - Al '!M136,"")&amp;IF('Excercise - Al '!O136&lt;&gt;"","   NOTES/REMARKS: "&amp;'Excercise - Al '!O136,"")&amp;IF('Excercise - Al '!Q136&lt;&gt;"","   BACKGROUND INFO: "&amp;'Excercise - Al '!Q136,"")</f>
        <v xml:space="preserve">   DESCRIPTION: Generator Request</v>
      </c>
      <c r="G136" s="85" t="str">
        <f>IF('Excercise - Al '!P136&lt;&gt;"","IMPLEMENTER: "&amp;'Excercise - Al '!P136,"")</f>
        <v>IMPLEMENTER: The Jackson Medical Center (Jackson, AL) Administrator has contacted local armory and reports generator failure on pre-storm test. Requests Guards assistance to provide 1 each 100KW generator and support for duration of storm.</v>
      </c>
      <c r="H136" s="85" t="str">
        <f>IF('Excercise - Al '!N136&lt;&gt;"","EXPECTED ACTIONS: "&amp;'Excercise - Al '!N136,"")</f>
        <v/>
      </c>
      <c r="I136" s="85" t="str">
        <f>'Excercise - Al '!R136</f>
        <v>Wheeler</v>
      </c>
    </row>
    <row r="137" spans="1:9" s="27" customFormat="1" ht="40">
      <c r="A137" s="85">
        <f>'Excercise - Al '!A137</f>
        <v>136</v>
      </c>
      <c r="B137" s="85"/>
      <c r="C137" s="86">
        <f>'Excercise - Al '!E137</f>
        <v>40303.416666666664</v>
      </c>
      <c r="D137" s="85" t="str">
        <f>IF('Excercise - Al '!F137&lt;&gt;0,'Excercise - Al '!F137,"")</f>
        <v>RFI</v>
      </c>
      <c r="E137" s="85" t="str">
        <f>IF('Excercise - Al '!G137&lt;&gt;"","MODE: "&amp;'Excercise - Al '!G137,"")&amp;IF('Excercise - Al '!H137&lt;&gt;"","   FROM: "&amp;'Excercise - Al '!H137,"")&amp;IF('Excercise - Al '!I137&lt;&gt;"","   INJECTED BY: "&amp;'Excercise - Al '!I137,"")&amp;IF('Excercise - Al '!J137&lt;&gt;"","   SEND TO: "&amp;'Excercise - Al '!J137,"")</f>
        <v>MODE: Phone   INJECTED BY: SEOC LNO   SEND TO: JOC</v>
      </c>
      <c r="F137" s="85" t="str">
        <f>IF('Excercise - Al '!K137&lt;&gt;"","STORYLINE: "&amp;'Excercise - Al '!K137,"")&amp;IF('Excercise - Al '!M137&lt;&gt;"","   DESCRIPTION: "&amp;'Excercise - Al '!M137,"")&amp;IF('Excercise - Al '!O137&lt;&gt;"","   NOTES/REMARKS: "&amp;'Excercise - Al '!O137,"")&amp;IF('Excercise - Al '!Q137&lt;&gt;"","   BACKGROUND INFO: "&amp;'Excercise - Al '!Q137,"")</f>
        <v>STORYLINE: County EOC generator in working time to fix unknown    DESCRIPTION: Generator Request   BACKGROUND INFO: Should refer this request to State EOC</v>
      </c>
      <c r="G137" s="85" t="str">
        <f>IF('Excercise - Al '!P137&lt;&gt;"","IMPLEMENTER: "&amp;'Excercise - Al '!P137,"")</f>
        <v xml:space="preserve">IMPLEMENTER: County EOC generator in working time to fix unknown </v>
      </c>
      <c r="H137" s="85" t="str">
        <f>IF('Excercise - Al '!N137&lt;&gt;"","EXPECTED ACTIONS: "&amp;'Excercise - Al '!N137,"")</f>
        <v/>
      </c>
      <c r="I137" s="85" t="str">
        <f>'Excercise - Al '!R137</f>
        <v>Kahl</v>
      </c>
    </row>
    <row r="138" spans="1:9" s="27" customFormat="1" ht="40">
      <c r="A138" s="85">
        <f>'Excercise - Al '!A138</f>
        <v>137</v>
      </c>
      <c r="B138" s="85"/>
      <c r="C138" s="86">
        <f>'Excercise - Al '!E138</f>
        <v>40303.416666666664</v>
      </c>
      <c r="D138" s="85" t="str">
        <f>IF('Excercise - Al '!F138&lt;&gt;0,'Excercise - Al '!F138,"")</f>
        <v>RFI</v>
      </c>
      <c r="E138" s="85" t="str">
        <f>IF('Excercise - Al '!G138&lt;&gt;"","MODE: "&amp;'Excercise - Al '!G138,"")&amp;IF('Excercise - Al '!H138&lt;&gt;"","   FROM: "&amp;'Excercise - Al '!H138,"")&amp;IF('Excercise - Al '!I138&lt;&gt;"","   INJECTED BY: "&amp;'Excercise - Al '!I138,"")&amp;IF('Excercise - Al '!J138&lt;&gt;"","   SEND TO: "&amp;'Excercise - Al '!J138,"")</f>
        <v>MODE: JIEE   FROM: JIEE   INJECTED BY: KAHL   SEND TO: JOC</v>
      </c>
      <c r="F138" s="85" t="str">
        <f>IF('Excercise - Al '!K138&lt;&gt;"","STORYLINE: "&amp;'Excercise - Al '!K138,"")&amp;IF('Excercise - Al '!M138&lt;&gt;"","   DESCRIPTION: "&amp;'Excercise - Al '!M138,"")&amp;IF('Excercise - Al '!O138&lt;&gt;"","   NOTES/REMARKS: "&amp;'Excercise - Al '!O138,"")&amp;IF('Excercise - Al '!Q138&lt;&gt;"","   BACKGROUND INFO: "&amp;'Excercise - Al '!Q138,"")</f>
        <v xml:space="preserve">   DESCRIPTION: NGB Requests Battle Rhythym</v>
      </c>
      <c r="G138" s="85" t="str">
        <f>IF('Excercise - Al '!P138&lt;&gt;"","IMPLEMENTER: "&amp;'Excercise - Al '!P138,"")</f>
        <v>IMPLEMENTER: Sharing of NGB Battle Rhythm with other impacted States</v>
      </c>
      <c r="H138" s="85" t="str">
        <f>IF('Excercise - Al '!N138&lt;&gt;"","EXPECTED ACTIONS: "&amp;'Excercise - Al '!N138,"")</f>
        <v/>
      </c>
      <c r="I138" s="85" t="str">
        <f>'Excercise - Al '!R138</f>
        <v>Kahl</v>
      </c>
    </row>
    <row r="139" spans="1:9" s="27" customFormat="1" ht="20">
      <c r="A139" s="85">
        <f>'Excercise - Al '!A139</f>
        <v>138</v>
      </c>
      <c r="B139" s="85"/>
      <c r="C139" s="86">
        <f>'Excercise - Al '!E139</f>
        <v>40303.416666666664</v>
      </c>
      <c r="D139" s="85" t="str">
        <f>IF('Excercise - Al '!F139&lt;&gt;0,'Excercise - Al '!F139,"")</f>
        <v>31st CHEM BDE - Stands up TOC</v>
      </c>
      <c r="E139" s="85" t="str">
        <f>IF('Excercise - Al '!G139&lt;&gt;"","MODE: "&amp;'Excercise - Al '!G139,"")&amp;IF('Excercise - Al '!H139&lt;&gt;"","   FROM: "&amp;'Excercise - Al '!H139,"")&amp;IF('Excercise - Al '!I139&lt;&gt;"","   INJECTED BY: "&amp;'Excercise - Al '!I139,"")&amp;IF('Excercise - Al '!J139&lt;&gt;"","   SEND TO: "&amp;'Excercise - Al '!J139,"")</f>
        <v>MODE: Not Injected</v>
      </c>
      <c r="F139" s="85" t="str">
        <f>IF('Excercise - Al '!K139&lt;&gt;"","STORYLINE: "&amp;'Excercise - Al '!K139,"")&amp;IF('Excercise - Al '!M139&lt;&gt;"","   DESCRIPTION: "&amp;'Excercise - Al '!M139,"")&amp;IF('Excercise - Al '!O139&lt;&gt;"","   NOTES/REMARKS: "&amp;'Excercise - Al '!O139,"")&amp;IF('Excercise - Al '!Q139&lt;&gt;"","   BACKGROUND INFO: "&amp;'Excercise - Al '!Q139,"")</f>
        <v/>
      </c>
      <c r="G139" s="85" t="str">
        <f>IF('Excercise - Al '!P139&lt;&gt;"","IMPLEMENTER: "&amp;'Excercise - Al '!P139,"")</f>
        <v/>
      </c>
      <c r="H139" s="85" t="str">
        <f>IF('Excercise - Al '!N139&lt;&gt;"","EXPECTED ACTIONS: "&amp;'Excercise - Al '!N139,"")</f>
        <v/>
      </c>
      <c r="I139" s="85" t="str">
        <f>'Excercise - Al '!R139</f>
        <v>Napier</v>
      </c>
    </row>
    <row r="140" spans="1:9" s="27" customFormat="1" ht="140">
      <c r="A140" s="85">
        <f>'Excercise - Al '!A140</f>
        <v>139</v>
      </c>
      <c r="B140" s="85"/>
      <c r="C140" s="86">
        <f>'Excercise - Al '!E140</f>
        <v>40303.417361111111</v>
      </c>
      <c r="D140" s="85" t="str">
        <f>IF('Excercise - Al '!F140&lt;&gt;0,'Excercise - Al '!F140,"")</f>
        <v>INFO</v>
      </c>
      <c r="E140" s="85" t="str">
        <f>IF('Excercise - Al '!G140&lt;&gt;"","MODE: "&amp;'Excercise - Al '!G140,"")&amp;IF('Excercise - Al '!H140&lt;&gt;"","   FROM: "&amp;'Excercise - Al '!H140,"")&amp;IF('Excercise - Al '!I140&lt;&gt;"","   INJECTED BY: "&amp;'Excercise - Al '!I140,"")&amp;IF('Excercise - Al '!J140&lt;&gt;"","   SEND TO: "&amp;'Excercise - Al '!J140,"")</f>
        <v>MODE: Email   FROM: Simcell - National Hurricane Center   INJECTED BY: KEANE   SEND TO: JOC, All</v>
      </c>
      <c r="F140" s="85" t="str">
        <f>IF('Excercise - Al '!K140&lt;&gt;"","STORYLINE: "&amp;'Excercise - Al '!K140,"")&amp;IF('Excercise - Al '!M140&lt;&gt;"","   DESCRIPTION: "&amp;'Excercise - Al '!M140,"")&amp;IF('Excercise - Al '!O140&lt;&gt;"","   NOTES/REMARKS: "&amp;'Excercise - Al '!O140,"")&amp;IF('Excercise - Al '!Q140&lt;&gt;"","   BACKGROUND INFO: "&amp;'Excercise - Al '!Q140,"")</f>
        <v>STORYLINE: Tropical Storm Al Update 18   DESCRIPTION: Tropical Storm Al Update 18</v>
      </c>
      <c r="G140" s="85" t="str">
        <f>IF('Excercise - Al '!P140&lt;&gt;"","IMPLEMENTER: "&amp;'Excercise - Al '!P140,"")</f>
        <v>IMPLEMENTER: _x000D_... HURRICANE AL SLOWS AND SHIFTS COURSE SLIGHTLY EASTWARD..._x000D__x000D__x000D_SUMMARY OF 1100 AM EDT...1500 UTC...INFORMATION_x000D_-----------------------------------------------_x000D_LOCATION...27.2N 89.0W_x000D_ABOUT 198 MILES...319 KM...SOUTH-SOUTHEAST OF NEW ORLEANS LOUISIANA_x000D_ABOUT 383 MILES...617 KM...WEST OF CLEARWATER FLORIDA_x000D_ABOUT 516 MILES...831 KM...EAST OF CORPUS CHRISTI TEXAS_x000D_MAXIMUM SUSTAINED WINDS...120 MPH...193 KM/HR_x000D_PRESENT MOVEMENT...NORTHERLY OR 360 DEGREES AT 12 MPH...19 KM/HR_x000D_MINIMUM CENTRAL PRESSURE 950 MB...28.05 INCHES_x000D__x000D_</v>
      </c>
      <c r="H140" s="85" t="str">
        <f>IF('Excercise - Al '!N140&lt;&gt;"","EXPECTED ACTIONS: "&amp;'Excercise - Al '!N140,"")</f>
        <v/>
      </c>
      <c r="I140" s="85" t="str">
        <f>'Excercise - Al '!R140</f>
        <v>Keane</v>
      </c>
    </row>
    <row r="141" spans="1:9" s="27" customFormat="1" ht="30">
      <c r="A141" s="85">
        <f>'Excercise - Al '!A141</f>
        <v>140</v>
      </c>
      <c r="B141" s="85"/>
      <c r="C141" s="86">
        <f>'Excercise - Al '!E141</f>
        <v>40303.4375</v>
      </c>
      <c r="D141" s="85" t="str">
        <f>IF('Excercise - Al '!F141&lt;&gt;0,'Excercise - Al '!F141,"")</f>
        <v>RFI</v>
      </c>
      <c r="E141" s="85" t="str">
        <f>IF('Excercise - Al '!G141&lt;&gt;"","MODE: "&amp;'Excercise - Al '!G141,"")&amp;IF('Excercise - Al '!H141&lt;&gt;"","   FROM: "&amp;'Excercise - Al '!H141,"")&amp;IF('Excercise - Al '!I141&lt;&gt;"","   INJECTED BY: "&amp;'Excercise - Al '!I141,"")&amp;IF('Excercise - Al '!J141&lt;&gt;"","   SEND TO: "&amp;'Excercise - Al '!J141,"")</f>
        <v>MODE: Email   INJECTED BY: DENNIS</v>
      </c>
      <c r="F141" s="85" t="str">
        <f>IF('Excercise - Al '!K141&lt;&gt;"","STORYLINE: "&amp;'Excercise - Al '!K141,"")&amp;IF('Excercise - Al '!M141&lt;&gt;"","   DESCRIPTION: "&amp;'Excercise - Al '!M141,"")&amp;IF('Excercise - Al '!O141&lt;&gt;"","   NOTES/REMARKS: "&amp;'Excercise - Al '!O141,"")&amp;IF('Excercise - Al '!Q141&lt;&gt;"","   BACKGROUND INFO: "&amp;'Excercise - Al '!Q141,"")</f>
        <v xml:space="preserve">   DESCRIPTION: RFI concerning storage location</v>
      </c>
      <c r="G141" s="85" t="str">
        <f>IF('Excercise - Al '!P141&lt;&gt;"","IMPLEMENTER: "&amp;'Excercise - Al '!P141,"")</f>
        <v xml:space="preserve">IMPLEMENTER: We just received 100 pallets of bottle water, 100 cots, and 200 blankets.  We need a temporary storage site for these items.   </v>
      </c>
      <c r="H141" s="85" t="str">
        <f>IF('Excercise - Al '!N141&lt;&gt;"","EXPECTED ACTIONS: "&amp;'Excercise - Al '!N141,"")</f>
        <v/>
      </c>
      <c r="I141" s="85" t="str">
        <f>'Excercise - Al '!R141</f>
        <v>Therman</v>
      </c>
    </row>
    <row r="142" spans="1:9" s="27" customFormat="1" ht="70">
      <c r="A142" s="85">
        <f>'Excercise - Al '!A142</f>
        <v>141</v>
      </c>
      <c r="B142" s="85"/>
      <c r="C142" s="86">
        <f>'Excercise - Al '!E142</f>
        <v>40303.5</v>
      </c>
      <c r="D142" s="85" t="str">
        <f>IF('Excercise - Al '!F142&lt;&gt;0,'Excercise - Al '!F142,"")</f>
        <v>RFI</v>
      </c>
      <c r="E142" s="85" t="str">
        <f>IF('Excercise - Al '!G142&lt;&gt;"","MODE: "&amp;'Excercise - Al '!G142,"")&amp;IF('Excercise - Al '!H142&lt;&gt;"","   FROM: "&amp;'Excercise - Al '!H142,"")&amp;IF('Excercise - Al '!I142&lt;&gt;"","   INJECTED BY: "&amp;'Excercise - Al '!I142,"")&amp;IF('Excercise - Al '!J142&lt;&gt;"","   SEND TO: "&amp;'Excercise - Al '!J142,"")</f>
        <v>MODE: Email   FROM: Each Task Force   INJECTED BY: TF S2   SEND TO: JOC, J2</v>
      </c>
      <c r="F142" s="85" t="str">
        <f>IF('Excercise - Al '!K142&lt;&gt;"","STORYLINE: "&amp;'Excercise - Al '!K142,"")&amp;IF('Excercise - Al '!M142&lt;&gt;"","   DESCRIPTION: "&amp;'Excercise - Al '!M142,"")&amp;IF('Excercise - Al '!O142&lt;&gt;"","   NOTES/REMARKS: "&amp;'Excercise - Al '!O142,"")&amp;IF('Excercise - Al '!Q142&lt;&gt;"","   BACKGROUND INFO: "&amp;'Excercise - Al '!Q142,"")</f>
        <v xml:space="preserve">   DESCRIPTION: Weather Update/Storm Track</v>
      </c>
      <c r="G142" s="85" t="str">
        <f>IF('Excercise - Al '!P142&lt;&gt;"","IMPLEMENTER: "&amp;'Excercise - Al '!P142,"")</f>
        <v>IMPLEMENTER: Weather RFI from Task Force to J2</v>
      </c>
      <c r="H142" s="85" t="str">
        <f>IF('Excercise - Al '!N142&lt;&gt;"","EXPECTED ACTIONS: "&amp;'Excercise - Al '!N142,"")</f>
        <v>EXPECTED ACTIONS: J2 Provides latest Weather and Storm Track to the TFs</v>
      </c>
      <c r="I142" s="85" t="str">
        <f>'Excercise - Al '!R142</f>
        <v>Houlton</v>
      </c>
    </row>
    <row r="143" spans="1:9" s="27" customFormat="1" ht="110">
      <c r="A143" s="85">
        <f>'Excercise - Al '!A143</f>
        <v>142</v>
      </c>
      <c r="B143" s="85"/>
      <c r="C143" s="86">
        <f>'Excercise - Al '!E143</f>
        <v>40303.500694444447</v>
      </c>
      <c r="D143" s="85" t="str">
        <f>IF('Excercise - Al '!F143&lt;&gt;0,'Excercise - Al '!F143,"")</f>
        <v>RFI</v>
      </c>
      <c r="E143" s="85" t="str">
        <f>IF('Excercise - Al '!G143&lt;&gt;"","MODE: "&amp;'Excercise - Al '!G143,"")&amp;IF('Excercise - Al '!H143&lt;&gt;"","   FROM: "&amp;'Excercise - Al '!H143,"")&amp;IF('Excercise - Al '!I143&lt;&gt;"","   INJECTED BY: "&amp;'Excercise - Al '!I143,"")&amp;IF('Excercise - Al '!J143&lt;&gt;"","   SEND TO: "&amp;'Excercise - Al '!J143,"")</f>
        <v>MODE: Email   FROM: Each Task Force   INJECTED BY: TF S2   SEND TO: JOC, J2</v>
      </c>
      <c r="F143" s="85" t="str">
        <f>IF('Excercise - Al '!K143&lt;&gt;"","STORYLINE: "&amp;'Excercise - Al '!K143,"")&amp;IF('Excercise - Al '!M143&lt;&gt;"","   DESCRIPTION: "&amp;'Excercise - Al '!M143,"")&amp;IF('Excercise - Al '!O143&lt;&gt;"","   NOTES/REMARKS: "&amp;'Excercise - Al '!O143,"")&amp;IF('Excercise - Al '!Q143&lt;&gt;"","   BACKGROUND INFO: "&amp;'Excercise - Al '!Q143,"")</f>
        <v xml:space="preserve">   DESCRIPTION: RFI for PIR, Collection Plan, Report Formats, and reporting requirements</v>
      </c>
      <c r="G143" s="85" t="str">
        <f>IF('Excercise - Al '!P143&lt;&gt;"","IMPLEMENTER: "&amp;'Excercise - Al '!P143,"")</f>
        <v>IMPLEMENTER: RFI to lay baseline reporting requirements of each TF, time reports are due to the J2…</v>
      </c>
      <c r="H143" s="85" t="str">
        <f>IF('Excercise - Al '!N143&lt;&gt;"","EXPECTED ACTIONS: "&amp;'Excercise - Al '!N143,"")</f>
        <v>EXPECTED ACTIONS: J2 provided current PIR, Collection Plan, Report Formats, and reporting requirements to each TF.</v>
      </c>
      <c r="I143" s="85" t="str">
        <f>'Excercise - Al '!R143</f>
        <v>Houlton</v>
      </c>
    </row>
    <row r="144" spans="1:9" s="27" customFormat="1" ht="60">
      <c r="A144" s="85">
        <f>'Excercise - Al '!A144</f>
        <v>143</v>
      </c>
      <c r="B144" s="85"/>
      <c r="C144" s="86">
        <f>'Excercise - Al '!E144</f>
        <v>40303.541666666664</v>
      </c>
      <c r="D144" s="85" t="str">
        <f>IF('Excercise - Al '!F144&lt;&gt;0,'Excercise - Al '!F144,"")</f>
        <v>RFI</v>
      </c>
      <c r="E144" s="85" t="str">
        <f>IF('Excercise - Al '!G144&lt;&gt;"","MODE: "&amp;'Excercise - Al '!G144,"")&amp;IF('Excercise - Al '!H144&lt;&gt;"","   FROM: "&amp;'Excercise - Al '!H144,"")&amp;IF('Excercise - Al '!I144&lt;&gt;"","   INJECTED BY: "&amp;'Excercise - Al '!I144,"")&amp;IF('Excercise - Al '!J144&lt;&gt;"","   SEND TO: "&amp;'Excercise - Al '!J144,"")</f>
        <v>MODE: Email   INJECTED BY: HICKS</v>
      </c>
      <c r="F144" s="85" t="str">
        <f>IF('Excercise - Al '!K144&lt;&gt;"","STORYLINE: "&amp;'Excercise - Al '!K144,"")&amp;IF('Excercise - Al '!M144&lt;&gt;"","   DESCRIPTION: "&amp;'Excercise - Al '!M144,"")&amp;IF('Excercise - Al '!O144&lt;&gt;"","   NOTES/REMARKS: "&amp;'Excercise - Al '!O144,"")&amp;IF('Excercise - Al '!Q144&lt;&gt;"","   BACKGROUND INFO: "&amp;'Excercise - Al '!Q144,"")</f>
        <v>STORYLINE: CHAPLAIN &amp; UMT ACTIIVITIES</v>
      </c>
      <c r="G144" s="85" t="str">
        <f>IF('Excercise - Al '!P144&lt;&gt;"","IMPLEMENTER: "&amp;'Excercise - Al '!P144,"")</f>
        <v>IMPLEMENTER: Request to pre-position a chaplain at a Red Cross shelter where people are already gathering.  Need: for religious services and spiritual presence</v>
      </c>
      <c r="H144" s="85" t="str">
        <f>IF('Excercise - Al '!N144&lt;&gt;"","EXPECTED ACTIONS: "&amp;'Excercise - Al '!N144,"")</f>
        <v>EXPECTED ACTIONS: Evaluate on basis of NGB four-fold test</v>
      </c>
      <c r="I144" s="85" t="str">
        <f>'Excercise - Al '!R144</f>
        <v>Hicks</v>
      </c>
    </row>
    <row r="145" spans="1:9" s="27" customFormat="1" ht="50">
      <c r="A145" s="85">
        <f>'Excercise - Al '!A145</f>
        <v>144</v>
      </c>
      <c r="B145" s="85"/>
      <c r="C145" s="86">
        <f>'Excercise - Al '!E145</f>
        <v>40303.59375</v>
      </c>
      <c r="D145" s="85" t="str">
        <f>IF('Excercise - Al '!F145&lt;&gt;0,'Excercise - Al '!F145,"")</f>
        <v>RFI</v>
      </c>
      <c r="E145" s="85" t="str">
        <f>IF('Excercise - Al '!G145&lt;&gt;"","MODE: "&amp;'Excercise - Al '!G145,"")&amp;IF('Excercise - Al '!H145&lt;&gt;"","   FROM: "&amp;'Excercise - Al '!H145,"")&amp;IF('Excercise - Al '!I145&lt;&gt;"","   INJECTED BY: "&amp;'Excercise - Al '!I145,"")&amp;IF('Excercise - Al '!J145&lt;&gt;"","   SEND TO: "&amp;'Excercise - Al '!J145,"")</f>
        <v>MODE: RFA   FROM: White Cell - JTF South   INJECTED BY: SEOC LNO   SEND TO: JOC</v>
      </c>
      <c r="F145" s="85" t="str">
        <f>IF('Excercise - Al '!K145&lt;&gt;"","STORYLINE: "&amp;'Excercise - Al '!K145,"")&amp;IF('Excercise - Al '!M145&lt;&gt;"","   DESCRIPTION: "&amp;'Excercise - Al '!M145,"")&amp;IF('Excercise - Al '!O145&lt;&gt;"","   NOTES/REMARKS: "&amp;'Excercise - Al '!O145,"")&amp;IF('Excercise - Al '!Q145&lt;&gt;"","   BACKGROUND INFO: "&amp;'Excercise - Al '!Q145,"")</f>
        <v xml:space="preserve">   DESCRIPTION: Request generator supported light sets and barriers for security check points.</v>
      </c>
      <c r="G145" s="85" t="str">
        <f>IF('Excercise - Al '!P145&lt;&gt;"","IMPLEMENTER: "&amp;'Excercise - Al '!P145,"")</f>
        <v>IMPLEMENTER: Request generator supported light sets and barriers for security check points.</v>
      </c>
      <c r="H145" s="85" t="str">
        <f>IF('Excercise - Al '!N145&lt;&gt;"","EXPECTED ACTIONS: "&amp;'Excercise - Al '!N145,"")</f>
        <v/>
      </c>
      <c r="I145" s="85" t="str">
        <f>'Excercise - Al '!R145</f>
        <v>Wheeler</v>
      </c>
    </row>
    <row r="146" spans="1:9" s="27" customFormat="1" ht="130">
      <c r="A146" s="85">
        <f>'Excercise - Al '!A146</f>
        <v>145</v>
      </c>
      <c r="B146" s="85"/>
      <c r="C146" s="86">
        <f>'Excercise - Al '!E146</f>
        <v>40303.594444444447</v>
      </c>
      <c r="D146" s="85" t="str">
        <f>IF('Excercise - Al '!F146&lt;&gt;0,'Excercise - Al '!F146,"")</f>
        <v>INFO</v>
      </c>
      <c r="E146" s="85" t="str">
        <f>IF('Excercise - Al '!G146&lt;&gt;"","MODE: "&amp;'Excercise - Al '!G146,"")&amp;IF('Excercise - Al '!H146&lt;&gt;"","   FROM: "&amp;'Excercise - Al '!H146,"")&amp;IF('Excercise - Al '!I146&lt;&gt;"","   INJECTED BY: "&amp;'Excercise - Al '!I146,"")&amp;IF('Excercise - Al '!J146&lt;&gt;"","   SEND TO: "&amp;'Excercise - Al '!J146,"")</f>
        <v>MODE: Email   FROM: JTF S   INJECTED BY: BENTON   SEND TO: J1</v>
      </c>
      <c r="F146" s="85" t="str">
        <f>IF('Excercise - Al '!K146&lt;&gt;"","STORYLINE: "&amp;'Excercise - Al '!K146,"")&amp;IF('Excercise - Al '!M146&lt;&gt;"","   DESCRIPTION: "&amp;'Excercise - Al '!M146,"")&amp;IF('Excercise - Al '!O146&lt;&gt;"","   NOTES/REMARKS: "&amp;'Excercise - Al '!O146,"")&amp;IF('Excercise - Al '!Q146&lt;&gt;"","   BACKGROUND INFO: "&amp;'Excercise - Al '!Q146,"")</f>
        <v>STORYLINE: Potential Food Poisoning (MREs)   DESCRIPTION: 30 soldiers have become sick in the Mobile area, experiencing nausea, vomiting, diarrhea, and abdominal cramping.  SMs started showing symptoms within 1 hour of eating lunch (MREs).  All personnel had consumed the MRE dairy shakes.</v>
      </c>
      <c r="G146" s="85" t="str">
        <f>IF('Excercise - Al '!P146&lt;&gt;"","IMPLEMENTER: "&amp;'Excercise - Al '!P146,"")</f>
        <v>IMPLEMENTER: 30 soldiers have become sick in the Mobile area, experiencing nausea, vomiting, diarrhea, and abdominal cramping.  SMs started showing symptoms within 1 hour of eating lunch (MREs).  All personnel had consumed the MRE dairy shakes.</v>
      </c>
      <c r="H146" s="85" t="str">
        <f>IF('Excercise - Al '!N146&lt;&gt;"","EXPECTED ACTIONS: "&amp;'Excercise - Al '!N146,"")</f>
        <v>EXPECTED ACTIONS: J4 issue MRE guidance and possible recall.  J1 track LODs.  Medical initiate PM actions. Safety review.</v>
      </c>
      <c r="I146" s="85" t="str">
        <f>'Excercise - Al '!R146</f>
        <v>Benton</v>
      </c>
    </row>
    <row r="147" spans="1:9" s="27" customFormat="1" ht="50">
      <c r="A147" s="85">
        <f>'Excercise - Al '!A147</f>
        <v>146</v>
      </c>
      <c r="B147" s="85"/>
      <c r="C147" s="86">
        <f>'Excercise - Al '!E147</f>
        <v>40303.604166666664</v>
      </c>
      <c r="D147" s="85" t="str">
        <f>IF('Excercise - Al '!F147&lt;&gt;0,'Excercise - Al '!F147,"")</f>
        <v>MISSION</v>
      </c>
      <c r="E147" s="85" t="str">
        <f>IF('Excercise - Al '!G147&lt;&gt;"","MODE: "&amp;'Excercise - Al '!G147,"")&amp;IF('Excercise - Al '!H147&lt;&gt;"","   FROM: "&amp;'Excercise - Al '!H147,"")&amp;IF('Excercise - Al '!I147&lt;&gt;"","   INJECTED BY: "&amp;'Excercise - Al '!I147,"")&amp;IF('Excercise - Al '!J147&lt;&gt;"","   SEND TO: "&amp;'Excercise - Al '!J147,"")</f>
        <v>MODE: EMITS   FROM: ESF 13   INJECTED BY: SEOC LNO   SEND TO: JTF-S</v>
      </c>
      <c r="F147" s="85" t="str">
        <f>IF('Excercise - Al '!K147&lt;&gt;"","STORYLINE: "&amp;'Excercise - Al '!K147,"")&amp;IF('Excercise - Al '!M147&lt;&gt;"","   DESCRIPTION: "&amp;'Excercise - Al '!M147,"")&amp;IF('Excercise - Al '!O147&lt;&gt;"","   NOTES/REMARKS: "&amp;'Excercise - Al '!O147,"")&amp;IF('Excercise - Al '!Q147&lt;&gt;"","   BACKGROUND INFO: "&amp;'Excercise - Al '!Q147,"")</f>
        <v xml:space="preserve">   DESCRIPTION: Baldwin County Sheriff requests NG assistance for site security and traffic control. </v>
      </c>
      <c r="G147" s="85" t="str">
        <f>IF('Excercise - Al '!P147&lt;&gt;"","IMPLEMENTER: "&amp;'Excercise - Al '!P147,"")</f>
        <v>IMPLEMENTER: Baldwin County Sheriff requests 250 Soldiers for site security and traffic control. Soldiers will right seat ride with local Law Enforcement personnel</v>
      </c>
      <c r="H147" s="85" t="str">
        <f>IF('Excercise - Al '!N147&lt;&gt;"","EXPECTED ACTIONS: "&amp;'Excercise - Al '!N147,"")</f>
        <v/>
      </c>
      <c r="I147" s="85" t="str">
        <f>'Excercise - Al '!R147</f>
        <v>Keane</v>
      </c>
    </row>
    <row r="148" spans="1:9" s="27" customFormat="1" ht="90">
      <c r="A148" s="85">
        <f>'Excercise - Al '!A148</f>
        <v>147</v>
      </c>
      <c r="B148" s="85"/>
      <c r="C148" s="86">
        <f>'Excercise - Al '!E148</f>
        <v>40303.625</v>
      </c>
      <c r="D148" s="85" t="str">
        <f>IF('Excercise - Al '!F148&lt;&gt;0,'Excercise - Al '!F148,"")</f>
        <v>RFI</v>
      </c>
      <c r="E148" s="85" t="str">
        <f>IF('Excercise - Al '!G148&lt;&gt;"","MODE: "&amp;'Excercise - Al '!G148,"")&amp;IF('Excercise - Al '!H148&lt;&gt;"","   FROM: "&amp;'Excercise - Al '!H148,"")&amp;IF('Excercise - Al '!I148&lt;&gt;"","   INJECTED BY: "&amp;'Excercise - Al '!I148,"")&amp;IF('Excercise - Al '!J148&lt;&gt;"","   SEND TO: "&amp;'Excercise - Al '!J148,"")</f>
        <v>MODE: Email   INJECTED BY: HICKS</v>
      </c>
      <c r="F148" s="85" t="str">
        <f>IF('Excercise - Al '!K148&lt;&gt;"","STORYLINE: "&amp;'Excercise - Al '!K148,"")&amp;IF('Excercise - Al '!M148&lt;&gt;"","   DESCRIPTION: "&amp;'Excercise - Al '!M148,"")&amp;IF('Excercise - Al '!O148&lt;&gt;"","   NOTES/REMARKS: "&amp;'Excercise - Al '!O148,"")&amp;IF('Excercise - Al '!Q148&lt;&gt;"","   BACKGROUND INFO: "&amp;'Excercise - Al '!Q148,"")</f>
        <v>STORYLINE: CHAPLAIN &amp; UMT ACTIIVITIES</v>
      </c>
      <c r="G148" s="85" t="str">
        <f>IF('Excercise - Al '!P148&lt;&gt;"","IMPLEMENTER: "&amp;'Excercise - Al '!P148,"")</f>
        <v>IMPLEMENTER: A retired ARNG chaplain offers his church to house a UMT; the local unit Commander knows the pastor and makes the request to Joint Force Chaplain.</v>
      </c>
      <c r="H148" s="85" t="str">
        <f>IF('Excercise - Al '!N148&lt;&gt;"","EXPECTED ACTIONS: "&amp;'Excercise - Al '!N148,"")</f>
        <v>EXPECTED ACTIONS: JF chaplain should deny request; Chaplain should be with his troops.</v>
      </c>
      <c r="I148" s="85" t="str">
        <f>'Excercise - Al '!R148</f>
        <v>Hicks</v>
      </c>
    </row>
    <row r="149" spans="1:9" s="27" customFormat="1" ht="50">
      <c r="A149" s="85">
        <f>'Excercise - Al '!A149</f>
        <v>148</v>
      </c>
      <c r="B149" s="85"/>
      <c r="C149" s="86">
        <f>'Excercise - Al '!E149</f>
        <v>40303.625</v>
      </c>
      <c r="D149" s="85" t="str">
        <f>IF('Excercise - Al '!F149&lt;&gt;0,'Excercise - Al '!F149,"")</f>
        <v>INFO - Evacuation</v>
      </c>
      <c r="E149" s="85" t="str">
        <f>IF('Excercise - Al '!G149&lt;&gt;"","MODE: "&amp;'Excercise - Al '!G149,"")&amp;IF('Excercise - Al '!H149&lt;&gt;"","   FROM: "&amp;'Excercise - Al '!H149,"")&amp;IF('Excercise - Al '!I149&lt;&gt;"","   INJECTED BY: "&amp;'Excercise - Al '!I149,"")&amp;IF('Excercise - Al '!J149&lt;&gt;"","   SEND TO: "&amp;'Excercise - Al '!J149,"")</f>
        <v>MODE: EMITS   FROM: ESF 5   INJECTED BY: SEOC LNO   SEND TO: JOC</v>
      </c>
      <c r="F149" s="85" t="str">
        <f>IF('Excercise - Al '!K149&lt;&gt;"","STORYLINE: "&amp;'Excercise - Al '!K149,"")&amp;IF('Excercise - Al '!M149&lt;&gt;"","   DESCRIPTION: "&amp;'Excercise - Al '!M149,"")&amp;IF('Excercise - Al '!O149&lt;&gt;"","   NOTES/REMARKS: "&amp;'Excercise - Al '!O149,"")&amp;IF('Excercise - Al '!Q149&lt;&gt;"","   BACKGROUND INFO: "&amp;'Excercise - Al '!Q149,"")</f>
        <v xml:space="preserve">   DESCRIPTION: AEMA officials report 70% successful evacuation for Mobile and Baldwin counties.</v>
      </c>
      <c r="G149" s="85" t="str">
        <f>IF('Excercise - Al '!P149&lt;&gt;"","IMPLEMENTER: "&amp;'Excercise - Al '!P149,"")</f>
        <v>IMPLEMENTER: AEMA officials report 70% successful evacuation for Mobile and Baldwin counties.</v>
      </c>
      <c r="H149" s="85" t="str">
        <f>IF('Excercise - Al '!N149&lt;&gt;"","EXPECTED ACTIONS: "&amp;'Excercise - Al '!N149,"")</f>
        <v/>
      </c>
      <c r="I149" s="85" t="str">
        <f>'Excercise - Al '!R149</f>
        <v>Keane</v>
      </c>
    </row>
    <row r="150" spans="1:9" s="27" customFormat="1" ht="30">
      <c r="A150" s="85">
        <f>'Excercise - Al '!A150</f>
        <v>149</v>
      </c>
      <c r="B150" s="85"/>
      <c r="C150" s="86">
        <f>'Excercise - Al '!E150</f>
        <v>40303.625</v>
      </c>
      <c r="D150" s="85" t="str">
        <f>IF('Excercise - Al '!F150&lt;&gt;0,'Excercise - Al '!F150,"")</f>
        <v>MISSION - BPT</v>
      </c>
      <c r="E150" s="85" t="str">
        <f>IF('Excercise - Al '!G150&lt;&gt;"","MODE: "&amp;'Excercise - Al '!G150,"")&amp;IF('Excercise - Al '!H150&lt;&gt;"","   FROM: "&amp;'Excercise - Al '!H150,"")&amp;IF('Excercise - Al '!I150&lt;&gt;"","   INJECTED BY: "&amp;'Excercise - Al '!I150,"")&amp;IF('Excercise - Al '!J150&lt;&gt;"","   SEND TO: "&amp;'Excercise - Al '!J150,"")</f>
        <v>MODE: Email   INJECTED BY: DENNIS</v>
      </c>
      <c r="F150" s="85" t="str">
        <f>IF('Excercise - Al '!K150&lt;&gt;"","STORYLINE: "&amp;'Excercise - Al '!K150,"")&amp;IF('Excercise - Al '!M150&lt;&gt;"","   DESCRIPTION: "&amp;'Excercise - Al '!M150,"")&amp;IF('Excercise - Al '!O150&lt;&gt;"","   NOTES/REMARKS: "&amp;'Excercise - Al '!O150,"")&amp;IF('Excercise - Al '!Q150&lt;&gt;"","   BACKGROUND INFO: "&amp;'Excercise - Al '!Q150,"")</f>
        <v>STORYLINE: On order, transition state active duty to federal active duty for pay purpose.</v>
      </c>
      <c r="G150" s="85" t="str">
        <f>IF('Excercise - Al '!P150&lt;&gt;"","IMPLEMENTER: "&amp;'Excercise - Al '!P150,"")</f>
        <v>IMPLEMENTER: On order, transition state active duty to federal active duty for pay purpose.</v>
      </c>
      <c r="H150" s="85" t="str">
        <f>IF('Excercise - Al '!N150&lt;&gt;"","EXPECTED ACTIONS: "&amp;'Excercise - Al '!N150,"")</f>
        <v/>
      </c>
      <c r="I150" s="85" t="str">
        <f>'Excercise - Al '!R150</f>
        <v>Therman</v>
      </c>
    </row>
    <row r="151" spans="1:9" s="27" customFormat="1" ht="240">
      <c r="A151" s="85">
        <f>'Excercise - Al '!A151</f>
        <v>150</v>
      </c>
      <c r="B151" s="85"/>
      <c r="C151" s="86">
        <f>'Excercise - Al '!E151</f>
        <v>40303.625694444447</v>
      </c>
      <c r="D151" s="85" t="str">
        <f>IF('Excercise - Al '!F151&lt;&gt;0,'Excercise - Al '!F151,"")</f>
        <v>MISSION - POD</v>
      </c>
      <c r="E151" s="85" t="str">
        <f>IF('Excercise - Al '!G151&lt;&gt;"","MODE: "&amp;'Excercise - Al '!G151,"")&amp;IF('Excercise - Al '!H151&lt;&gt;"","   FROM: "&amp;'Excercise - Al '!H151,"")&amp;IF('Excercise - Al '!I151&lt;&gt;"","   INJECTED BY: "&amp;'Excercise - Al '!I151,"")&amp;IF('Excercise - Al '!J151&lt;&gt;"","   SEND TO: "&amp;'Excercise - Al '!J151,"")</f>
        <v>MODE: EMITS   FROM: AEMA ESF 7   INJECTED BY: SEOC LNO   SEND TO: JOC</v>
      </c>
      <c r="F151" s="85" t="str">
        <f>IF('Excercise - Al '!K151&lt;&gt;"","STORYLINE: "&amp;'Excercise - Al '!K151,"")&amp;IF('Excercise - Al '!M151&lt;&gt;"","   DESCRIPTION: "&amp;'Excercise - Al '!M151,"")&amp;IF('Excercise - Al '!O151&lt;&gt;"","   NOTES/REMARKS: "&amp;'Excercise - Al '!O151,"")&amp;IF('Excercise - Al '!Q151&lt;&gt;"","   BACKGROUND INFO: "&amp;'Excercise - Al '!Q151,"")</f>
        <v>STORYLINE: POD (Point of Distribution) Missions   DESCRIPTION: Mission to support Baldwin County PODs</v>
      </c>
      <c r="G151" s="85" t="str">
        <f>IF('Excercise - Al '!P151&lt;&gt;"","IMPLEMENTER: "&amp;'Excercise - Al '!P151,"")</f>
        <v>IMPLEMENTER: Baldwin County request ALNG to man and operate the following POD sites beginning at 0800 7 May 10.  Duration 7 days, POC is County ESF 7 Mr. Bouie._x000D__x000D_Bay Minette_x000D_First Baptist Church of Bay Minette, 1201 Hand Avenue_x000D_Labor Personnel: 10-12.  POD Equipment Needed:  1X tent.  Security Personnel. None.  _x000D_Operational Hours: 8-10_x000D__x000D_Daphne_x000D_Daphne Civic Center, 2603 Highway 98_x000D_Labor Personnel: 40.  POD Equipment Needed:  None.  Security Personnel. None.  _x000D_Operational Hours: 12_x000D__x000D_Elberta_x000D_Elberta Fire Department, 13120 Illinois Street_x000D_Labor Personnel: 12.  POD Equipment Needed:  None.  Security Personnel. None.  _x000D_Operational Hours: 10_x000D__x000D_Fairhope_x000D_Fairhope - Volanta Ball Park, Volanta Ave._x000D_Labor Personnel: 40.  POD Equipment Needed:  None.  Security Personnel. None.  _x000D_Operational Hours: 12_x000D__x000D_Foley_x000D_Tanger Factory Outlet Center, 2601 McKenzie Street_x000D_Labor Personnel: 40.  POD Equipment Needed:  1X tent, 1X light set.  Security Personnel. None.  Operational Hours: 12_x000D__x000D_Gulf Shores_x000D_Sports Complex, 19025 Oak Road West_x000D_Labor Personnel: 40.  POD Equipment Needed:  forklift operator.  _x000D_Security Personnel. None.  Operational Hours: 12</v>
      </c>
      <c r="H151" s="85" t="str">
        <f>IF('Excercise - Al '!N151&lt;&gt;"","EXPECTED ACTIONS: "&amp;'Excercise - Al '!N151,"")</f>
        <v/>
      </c>
      <c r="I151" s="85" t="str">
        <f>'Excercise - Al '!R151</f>
        <v>Keane</v>
      </c>
    </row>
    <row r="152" spans="1:9" s="27" customFormat="1" ht="110">
      <c r="A152" s="85">
        <f>'Excercise - Al '!A152</f>
        <v>151</v>
      </c>
      <c r="B152" s="85"/>
      <c r="C152" s="86">
        <f>'Excercise - Al '!E152</f>
        <v>40303.626388888886</v>
      </c>
      <c r="D152" s="85" t="str">
        <f>IF('Excercise - Al '!F152&lt;&gt;0,'Excercise - Al '!F152,"")</f>
        <v>MISSION - POD</v>
      </c>
      <c r="E152" s="85" t="str">
        <f>IF('Excercise - Al '!G152&lt;&gt;"","MODE: "&amp;'Excercise - Al '!G152,"")&amp;IF('Excercise - Al '!H152&lt;&gt;"","   FROM: "&amp;'Excercise - Al '!H152,"")&amp;IF('Excercise - Al '!I152&lt;&gt;"","   INJECTED BY: "&amp;'Excercise - Al '!I152,"")&amp;IF('Excercise - Al '!J152&lt;&gt;"","   SEND TO: "&amp;'Excercise - Al '!J152,"")</f>
        <v>MODE: EMITS   FROM: AEMA ESF 7   INJECTED BY: SEOC LNO   SEND TO: JOC</v>
      </c>
      <c r="F152" s="85" t="str">
        <f>IF('Excercise - Al '!K152&lt;&gt;"","STORYLINE: "&amp;'Excercise - Al '!K152,"")&amp;IF('Excercise - Al '!M152&lt;&gt;"","   DESCRIPTION: "&amp;'Excercise - Al '!M152,"")&amp;IF('Excercise - Al '!O152&lt;&gt;"","   NOTES/REMARKS: "&amp;'Excercise - Al '!O152,"")&amp;IF('Excercise - Al '!Q152&lt;&gt;"","   BACKGROUND INFO: "&amp;'Excercise - Al '!Q152,"")</f>
        <v>STORYLINE: POD (Point of Distribution) Missions   DESCRIPTION: Mission to support Escambia County PODs</v>
      </c>
      <c r="G152" s="85" t="str">
        <f>IF('Excercise - Al '!P152&lt;&gt;"","IMPLEMENTER: "&amp;'Excercise - Al '!P152,"")</f>
        <v>IMPLEMENTER: Escambia County request ALNG to man and operate the following POD sites beginning at 0800 7 May 10.  Duration 8 days, POC is County ESF 7 Mrs. Evans._x000D__x000D_Brewton_x000D_Old North Brewton Elem School Bldg, 41960 Highway 31 North_x000D_Labor Personnel: 40.  POD Equipment Needed:  None.  _x000D_Security Personnel. 0.  Operational Hours: 12_x000D__x000D_East Brewton_x000D_Ridge Road Baptist Church, 3600 Ridge Road_x000D_Labor Personnel: 20.  POD Equipment Needed:  None.  _x000D_Security Personnel. 0.  Operational Hours: 8-10_x000D_</v>
      </c>
      <c r="H152" s="85" t="str">
        <f>IF('Excercise - Al '!N152&lt;&gt;"","EXPECTED ACTIONS: "&amp;'Excercise - Al '!N152,"")</f>
        <v/>
      </c>
      <c r="I152" s="85" t="str">
        <f>'Excercise - Al '!R152</f>
        <v>Keane</v>
      </c>
    </row>
    <row r="153" spans="1:9" s="27" customFormat="1" ht="200">
      <c r="A153" s="85">
        <f>'Excercise - Al '!A153</f>
        <v>152</v>
      </c>
      <c r="B153" s="85"/>
      <c r="C153" s="86">
        <f>'Excercise - Al '!E153</f>
        <v>40303.627083333333</v>
      </c>
      <c r="D153" s="85" t="str">
        <f>IF('Excercise - Al '!F153&lt;&gt;0,'Excercise - Al '!F153,"")</f>
        <v>MISSION - POD</v>
      </c>
      <c r="E153" s="85" t="str">
        <f>IF('Excercise - Al '!G153&lt;&gt;"","MODE: "&amp;'Excercise - Al '!G153,"")&amp;IF('Excercise - Al '!H153&lt;&gt;"","   FROM: "&amp;'Excercise - Al '!H153,"")&amp;IF('Excercise - Al '!I153&lt;&gt;"","   INJECTED BY: "&amp;'Excercise - Al '!I153,"")&amp;IF('Excercise - Al '!J153&lt;&gt;"","   SEND TO: "&amp;'Excercise - Al '!J153,"")</f>
        <v>MODE: EMITS   FROM: AEMA ESF 7   INJECTED BY: SEOC LNO   SEND TO: JOC</v>
      </c>
      <c r="F153" s="85" t="str">
        <f>IF('Excercise - Al '!K153&lt;&gt;"","STORYLINE: "&amp;'Excercise - Al '!K153,"")&amp;IF('Excercise - Al '!M153&lt;&gt;"","   DESCRIPTION: "&amp;'Excercise - Al '!M153,"")&amp;IF('Excercise - Al '!O153&lt;&gt;"","   NOTES/REMARKS: "&amp;'Excercise - Al '!O153,"")&amp;IF('Excercise - Al '!Q153&lt;&gt;"","   BACKGROUND INFO: "&amp;'Excercise - Al '!Q153,"")</f>
        <v>STORYLINE: POD (Point of Distribution) Missions   DESCRIPTION: Mission to support Washington County PODs</v>
      </c>
      <c r="G153" s="85" t="str">
        <f>IF('Excercise - Al '!P153&lt;&gt;"","IMPLEMENTER: "&amp;'Excercise - Al '!P153,"")</f>
        <v>IMPLEMENTER: Washington County request ALNG to man and operate the following POD sites beginning at 0800 7 May 10.  Duration 6-10 days, POC is County ESF 7 Mr. Williams._x000D__x000D_Chatom_x000D_National Guard Armory, 1020 St. Stephens Avenue_x000D_Labor Personnel: 20.  POD Equipment Needed:  None.  Security Personnel. None.  _x000D_Operational Hours: 12_x000D__x000D_Fruitdale_x000D_Fruitdale High School, Raycoker Road_x000D_Labor Personnel: 10-12.  POD Equipment Needed:  1X tent.  Security Personnel. 2.  _x000D_Operational Hours: 8-10_x000D__x000D_Leroy_x000D_Leroy High School, 26301 Highway 43_x000D_Labor Personnel: 20.  POD Equipment Needed:  1X forklift and operator.  _x000D_Security Personnel. None.  Operational Hours: 10_x000D__x000D_McIntosh _x000D_McIntosh Elementary School, Highway 43_x000D_Labor Personnel: 20.  POD Equipment Needed:  None.  Security Personnel. None.  _x000D_Operational Hours: 8-10_x000D__x000D_Millry_x000D_Millry Baptist Church, 800 5th Avenue_x000D_Labor Personnel: 15.  POD Equipment Needed:  forklift operator.  _x000D_Security Personnel. None.  Operational Hours: 8_x000D_</v>
      </c>
      <c r="H153" s="85" t="str">
        <f>IF('Excercise - Al '!N153&lt;&gt;"","EXPECTED ACTIONS: "&amp;'Excercise - Al '!N153,"")</f>
        <v/>
      </c>
      <c r="I153" s="85" t="str">
        <f>'Excercise - Al '!R153</f>
        <v>Keane</v>
      </c>
    </row>
    <row r="154" spans="1:9" s="27" customFormat="1" ht="260">
      <c r="A154" s="85">
        <f>'Excercise - Al '!A154</f>
        <v>153</v>
      </c>
      <c r="B154" s="85"/>
      <c r="C154" s="86">
        <f>'Excercise - Al '!E154</f>
        <v>40303.62777777778</v>
      </c>
      <c r="D154" s="85" t="str">
        <f>IF('Excercise - Al '!F154&lt;&gt;0,'Excercise - Al '!F154,"")</f>
        <v>MISSION - POD</v>
      </c>
      <c r="E154" s="85" t="str">
        <f>IF('Excercise - Al '!G154&lt;&gt;"","MODE: "&amp;'Excercise - Al '!G154,"")&amp;IF('Excercise - Al '!H154&lt;&gt;"","   FROM: "&amp;'Excercise - Al '!H154,"")&amp;IF('Excercise - Al '!I154&lt;&gt;"","   INJECTED BY: "&amp;'Excercise - Al '!I154,"")&amp;IF('Excercise - Al '!J154&lt;&gt;"","   SEND TO: "&amp;'Excercise - Al '!J154,"")</f>
        <v>MODE: EMITS   FROM: AEMA ESF 7   INJECTED BY: SEOC LNO   SEND TO: JOC</v>
      </c>
      <c r="F154" s="85" t="str">
        <f>IF('Excercise - Al '!K154&lt;&gt;"","STORYLINE: "&amp;'Excercise - Al '!K154,"")&amp;IF('Excercise - Al '!M154&lt;&gt;"","   DESCRIPTION: "&amp;'Excercise - Al '!M154,"")&amp;IF('Excercise - Al '!O154&lt;&gt;"","   NOTES/REMARKS: "&amp;'Excercise - Al '!O154,"")&amp;IF('Excercise - Al '!Q154&lt;&gt;"","   BACKGROUND INFO: "&amp;'Excercise - Al '!Q154,"")</f>
        <v>STORYLINE: POD (Point of Distribution) Missions   DESCRIPTION: Mission to support Mobile County PODs</v>
      </c>
      <c r="G154" s="85" t="str">
        <f>IF('Excercise - Al '!P154&lt;&gt;"","IMPLEMENTER: "&amp;'Excercise - Al '!P154,"")</f>
        <v>IMPLEMENTER: Mobile County request ALNG to man and operate the following LSA and POD sites beginning at 0800 7 May 10.  Duration 8 days, POC is County ESF 7 Mr. Manners._x000D__x000D_County Logistics Staging Area_x000D_Mobile Bay Bears Stadium  6 QM  2 Security  1 Forklift Operator_x000D__x000D_County Distribution Sites_x000D_Bay Bears Stadium   12 QM  2 Security  1 Forklift Operator_x000D_Saraland K-Mart   12 QM  0 Security  1 Forklift Operator_x000D_Alma Bryant School (Bayou La Batre) 24 QM  4 Security  2 Forklift Operators_x000D_Prichard Stadium   12 QM  2 Security  1 Forklift Operator_x000D_Mount Vernon Park   12 QM  2 Security  1 Forklift Operator_x000D_Citronelle Industrial Park  12 QM  2 Security  1 Forklift Operator_x000D_Mobile Greyhound Park   12 QM  2 Security  2 Forklift Operators_x000D_Dauphin Island City Hall   6 QM  2 Security  0 Forklift Operator_x000D_Langon Park    12 QM  2 Security  1 Forklift Operator_x000D_Ladd-Peeples Memorial  Stadium 12 QM  2 Security  1 Forklift Operator_x000D__x000D_Equipment Requirements:_x000D_4-6K Forklifts _x000D_14 + Forklifts for maintenance float _x000D_Vehicles to transport soldiers to work areas_x000D_5 ton Cargo Trucks – 3 ea. To handle in and around delivery missions out of Staging Area_x000D_Fuel Trucks – 2 ea. To fuel military and civilian trucks at Staging Area_x000D__x000D_Command and Control_x000D_Per Task Force Plan  _x000D__x000D_</v>
      </c>
      <c r="H154" s="85" t="str">
        <f>IF('Excercise - Al '!N154&lt;&gt;"","EXPECTED ACTIONS: "&amp;'Excercise - Al '!N154,"")</f>
        <v/>
      </c>
      <c r="I154" s="85" t="str">
        <f>'Excercise - Al '!R154</f>
        <v>Keane</v>
      </c>
    </row>
    <row r="155" spans="1:9" s="27" customFormat="1" ht="160">
      <c r="A155" s="85">
        <f>'Excercise - Al '!A155</f>
        <v>154</v>
      </c>
      <c r="B155" s="85"/>
      <c r="C155" s="86">
        <f>'Excercise - Al '!E155</f>
        <v>40303.628472222219</v>
      </c>
      <c r="D155" s="85" t="str">
        <f>IF('Excercise - Al '!F155&lt;&gt;0,'Excercise - Al '!F155,"")</f>
        <v>MISSION - POD</v>
      </c>
      <c r="E155" s="85" t="str">
        <f>IF('Excercise - Al '!G155&lt;&gt;"","MODE: "&amp;'Excercise - Al '!G155,"")&amp;IF('Excercise - Al '!H155&lt;&gt;"","   FROM: "&amp;'Excercise - Al '!H155,"")&amp;IF('Excercise - Al '!I155&lt;&gt;"","   INJECTED BY: "&amp;'Excercise - Al '!I155,"")&amp;IF('Excercise - Al '!J155&lt;&gt;"","   SEND TO: "&amp;'Excercise - Al '!J155,"")</f>
        <v>MODE: EMITS   FROM: AEMA ESF 7   INJECTED BY: SEOC LNO   SEND TO: JOC</v>
      </c>
      <c r="F155" s="85" t="str">
        <f>IF('Excercise - Al '!K155&lt;&gt;"","STORYLINE: "&amp;'Excercise - Al '!K155,"")&amp;IF('Excercise - Al '!M155&lt;&gt;"","   DESCRIPTION: "&amp;'Excercise - Al '!M155,"")&amp;IF('Excercise - Al '!O155&lt;&gt;"","   NOTES/REMARKS: "&amp;'Excercise - Al '!O155,"")&amp;IF('Excercise - Al '!Q155&lt;&gt;"","   BACKGROUND INFO: "&amp;'Excercise - Al '!Q155,"")</f>
        <v>STORYLINE: POD (Point of Distribution) Missions   DESCRIPTION: Mission to support Monroe County PODs</v>
      </c>
      <c r="G155" s="85" t="str">
        <f>IF('Excercise - Al '!P155&lt;&gt;"","IMPLEMENTER: "&amp;'Excercise - Al '!P155,"")</f>
        <v>IMPLEMENTER: Monroe County request ALNG to man and operate the following POD sites beginning at 0800 7 May 10.  Duration 8 days, POC is County ESF 7 Mr. Manucy._x000D__x000D_Beatrice_x000D_Beatrice POD/VFD Station, 34 Robbins Street_x000D_Labor Personnel: 20.  POD Equipment Needed:  None.  _x000D_Security Personnel. 4.  Operational Hours: 12_x000D__x000D_Excel_x000D_Excel High School, 3010 Hwy 136 W_x000D_Labor Personnel: 20.  POD Equipment Needed:  2X Tents.  _x000D_Security Personnel. 2-4.  Operational Hours: 10_x000D__x000D_Frisco City_x000D_Frisco City, 200 School Street_x000D_Labor Personnel: 20.  POD Equipment Needed:  None.  _x000D_Security Personnel. 0.  Operational Hours: 8-10_x000D__x000D_Monroeville_x000D_Primary CSA and Resource Warehouse, 188 Sheffield Drive_x000D_Labor Personnel: 12.  POD Equipment Needed:  None.  _x000D_Security Personnel. 0.  Operational Hours: 12_x000D_</v>
      </c>
      <c r="H155" s="85" t="str">
        <f>IF('Excercise - Al '!N155&lt;&gt;"","EXPECTED ACTIONS: "&amp;'Excercise - Al '!N155,"")</f>
        <v/>
      </c>
      <c r="I155" s="85" t="str">
        <f>'Excercise - Al '!R155</f>
        <v>Keane</v>
      </c>
    </row>
    <row r="156" spans="1:9" s="27" customFormat="1" ht="140">
      <c r="A156" s="85">
        <f>'Excercise - Al '!A156</f>
        <v>155</v>
      </c>
      <c r="B156" s="85"/>
      <c r="C156" s="86">
        <f>'Excercise - Al '!E156</f>
        <v>40303.629166666666</v>
      </c>
      <c r="D156" s="85" t="str">
        <f>IF('Excercise - Al '!F156&lt;&gt;0,'Excercise - Al '!F156,"")</f>
        <v>MISSION - POD</v>
      </c>
      <c r="E156" s="85" t="str">
        <f>IF('Excercise - Al '!G156&lt;&gt;"","MODE: "&amp;'Excercise - Al '!G156,"")&amp;IF('Excercise - Al '!H156&lt;&gt;"","   FROM: "&amp;'Excercise - Al '!H156,"")&amp;IF('Excercise - Al '!I156&lt;&gt;"","   INJECTED BY: "&amp;'Excercise - Al '!I156,"")&amp;IF('Excercise - Al '!J156&lt;&gt;"","   SEND TO: "&amp;'Excercise - Al '!J156,"")</f>
        <v>MODE: EMITS   FROM: AEMA ESF 7   INJECTED BY: SEOC LNO   SEND TO: JOC</v>
      </c>
      <c r="F156" s="85" t="str">
        <f>IF('Excercise - Al '!K156&lt;&gt;"","STORYLINE: "&amp;'Excercise - Al '!K156,"")&amp;IF('Excercise - Al '!M156&lt;&gt;"","   DESCRIPTION: "&amp;'Excercise - Al '!M156,"")&amp;IF('Excercise - Al '!O156&lt;&gt;"","   NOTES/REMARKS: "&amp;'Excercise - Al '!O156,"")&amp;IF('Excercise - Al '!Q156&lt;&gt;"","   BACKGROUND INFO: "&amp;'Excercise - Al '!Q156,"")</f>
        <v>STORYLINE: POD (Point of Distribution) Missions   DESCRIPTION: Mission to support Clarke County PODs</v>
      </c>
      <c r="G156" s="85" t="str">
        <f>IF('Excercise - Al '!P156&lt;&gt;"","IMPLEMENTER: "&amp;'Excercise - Al '!P156,"")</f>
        <v>IMPLEMENTER: Clarke County request ALNG to man and operate the following POD sites beginning at 0800 7 May 10.  Duration 6-10 days, POC is County ESF 7 Mr. Carter._x000D__x000D_Grove Hill_x000D_National Guard Armory, 22511 Highway 84_x000D_Labor Personnel: 20.  POD Equipment Needed:  forklift operator.  _x000D_Security Personnel. 4.  Operational Hours: 12_x000D__x000D_Jackson_x000D_National Guard Armory, 2405 Coffeeville Road_x000D_Labor Personnel:  20.  POD Equipment Needed:  1X Pallet Jack.  _x000D_Security Personnel. 2.  Operational Hours: 12_x000D__x000D_Thomasville_x000D_National Guard Armory, 31822 Highway 43_x000D_Labor Personnel: 20.  POD Equipment Needed:  None.  _x000D_Security Personnel. 4.  Operational Hours: 12_x000D_</v>
      </c>
      <c r="H156" s="85" t="str">
        <f>IF('Excercise - Al '!N156&lt;&gt;"","EXPECTED ACTIONS: "&amp;'Excercise - Al '!N156,"")</f>
        <v/>
      </c>
      <c r="I156" s="85" t="str">
        <f>'Excercise - Al '!R156</f>
        <v>Keane</v>
      </c>
    </row>
    <row r="157" spans="1:9" s="27" customFormat="1" ht="70">
      <c r="A157" s="85">
        <f>'Excercise - Al '!A157</f>
        <v>156</v>
      </c>
      <c r="B157" s="85"/>
      <c r="C157" s="86">
        <f>'Excercise - Al '!E157</f>
        <v>40303.629861111112</v>
      </c>
      <c r="D157" s="85" t="str">
        <f>IF('Excercise - Al '!F157&lt;&gt;0,'Excercise - Al '!F157,"")</f>
        <v>MISSION - POD</v>
      </c>
      <c r="E157" s="85" t="str">
        <f>IF('Excercise - Al '!G157&lt;&gt;"","MODE: "&amp;'Excercise - Al '!G157,"")&amp;IF('Excercise - Al '!H157&lt;&gt;"","   FROM: "&amp;'Excercise - Al '!H157,"")&amp;IF('Excercise - Al '!I157&lt;&gt;"","   INJECTED BY: "&amp;'Excercise - Al '!I157,"")&amp;IF('Excercise - Al '!J157&lt;&gt;"","   SEND TO: "&amp;'Excercise - Al '!J157,"")</f>
        <v>MODE: EMITS   FROM: AEMA ESF 7   INJECTED BY: SEOC LNO   SEND TO: JOC</v>
      </c>
      <c r="F157" s="85" t="str">
        <f>IF('Excercise - Al '!K157&lt;&gt;"","STORYLINE: "&amp;'Excercise - Al '!K157,"")&amp;IF('Excercise - Al '!M157&lt;&gt;"","   DESCRIPTION: "&amp;'Excercise - Al '!M157,"")&amp;IF('Excercise - Al '!O157&lt;&gt;"","   NOTES/REMARKS: "&amp;'Excercise - Al '!O157,"")&amp;IF('Excercise - Al '!Q157&lt;&gt;"","   BACKGROUND INFO: "&amp;'Excercise - Al '!Q157,"")</f>
        <v>STORYLINE: POD (Point of Distribution) Missions   DESCRIPTION: Mission to support Conecuh County PODs</v>
      </c>
      <c r="G157" s="85" t="str">
        <f>IF('Excercise - Al '!P157&lt;&gt;"","IMPLEMENTER: "&amp;'Excercise - Al '!P157,"")</f>
        <v>IMPLEMENTER: Conecuh County request ALNG to man and operate the following POD sites beginning at 0800 7 May 10.  Duration 8 days, POC is County ESF 7 Mrs. Collins._x000D__x000D_Evergreen_x000D_Evergreen Airport Middleton Fld, Highway 84 W._x000D_Labor Personnel: 20.  POD Equipment Needed:  None.  _x000D_Security Personnel. 0.  Operational Hours: 12</v>
      </c>
      <c r="H157" s="85" t="str">
        <f>IF('Excercise - Al '!N157&lt;&gt;"","EXPECTED ACTIONS: "&amp;'Excercise - Al '!N157,"")</f>
        <v/>
      </c>
      <c r="I157" s="85" t="str">
        <f>'Excercise - Al '!R157</f>
        <v>Keane</v>
      </c>
    </row>
    <row r="158" spans="1:9" s="27" customFormat="1" ht="50">
      <c r="A158" s="85">
        <f>'Excercise - Al '!A158</f>
        <v>157</v>
      </c>
      <c r="B158" s="85"/>
      <c r="C158" s="86">
        <f>'Excercise - Al '!E158</f>
        <v>40303.635416666664</v>
      </c>
      <c r="D158" s="85" t="str">
        <f>IF('Excercise - Al '!F158&lt;&gt;0,'Excercise - Al '!F158,"")</f>
        <v>INFO</v>
      </c>
      <c r="E158" s="85" t="str">
        <f>IF('Excercise - Al '!G158&lt;&gt;"","MODE: "&amp;'Excercise - Al '!G158,"")&amp;IF('Excercise - Al '!H158&lt;&gt;"","   FROM: "&amp;'Excercise - Al '!H158,"")&amp;IF('Excercise - Al '!I158&lt;&gt;"","   INJECTED BY: "&amp;'Excercise - Al '!I158,"")&amp;IF('Excercise - Al '!J158&lt;&gt;"","   SEND TO: "&amp;'Excercise - Al '!J158,"")</f>
        <v>MODE: Email   FROM: JTF S   INJECTED BY: BENTON   SEND TO: J3</v>
      </c>
      <c r="F158" s="85" t="str">
        <f>IF('Excercise - Al '!K158&lt;&gt;"","STORYLINE: "&amp;'Excercise - Al '!K158,"")&amp;IF('Excercise - Al '!M158&lt;&gt;"","   DESCRIPTION: "&amp;'Excercise - Al '!M158,"")&amp;IF('Excercise - Al '!O158&lt;&gt;"","   NOTES/REMARKS: "&amp;'Excercise - Al '!O158,"")&amp;IF('Excercise - Al '!Q158&lt;&gt;"","   BACKGROUND INFO: "&amp;'Excercise - Al '!Q158,"")</f>
        <v>STORYLINE: Combined with MSEL # 145   DESCRIPTION: 5-10 soldiers have become sick in the Orange Beach area, experiencing FLU like symptoms.</v>
      </c>
      <c r="G158" s="85" t="str">
        <f>IF('Excercise - Al '!P158&lt;&gt;"","IMPLEMENTER: "&amp;'Excercise - Al '!P158,"")</f>
        <v>IMPLEMENTER: 5-10 soldiers have become sick in the Orange Beach area, experiencing FLU like symptoms.</v>
      </c>
      <c r="H158" s="85" t="str">
        <f>IF('Excercise - Al '!N158&lt;&gt;"","EXPECTED ACTIONS: "&amp;'Excercise - Al '!N158,"")</f>
        <v/>
      </c>
      <c r="I158" s="85" t="str">
        <f>'Excercise - Al '!R158</f>
        <v>Benton</v>
      </c>
    </row>
    <row r="159" spans="1:9" s="27" customFormat="1" ht="40">
      <c r="A159" s="85">
        <f>'Excercise - Al '!A159</f>
        <v>158</v>
      </c>
      <c r="B159" s="85"/>
      <c r="C159" s="86">
        <f>'Excercise - Al '!E159</f>
        <v>40303.647222222222</v>
      </c>
      <c r="D159" s="85" t="str">
        <f>IF('Excercise - Al '!F159&lt;&gt;0,'Excercise - Al '!F159,"")</f>
        <v>RFI</v>
      </c>
      <c r="E159" s="85" t="str">
        <f>IF('Excercise - Al '!G159&lt;&gt;"","MODE: "&amp;'Excercise - Al '!G159,"")&amp;IF('Excercise - Al '!H159&lt;&gt;"","   FROM: "&amp;'Excercise - Al '!H159,"")&amp;IF('Excercise - Al '!I159&lt;&gt;"","   INJECTED BY: "&amp;'Excercise - Al '!I159,"")&amp;IF('Excercise - Al '!J159&lt;&gt;"","   SEND TO: "&amp;'Excercise - Al '!J159,"")</f>
        <v>MODE: Email   INJECTED BY: DENNIS</v>
      </c>
      <c r="F159" s="85" t="str">
        <f>IF('Excercise - Al '!K159&lt;&gt;"","STORYLINE: "&amp;'Excercise - Al '!K159,"")&amp;IF('Excercise - Al '!M159&lt;&gt;"","   DESCRIPTION: "&amp;'Excercise - Al '!M159,"")&amp;IF('Excercise - Al '!O159&lt;&gt;"","   NOTES/REMARKS: "&amp;'Excercise - Al '!O159,"")&amp;IF('Excercise - Al '!Q159&lt;&gt;"","   BACKGROUND INFO: "&amp;'Excercise - Al '!Q159,"")</f>
        <v>STORYLINE: Request will come from TFSAL   DESCRIPTION: A unit with 125 personnel is requesting one hot commercial meal per day.  Two restaurants are open in the area.</v>
      </c>
      <c r="G159" s="85" t="str">
        <f>IF('Excercise - Al '!P159&lt;&gt;"","IMPLEMENTER: "&amp;'Excercise - Al '!P159,"")</f>
        <v>IMPLEMENTER: A unit with 125 personnel is requesting one hot commercial meal per day.  Two restaurants are open in the area.</v>
      </c>
      <c r="H159" s="85" t="str">
        <f>IF('Excercise - Al '!N159&lt;&gt;"","EXPECTED ACTIONS: "&amp;'Excercise - Al '!N159,"")</f>
        <v/>
      </c>
      <c r="I159" s="85" t="str">
        <f>'Excercise - Al '!R159</f>
        <v>Therman</v>
      </c>
    </row>
    <row r="160" spans="1:9" s="27" customFormat="1" ht="140">
      <c r="A160" s="85">
        <f>'Excercise - Al '!A160</f>
        <v>159</v>
      </c>
      <c r="B160" s="85"/>
      <c r="C160" s="86">
        <f>'Excercise - Al '!E160</f>
        <v>40303.666666666664</v>
      </c>
      <c r="D160" s="85" t="str">
        <f>IF('Excercise - Al '!F160&lt;&gt;0,'Excercise - Al '!F160,"")</f>
        <v>INFO</v>
      </c>
      <c r="E160" s="85" t="str">
        <f>IF('Excercise - Al '!G160&lt;&gt;"","MODE: "&amp;'Excercise - Al '!G160,"")&amp;IF('Excercise - Al '!H160&lt;&gt;"","   FROM: "&amp;'Excercise - Al '!H160,"")&amp;IF('Excercise - Al '!I160&lt;&gt;"","   INJECTED BY: "&amp;'Excercise - Al '!I160,"")&amp;IF('Excercise - Al '!J160&lt;&gt;"","   SEND TO: "&amp;'Excercise - Al '!J160,"")</f>
        <v>MODE: Email   FROM: Simcell - National Hurricane Center   INJECTED BY: KEANE   SEND TO: JOC, All</v>
      </c>
      <c r="F160" s="85" t="str">
        <f>IF('Excercise - Al '!K160&lt;&gt;"","STORYLINE: "&amp;'Excercise - Al '!K160,"")&amp;IF('Excercise - Al '!M160&lt;&gt;"","   DESCRIPTION: "&amp;'Excercise - Al '!M160,"")&amp;IF('Excercise - Al '!O160&lt;&gt;"","   NOTES/REMARKS: "&amp;'Excercise - Al '!O160,"")&amp;IF('Excercise - Al '!Q160&lt;&gt;"","   BACKGROUND INFO: "&amp;'Excercise - Al '!Q160,"")</f>
        <v>STORYLINE: Tropical Storm Al Update 19   DESCRIPTION: Tropical Storm Al Update 19</v>
      </c>
      <c r="G160" s="85" t="str">
        <f>IF('Excercise - Al '!P160&lt;&gt;"","IMPLEMENTER: "&amp;'Excercise - Al '!P160,"")</f>
        <v>IMPLEMENTER: _x000D_...HURRICANE AL NEAR LANDFALL...NORTHERLY COURSE PUSHING SLIGHTLY EASTWARD..._x000D__x000D__x000D_SUMMARY OF 500 PM EDT...2100 UTC...INFORMATION_x000D_-----------------------------------------------_x000D_LOCATION...28.2N 88.8W_x000D_ABOUT 141 MILES...228 KM...EAST-SOUTHEAST OF NEW ORLEANS LOUISIANA _x000D_ABOUT 175 MILES...283 KM...SOUTH OF MOBILE ALABAMA _x000D_ABOUT 367 MILES...591 KM...WEST OF CLEARWATER FLORIDA_x000D_MAXIMUM SUSTAINED WINDS...125 MPH...193 KM/HR_x000D_PRESENT MOVEMENT...NORTHERLY OR 7 DEGREES AT 12 MPH...19 KM/HR_x000D_MINIMUM CENTRAL PRESSURE 948 MB...27.99 INCHES_x000D__x000D_</v>
      </c>
      <c r="H160" s="85" t="str">
        <f>IF('Excercise - Al '!N160&lt;&gt;"","EXPECTED ACTIONS: "&amp;'Excercise - Al '!N160,"")</f>
        <v/>
      </c>
      <c r="I160" s="85" t="str">
        <f>'Excercise - Al '!R160</f>
        <v>Keane</v>
      </c>
    </row>
    <row r="161" spans="1:9" s="27" customFormat="1" ht="150">
      <c r="A161" s="85">
        <f>'Excercise - Al '!A161</f>
        <v>160</v>
      </c>
      <c r="B161" s="85"/>
      <c r="C161" s="86">
        <f>'Excercise - Al '!E161</f>
        <v>40303.677083333336</v>
      </c>
      <c r="D161" s="85" t="str">
        <f>IF('Excercise - Al '!F161&lt;&gt;0,'Excercise - Al '!F161,"")</f>
        <v>RFI</v>
      </c>
      <c r="E161" s="85" t="str">
        <f>IF('Excercise - Al '!G161&lt;&gt;"","MODE: "&amp;'Excercise - Al '!G161,"")&amp;IF('Excercise - Al '!H161&lt;&gt;"","   FROM: "&amp;'Excercise - Al '!H161,"")&amp;IF('Excercise - Al '!I161&lt;&gt;"","   INJECTED BY: "&amp;'Excercise - Al '!I161,"")&amp;IF('Excercise - Al '!J161&lt;&gt;"","   SEND TO: "&amp;'Excercise - Al '!J161,"")</f>
        <v>MODE: Email/cell   FROM: Convoy Commander   INJECTED BY: MCDONALD   SEND TO: TF-Alabama, JOC J-4</v>
      </c>
      <c r="F161" s="85" t="str">
        <f>IF('Excercise - Al '!K161&lt;&gt;"","STORYLINE: "&amp;'Excercise - Al '!K161,"")&amp;IF('Excercise - Al '!M161&lt;&gt;"","   DESCRIPTION: "&amp;'Excercise - Al '!M161,"")&amp;IF('Excercise - Al '!O161&lt;&gt;"","   NOTES/REMARKS: "&amp;'Excercise - Al '!O161,"")&amp;IF('Excercise - Al '!Q161&lt;&gt;"","   BACKGROUND INFO: "&amp;'Excercise - Al '!Q161,"")</f>
        <v>STORYLINE: Convoy request for 10 vehicles from 1343rd enroute to Fort Whiting, Mobile.   DESCRIPTION: Enroute Convoy Request   NOTES/REMARKS: Route request procedures by unit thru J-4  -Select another route due to debris, heavy traffic and an accident _x000D_- Part II: Depending on the selected route an accident will occur producing heavy traffic, causing a route detour. If I-65 is the primary route the accident will occur after reaching the City of Evergreen and before Barnett Crossroads. _x000D__x000D_   BACKGROUND INFO: Det 1, 1343rd in-conjunction with 1343rd (Chem Co) are tasked to support military operations in the Mobile/Gulf Shores area. Det 1 (4 military vehicles), must link-up with 1343rd Chem Co (6 military vehicles) and convoy to Fort Whiting, Mobile to conduct military operations.</v>
      </c>
      <c r="G161" s="85" t="str">
        <f>IF('Excercise - Al '!P161&lt;&gt;"","IMPLEMENTER: "&amp;'Excercise - Al '!P161,"")</f>
        <v>IMPLEMENTER: Det 1, 1343rd in-conjunction with 1343rd (Chem Co) are tasked to support military operations in the Mobile/Gulf Shores area. Det 1 (4 military vehicles), must link-up with 1343rd Chem Co (6 military vehicles) and convoy to Fort Whiting, Mobile to conduct military operations. 4 vehicles convoy from Det 1 1343rd (Chem CO), Fort Payne and 6 vehicles from 1343rd (Chem CO) Centre, convoy to Mobile to assist in military operations (Security operations).</v>
      </c>
      <c r="H161" s="85" t="str">
        <f>IF('Excercise - Al '!N161&lt;&gt;"","EXPECTED ACTIONS: "&amp;'Excercise - Al '!N161,"")</f>
        <v>EXPECTED ACTIONS: Request for Alternative route, while traveling to Mobile. How is the detour route coordinated (unit thru DOL) and who approved (J-4/DOL)</v>
      </c>
      <c r="I161" s="85" t="str">
        <f>'Excercise - Al '!R161</f>
        <v>McDonald</v>
      </c>
    </row>
    <row r="162" spans="1:9" s="27" customFormat="1" ht="80">
      <c r="A162" s="85">
        <f>'Excercise - Al '!A162</f>
        <v>161</v>
      </c>
      <c r="B162" s="85"/>
      <c r="C162" s="86">
        <f>'Excercise - Al '!E162</f>
        <v>40304.291666666664</v>
      </c>
      <c r="D162" s="85" t="str">
        <f>IF('Excercise - Al '!F162&lt;&gt;0,'Excercise - Al '!F162,"")</f>
        <v>RFI</v>
      </c>
      <c r="E162" s="85" t="str">
        <f>IF('Excercise - Al '!G162&lt;&gt;"","MODE: "&amp;'Excercise - Al '!G162,"")&amp;IF('Excercise - Al '!H162&lt;&gt;"","   FROM: "&amp;'Excercise - Al '!H162,"")&amp;IF('Excercise - Al '!I162&lt;&gt;"","   INJECTED BY: "&amp;'Excercise - Al '!I162,"")&amp;IF('Excercise - Al '!J162&lt;&gt;"","   SEND TO: "&amp;'Excercise - Al '!J162,"")</f>
        <v>MODE: Email   FROM: JTF-N   INJECTED BY: BENTON   SEND TO: J3 w/AVN</v>
      </c>
      <c r="F162" s="85" t="str">
        <f>IF('Excercise - Al '!K162&lt;&gt;"","STORYLINE: "&amp;'Excercise - Al '!K162,"")&amp;IF('Excercise - Al '!M162&lt;&gt;"","   DESCRIPTION: "&amp;'Excercise - Al '!M162,"")&amp;IF('Excercise - Al '!O162&lt;&gt;"","   NOTES/REMARKS: "&amp;'Excercise - Al '!O162,"")&amp;IF('Excercise - Al '!Q162&lt;&gt;"","   BACKGROUND INFO: "&amp;'Excercise - Al '!Q162,"")</f>
        <v xml:space="preserve">STORYLINE: Changed to a Sexual Assualt Inject   DESCRIPTION: A SM from JTF South was brought to sick call this morning by battle buddy.  SM was badley beaten and raped around 0200 by a fellow soldier.  </v>
      </c>
      <c r="G162" s="85" t="str">
        <f>IF('Excercise - Al '!P162&lt;&gt;"","IMPLEMENTER: "&amp;'Excercise - Al '!P162,"")</f>
        <v>IMPLEMENTER: A SM from JTF South was brought to sick call this morning by battle buddy.  SM was badley beaten and raped around 0200 by a fellow soldier.  TF MED (JTFS) has stabilized the SM injuries and  completed initial mental health evaluation.  TF MED is requesting SM be evacuated back to HOR (Birmingham) by MEDEVAC to complete follow up medical care.</v>
      </c>
      <c r="H162" s="85" t="str">
        <f>IF('Excercise - Al '!N162&lt;&gt;"","EXPECTED ACTIONS: "&amp;'Excercise - Al '!N162,"")</f>
        <v/>
      </c>
      <c r="I162" s="85" t="str">
        <f>'Excercise - Al '!R162</f>
        <v>Benton</v>
      </c>
    </row>
    <row r="163" spans="1:9" s="27" customFormat="1" ht="140">
      <c r="A163" s="85">
        <f>'Excercise - Al '!A163</f>
        <v>162</v>
      </c>
      <c r="B163" s="85"/>
      <c r="C163" s="86">
        <f>'Excercise - Al '!E163</f>
        <v>40303.697916666664</v>
      </c>
      <c r="D163" s="85" t="str">
        <f>IF('Excercise - Al '!F163&lt;&gt;0,'Excercise - Al '!F163,"")</f>
        <v>INFO</v>
      </c>
      <c r="E163" s="85" t="str">
        <f>IF('Excercise - Al '!G163&lt;&gt;"","MODE: "&amp;'Excercise - Al '!G163,"")&amp;IF('Excercise - Al '!H163&lt;&gt;"","   FROM: "&amp;'Excercise - Al '!H163,"")&amp;IF('Excercise - Al '!I163&lt;&gt;"","   INJECTED BY: "&amp;'Excercise - Al '!I163,"")&amp;IF('Excercise - Al '!J163&lt;&gt;"","   SEND TO: "&amp;'Excercise - Al '!J163,"")</f>
        <v>MODE: Phone   FROM: Simcell (LEA)   INJECTED BY: SEOC LNO   SEND TO: JOC Message Center</v>
      </c>
      <c r="F163" s="85" t="str">
        <f>IF('Excercise - Al '!K163&lt;&gt;"","STORYLINE: "&amp;'Excercise - Al '!K163,"")&amp;IF('Excercise - Al '!M163&lt;&gt;"","   DESCRIPTION: "&amp;'Excercise - Al '!M163,"")&amp;IF('Excercise - Al '!O163&lt;&gt;"","   NOTES/REMARKS: "&amp;'Excercise - Al '!O163,"")&amp;IF('Excercise - Al '!Q163&lt;&gt;"","   BACKGROUND INFO: "&amp;'Excercise - Al '!Q163,"")</f>
        <v>STORYLINE: Soldier - Citizen Confrontation   DESCRIPTION: Evergreen Police Department reports that a citizen has reported an assault by a NG Soldier.   NOTES/REMARKS: Evergreen Police Department reports that a citizen has walked into their office stating that a Soldier assaulted them in their vehicle at County Hwy 20 and I-65. Police Department states that it also appears the Soldier kicked in the right fender and light of  the citizens car. Assistant Police Chief Fitzgerald wants to know if we have Soldiers in that area? He is on his way out to the scene where the alleged assault occurred.</v>
      </c>
      <c r="G163" s="85" t="str">
        <f>IF('Excercise - Al '!P163&lt;&gt;"","IMPLEMENTER: "&amp;'Excercise - Al '!P163,"")</f>
        <v>IMPLEMENTER: Hi I'm MAJ Fitzgerald the Assistant Police Chief with the Evergreen Police Department. I just had a citizen arrive at our headquarters wishing to file a complaint on an Army Soldier. He stated he was attempting to take I-85 South heading towards Mobile to pick up his elderly Father and a Soldier stopped him and yelled "you need to turn your ass around". He stated that the Soldier then kicked his car, causing damage. He further stated he then got out of his vehicle and approached the Soldier and the Soldier struck him with a closed hand in the face. I'm now on my way out to the scene and just wanted to give you heads up on what has occurred. I take it you have Soldier's in the area doing that lane reversal?</v>
      </c>
      <c r="H163" s="85" t="str">
        <f>IF('Excercise - Al '!N163&lt;&gt;"","EXPECTED ACTIONS: "&amp;'Excercise - Al '!N163,"")</f>
        <v/>
      </c>
      <c r="I163" s="85" t="str">
        <f>'Excercise - Al '!R163</f>
        <v>Wheeler</v>
      </c>
    </row>
    <row r="164" spans="1:9" s="27" customFormat="1" ht="80">
      <c r="A164" s="85">
        <f>'Excercise - Al '!A164</f>
        <v>163</v>
      </c>
      <c r="B164" s="85"/>
      <c r="C164" s="86">
        <f>'Excercise - Al '!E164</f>
        <v>40303.711111111123</v>
      </c>
      <c r="D164" s="85" t="str">
        <f>IF('Excercise - Al '!F164&lt;&gt;0,'Excercise - Al '!F164,"")</f>
        <v>RFI</v>
      </c>
      <c r="E164" s="85" t="str">
        <f>IF('Excercise - Al '!G164&lt;&gt;"","MODE: "&amp;'Excercise - Al '!G164,"")&amp;IF('Excercise - Al '!H164&lt;&gt;"","   FROM: "&amp;'Excercise - Al '!H164,"")&amp;IF('Excercise - Al '!I164&lt;&gt;"","   INJECTED BY: "&amp;'Excercise - Al '!I164,"")&amp;IF('Excercise - Al '!J164&lt;&gt;"","   SEND TO: "&amp;'Excercise - Al '!J164,"")</f>
        <v>MODE: Email   INJECTED BY: HICKS</v>
      </c>
      <c r="F164" s="85" t="str">
        <f>IF('Excercise - Al '!K164&lt;&gt;"","STORYLINE: "&amp;'Excercise - Al '!K164,"")&amp;IF('Excercise - Al '!M164&lt;&gt;"","   DESCRIPTION: "&amp;'Excercise - Al '!M164,"")&amp;IF('Excercise - Al '!O164&lt;&gt;"","   NOTES/REMARKS: "&amp;'Excercise - Al '!O164,"")&amp;IF('Excercise - Al '!Q164&lt;&gt;"","   BACKGROUND INFO: "&amp;'Excercise - Al '!Q164,"")</f>
        <v>STORYLINE: CHAPLAIN &amp; UMT ACTIIVITIES   DESCRIPTION: Civil/Military relations &amp; procurement of Kosher MRE’s   BACKGROUND INFO: Followup to Chaplian inject for shelter and looters.</v>
      </c>
      <c r="G164" s="85" t="str">
        <f>IF('Excercise - Al '!P164&lt;&gt;"","IMPLEMENTER: "&amp;'Excercise - Al '!P164,"")</f>
        <v>IMPLEMENTER: Jewish civilians at the Red Cross shelter have no kosher food and have ask the ARNG chaplain for assistance in obtaining some of theirs. Can these be given to the civilians and how can they be obtained?</v>
      </c>
      <c r="H164" s="85" t="str">
        <f>IF('Excercise - Al '!N164&lt;&gt;"","EXPECTED ACTIONS: "&amp;'Excercise - Al '!N164,"")</f>
        <v>EXPECTED ACTIONS: Evaluate request on four-fold test with interface with J-4</v>
      </c>
      <c r="I164" s="85" t="str">
        <f>'Excercise - Al '!R164</f>
        <v>Hicks</v>
      </c>
    </row>
    <row r="165" spans="1:9" s="27" customFormat="1" ht="70">
      <c r="A165" s="85">
        <f>'Excercise - Al '!A165</f>
        <v>164</v>
      </c>
      <c r="B165" s="85"/>
      <c r="C165" s="86">
        <f>'Excercise - Al '!E165</f>
        <v>40303.75</v>
      </c>
      <c r="D165" s="85" t="str">
        <f>IF('Excercise - Al '!F165&lt;&gt;0,'Excercise - Al '!F165,"")</f>
        <v>RFI</v>
      </c>
      <c r="E165" s="85" t="str">
        <f>IF('Excercise - Al '!G165&lt;&gt;"","MODE: "&amp;'Excercise - Al '!G165,"")&amp;IF('Excercise - Al '!H165&lt;&gt;"","   FROM: "&amp;'Excercise - Al '!H165,"")&amp;IF('Excercise - Al '!I165&lt;&gt;"","   INJECTED BY: "&amp;'Excercise - Al '!I165,"")&amp;IF('Excercise - Al '!J165&lt;&gt;"","   SEND TO: "&amp;'Excercise - Al '!J165,"")</f>
        <v>MODE: Email   INJECTED BY: HICKS</v>
      </c>
      <c r="F165" s="85" t="str">
        <f>IF('Excercise - Al '!K165&lt;&gt;"","STORYLINE: "&amp;'Excercise - Al '!K165,"")&amp;IF('Excercise - Al '!M165&lt;&gt;"","   DESCRIPTION: "&amp;'Excercise - Al '!M165,"")&amp;IF('Excercise - Al '!O165&lt;&gt;"","   NOTES/REMARKS: "&amp;'Excercise - Al '!O165,"")&amp;IF('Excercise - Al '!Q165&lt;&gt;"","   BACKGROUND INFO: "&amp;'Excercise - Al '!Q165,"")</f>
        <v>STORYLINE: CHAPLAIN &amp; UMT ACTIIVITIES   DESCRIPTION: Baptist Home for the Elderly request a UMT (unit ministry team) to help evacuate members to another location.  UMT team are Baptists and want to help.</v>
      </c>
      <c r="G165" s="85" t="str">
        <f>IF('Excercise - Al '!P165&lt;&gt;"","IMPLEMENTER: "&amp;'Excercise - Al '!P165,"")</f>
        <v>IMPLEMENTER: Baptist Home for the Elderly request a UMT (unit ministry team) to help evacuate members to another location.  UMT team are Baptists and want to help.</v>
      </c>
      <c r="H165" s="85" t="str">
        <f>IF('Excercise - Al '!N165&lt;&gt;"","EXPECTED ACTIONS: "&amp;'Excercise - Al '!N165,"")</f>
        <v>EXPECTED ACTIONS: Evaluate request according the four-fold protocol</v>
      </c>
      <c r="I165" s="85" t="str">
        <f>'Excercise - Al '!R165</f>
        <v>Hicks</v>
      </c>
    </row>
    <row r="166" spans="1:9" s="27" customFormat="1" ht="50">
      <c r="A166" s="85">
        <f>'Excercise - Al '!A166</f>
        <v>165</v>
      </c>
      <c r="B166" s="85"/>
      <c r="C166" s="86">
        <f>'Excercise - Al '!E166</f>
        <v>40303.750694444447</v>
      </c>
      <c r="D166" s="85" t="str">
        <f>IF('Excercise - Al '!F166&lt;&gt;0,'Excercise - Al '!F166,"")</f>
        <v>RFI</v>
      </c>
      <c r="E166" s="85" t="str">
        <f>IF('Excercise - Al '!G166&lt;&gt;"","MODE: "&amp;'Excercise - Al '!G166,"")&amp;IF('Excercise - Al '!H166&lt;&gt;"","   FROM: "&amp;'Excercise - Al '!H166,"")&amp;IF('Excercise - Al '!I166&lt;&gt;"","   INJECTED BY: "&amp;'Excercise - Al '!I166,"")&amp;IF('Excercise - Al '!J166&lt;&gt;"","   SEND TO: "&amp;'Excercise - Al '!J166,"")</f>
        <v>MODE: Email   FROM: SimCell (LEA)   INJECTED BY: TOMBERLIN   SEND TO: JOC</v>
      </c>
      <c r="F166" s="85" t="str">
        <f>IF('Excercise - Al '!K166&lt;&gt;"","STORYLINE: "&amp;'Excercise - Al '!K166,"")&amp;IF('Excercise - Al '!M166&lt;&gt;"","   DESCRIPTION: "&amp;'Excercise - Al '!M166,"")&amp;IF('Excercise - Al '!O166&lt;&gt;"","   NOTES/REMARKS: "&amp;'Excercise - Al '!O166,"")&amp;IF('Excercise - Al '!Q166&lt;&gt;"","   BACKGROUND INFO: "&amp;'Excercise - Al '!Q166,"")</f>
        <v xml:space="preserve">   DESCRIPTION: Sheriff deputy (Guard M-day officer) requests evacuation assistance   BACKGROUND INFO: Should refer this request to State EOC</v>
      </c>
      <c r="G166" s="85" t="str">
        <f>IF('Excercise - Al '!P166&lt;&gt;"","IMPLEMENTER: "&amp;'Excercise - Al '!P166,"")</f>
        <v>IMPLEMENTER: Sheriff deputy is Guards M-day officer requests evacuation assistance</v>
      </c>
      <c r="H166" s="85" t="str">
        <f>IF('Excercise - Al '!N166&lt;&gt;"","EXPECTED ACTIONS: "&amp;'Excercise - Al '!N166,"")</f>
        <v/>
      </c>
      <c r="I166" s="85" t="str">
        <f>'Excercise - Al '!R166</f>
        <v>Kahl</v>
      </c>
    </row>
    <row r="167" spans="1:9" s="27" customFormat="1" ht="50">
      <c r="A167" s="85">
        <f>'Excercise - Al '!A167</f>
        <v>166</v>
      </c>
      <c r="B167" s="85"/>
      <c r="C167" s="86">
        <f>'Excercise - Al '!E167</f>
        <v>40303.760416666664</v>
      </c>
      <c r="D167" s="85" t="str">
        <f>IF('Excercise - Al '!F167&lt;&gt;0,'Excercise - Al '!F167,"")</f>
        <v>INFO</v>
      </c>
      <c r="E167" s="85" t="str">
        <f>IF('Excercise - Al '!G167&lt;&gt;"","MODE: "&amp;'Excercise - Al '!G167,"")&amp;IF('Excercise - Al '!H167&lt;&gt;"","   FROM: "&amp;'Excercise - Al '!H167,"")&amp;IF('Excercise - Al '!I167&lt;&gt;"","   INJECTED BY: "&amp;'Excercise - Al '!I167,"")&amp;IF('Excercise - Al '!J167&lt;&gt;"","   SEND TO: "&amp;'Excercise - Al '!J167,"")</f>
        <v>MODE: Email   FROM: AEMA   INJECTED BY: BENTON   SEND TO: J3</v>
      </c>
      <c r="F167" s="85" t="str">
        <f>IF('Excercise - Al '!K167&lt;&gt;"","STORYLINE: "&amp;'Excercise - Al '!K167,"")&amp;IF('Excercise - Al '!M167&lt;&gt;"","   DESCRIPTION: "&amp;'Excercise - Al '!M167,"")&amp;IF('Excercise - Al '!O167&lt;&gt;"","   NOTES/REMARKS: "&amp;'Excercise - Al '!O167,"")&amp;IF('Excercise - Al '!Q167&lt;&gt;"","   BACKGROUND INFO: "&amp;'Excercise - Al '!Q167,"")</f>
        <v xml:space="preserve">   DESCRIPTION: AEMA preliminary report indicates civilians getting sick after drinking from a National Guard water trailer (M112) VIC Foley Courthouse</v>
      </c>
      <c r="G167" s="85" t="str">
        <f>IF('Excercise - Al '!P167&lt;&gt;"","IMPLEMENTER: "&amp;'Excercise - Al '!P167,"")</f>
        <v>IMPLEMENTER: AEMA preliminary report indicates civilians getting sick after drinking from a National Guard water trailer (M112) VIC Foley Courthouse</v>
      </c>
      <c r="H167" s="85" t="str">
        <f>IF('Excercise - Al '!N167&lt;&gt;"","EXPECTED ACTIONS: "&amp;'Excercise - Al '!N167,"")</f>
        <v/>
      </c>
      <c r="I167" s="85" t="str">
        <f>'Excercise - Al '!R167</f>
        <v>Benton</v>
      </c>
    </row>
    <row r="168" spans="1:9" s="27" customFormat="1" ht="50">
      <c r="A168" s="85">
        <f>'Excercise - Al '!A168</f>
        <v>167</v>
      </c>
      <c r="B168" s="85"/>
      <c r="C168" s="86">
        <f>'Excercise - Al '!E168</f>
        <v>40303.767361111109</v>
      </c>
      <c r="D168" s="85" t="str">
        <f>IF('Excercise - Al '!F168&lt;&gt;0,'Excercise - Al '!F168,"")</f>
        <v>INFO</v>
      </c>
      <c r="E168" s="85" t="str">
        <f>IF('Excercise - Al '!G168&lt;&gt;"","MODE: "&amp;'Excercise - Al '!G168,"")&amp;IF('Excercise - Al '!H168&lt;&gt;"","   FROM: "&amp;'Excercise - Al '!H168,"")&amp;IF('Excercise - Al '!I168&lt;&gt;"","   INJECTED BY: "&amp;'Excercise - Al '!I168,"")&amp;IF('Excercise - Al '!J168&lt;&gt;"","   SEND TO: "&amp;'Excercise - Al '!J168,"")</f>
        <v>MODE: Email   FROM: AEMA   INJECTED BY: BENTON   SEND TO: J1</v>
      </c>
      <c r="F168" s="85" t="str">
        <f>IF('Excercise - Al '!K168&lt;&gt;"","STORYLINE: "&amp;'Excercise - Al '!K168,"")&amp;IF('Excercise - Al '!M168&lt;&gt;"","   DESCRIPTION: "&amp;'Excercise - Al '!M168,"")&amp;IF('Excercise - Al '!O168&lt;&gt;"","   NOTES/REMARKS: "&amp;'Excercise - Al '!O168,"")&amp;IF('Excercise - Al '!Q168&lt;&gt;"","   BACKGROUND INFO: "&amp;'Excercise - Al '!Q168,"")</f>
        <v xml:space="preserve">   DESCRIPTION: AEMA preliminary report indicates civilians getting sick after drinking from a National Guard water trailer (M112) VIC Dauphin Island</v>
      </c>
      <c r="G168" s="85" t="str">
        <f>IF('Excercise - Al '!P168&lt;&gt;"","IMPLEMENTER: "&amp;'Excercise - Al '!P168,"")</f>
        <v>IMPLEMENTER: AEMA preliminary report indicates civilians getting sick after drinking from a National Guard water trailer (M112) VIC Dauphin Island</v>
      </c>
      <c r="H168" s="85" t="str">
        <f>IF('Excercise - Al '!N168&lt;&gt;"","EXPECTED ACTIONS: "&amp;'Excercise - Al '!N168,"")</f>
        <v/>
      </c>
      <c r="I168" s="85" t="str">
        <f>'Excercise - Al '!R168</f>
        <v>Benton</v>
      </c>
    </row>
    <row r="169" spans="1:9" s="27" customFormat="1" ht="50">
      <c r="A169" s="85">
        <f>'Excercise - Al '!A169</f>
        <v>168</v>
      </c>
      <c r="B169" s="85"/>
      <c r="C169" s="86">
        <f>'Excercise - Al '!E169</f>
        <v>40303.802083333336</v>
      </c>
      <c r="D169" s="85" t="str">
        <f>IF('Excercise - Al '!F169&lt;&gt;0,'Excercise - Al '!F169,"")</f>
        <v>RFI</v>
      </c>
      <c r="E169" s="85" t="str">
        <f>IF('Excercise - Al '!G169&lt;&gt;"","MODE: "&amp;'Excercise - Al '!G169,"")&amp;IF('Excercise - Al '!H169&lt;&gt;"","   FROM: "&amp;'Excercise - Al '!H169,"")&amp;IF('Excercise - Al '!I169&lt;&gt;"","   INJECTED BY: "&amp;'Excercise - Al '!I169,"")&amp;IF('Excercise - Al '!J169&lt;&gt;"","   SEND TO: "&amp;'Excercise - Al '!J169,"")</f>
        <v>MODE: Email   FROM: JTF S   INJECTED BY: JOHNSON   SEND TO: J1</v>
      </c>
      <c r="F169" s="85" t="str">
        <f>IF('Excercise - Al '!K169&lt;&gt;"","STORYLINE: "&amp;'Excercise - Al '!K169,"")&amp;IF('Excercise - Al '!M169&lt;&gt;"","   DESCRIPTION: "&amp;'Excercise - Al '!M169,"")&amp;IF('Excercise - Al '!O169&lt;&gt;"","   NOTES/REMARKS: "&amp;'Excercise - Al '!O169,"")&amp;IF('Excercise - Al '!Q169&lt;&gt;"","   BACKGROUND INFO: "&amp;'Excercise - Al '!Q169,"")</f>
        <v xml:space="preserve">   DESCRIPTION: Soldier's mother calls the American Red Cross Shelters trying to contact her son who is deployed to Atmore.  She wants to send a Red Cross message that his Uncle has died suddenly.</v>
      </c>
      <c r="G169" s="85" t="str">
        <f>IF('Excercise - Al '!P169&lt;&gt;"","IMPLEMENTER: "&amp;'Excercise - Al '!P169,"")</f>
        <v>IMPLEMENTER: Soldier's mother calls the American Red Cross Shelters trying to contact her son who is deployed to Atmore.  She wants to send a Red Cross message that his Uncle has died suddenly.</v>
      </c>
      <c r="H169" s="85" t="str">
        <f>IF('Excercise - Al '!N169&lt;&gt;"","EXPECTED ACTIONS: "&amp;'Excercise - Al '!N169,"")</f>
        <v/>
      </c>
      <c r="I169" s="85" t="str">
        <f>'Excercise - Al '!R169</f>
        <v>Benton</v>
      </c>
    </row>
    <row r="170" spans="1:9" s="27" customFormat="1" ht="30">
      <c r="A170" s="85">
        <f>'Excercise - Al '!A170</f>
        <v>169</v>
      </c>
      <c r="B170" s="85"/>
      <c r="C170" s="86">
        <f>'Excercise - Al '!E170</f>
        <v>40303.802777777775</v>
      </c>
      <c r="D170" s="85" t="str">
        <f>IF('Excercise - Al '!F170&lt;&gt;0,'Excercise - Al '!F170,"")</f>
        <v>RFI</v>
      </c>
      <c r="E170" s="85" t="str">
        <f>IF('Excercise - Al '!G170&lt;&gt;"","MODE: "&amp;'Excercise - Al '!G170,"")&amp;IF('Excercise - Al '!H170&lt;&gt;"","   FROM: "&amp;'Excercise - Al '!H170,"")&amp;IF('Excercise - Al '!I170&lt;&gt;"","   INJECTED BY: "&amp;'Excercise - Al '!I170,"")&amp;IF('Excercise - Al '!J170&lt;&gt;"","   SEND TO: "&amp;'Excercise - Al '!J170,"")</f>
        <v>MODE: Email   INJECTED BY: DENNIS</v>
      </c>
      <c r="F170" s="85" t="str">
        <f>IF('Excercise - Al '!K170&lt;&gt;"","STORYLINE: "&amp;'Excercise - Al '!K170,"")&amp;IF('Excercise - Al '!M170&lt;&gt;"","   DESCRIPTION: "&amp;'Excercise - Al '!M170,"")&amp;IF('Excercise - Al '!O170&lt;&gt;"","   NOTES/REMARKS: "&amp;'Excercise - Al '!O170,"")&amp;IF('Excercise - Al '!Q170&lt;&gt;"","   BACKGROUND INFO: "&amp;'Excercise - Al '!Q170,"")</f>
        <v xml:space="preserve">   DESCRIPTION: TF South are requesting 50 port-o-let for units.</v>
      </c>
      <c r="G170" s="85" t="str">
        <f>IF('Excercise - Al '!P170&lt;&gt;"","IMPLEMENTER: "&amp;'Excercise - Al '!P170,"")</f>
        <v>IMPLEMENTER: TF South are requesting 50 port-o-let for units.</v>
      </c>
      <c r="H170" s="85" t="str">
        <f>IF('Excercise - Al '!N170&lt;&gt;"","EXPECTED ACTIONS: "&amp;'Excercise - Al '!N170,"")</f>
        <v/>
      </c>
      <c r="I170" s="85" t="str">
        <f>'Excercise - Al '!R170</f>
        <v>Therman</v>
      </c>
    </row>
    <row r="171" spans="1:9" s="27" customFormat="1" ht="110">
      <c r="A171" s="85">
        <f>'Excercise - Al '!A171</f>
        <v>170</v>
      </c>
      <c r="B171" s="85"/>
      <c r="C171" s="86">
        <f>'Excercise - Al '!E171</f>
        <v>40303.916666666664</v>
      </c>
      <c r="D171" s="85" t="str">
        <f>IF('Excercise - Al '!F171&lt;&gt;0,'Excercise - Al '!F171,"")</f>
        <v>INFO</v>
      </c>
      <c r="E171" s="85" t="str">
        <f>IF('Excercise - Al '!G171&lt;&gt;"","MODE: "&amp;'Excercise - Al '!G171,"")&amp;IF('Excercise - Al '!H171&lt;&gt;"","   FROM: "&amp;'Excercise - Al '!H171,"")&amp;IF('Excercise - Al '!I171&lt;&gt;"","   INJECTED BY: "&amp;'Excercise - Al '!I171,"")&amp;IF('Excercise - Al '!J171&lt;&gt;"","   SEND TO: "&amp;'Excercise - Al '!J171,"")</f>
        <v>MODE: Email   FROM: Simcell - National Hurricane Center   INJECTED BY: KEANE   SEND TO: JOC, All</v>
      </c>
      <c r="F171" s="85" t="str">
        <f>IF('Excercise - Al '!K171&lt;&gt;"","STORYLINE: "&amp;'Excercise - Al '!K171,"")&amp;IF('Excercise - Al '!M171&lt;&gt;"","   DESCRIPTION: "&amp;'Excercise - Al '!M171,"")&amp;IF('Excercise - Al '!O171&lt;&gt;"","   NOTES/REMARKS: "&amp;'Excercise - Al '!O171,"")&amp;IF('Excercise - Al '!Q171&lt;&gt;"","   BACKGROUND INFO: "&amp;'Excercise - Al '!Q171,"")</f>
        <v>STORYLINE: Tropical Storm Al Update 20   DESCRIPTION: Tropical Storm Al Update 20</v>
      </c>
      <c r="G171" s="85" t="str">
        <f>IF('Excercise - Al '!P171&lt;&gt;"","IMPLEMENTER: "&amp;'Excercise - Al '!P171,"")</f>
        <v>IMPLEMENTER: _x000D_...HURRICANE AL APPROACHES THE GULF COAST..._x000D__x000D__x000D_SUMMARY OF 1100 PM EDT...0300 UTC...INFORMATION_x000D_-----------------------------------------------_x000D_LOCATION...29.2N 88.6W_x000D_ABOUT 102 MILES...164 KM...EAST-SOUTHEAST OF NEW ORLEANS LOUISIANA _x000D_ABOUT 108 MILES...174 KM...SOUTH-SOUTHWEST OF MOBILE ALABAMA _x000D_MAXIMUM SUSTAINED WINDS...130 MPH...209 KM/HR_x000D_PRESENT MOVEMENT...NORTHERLY OR 12 DEGREES AT 10 MPH...16 KM/HR_x000D_MINIMUM CENTRAL PRESSURE 945 MB...27.91 INCHES_x000D__x000D_</v>
      </c>
      <c r="H171" s="85" t="str">
        <f>IF('Excercise - Al '!N171&lt;&gt;"","EXPECTED ACTIONS: "&amp;'Excercise - Al '!N171,"")</f>
        <v/>
      </c>
      <c r="I171" s="85" t="str">
        <f>'Excercise - Al '!R171</f>
        <v>Keane</v>
      </c>
    </row>
    <row r="172" spans="1:9" s="27" customFormat="1" ht="120">
      <c r="A172" s="85">
        <f>'Excercise - Al '!A172</f>
        <v>171</v>
      </c>
      <c r="B172" s="85"/>
      <c r="C172" s="86">
        <f>'Excercise - Al '!E172</f>
        <v>40304.166666666664</v>
      </c>
      <c r="D172" s="85" t="str">
        <f>IF('Excercise - Al '!F172&lt;&gt;0,'Excercise - Al '!F172,"")</f>
        <v>INFO</v>
      </c>
      <c r="E172" s="85" t="str">
        <f>IF('Excercise - Al '!G172&lt;&gt;"","MODE: "&amp;'Excercise - Al '!G172,"")&amp;IF('Excercise - Al '!H172&lt;&gt;"","   FROM: "&amp;'Excercise - Al '!H172,"")&amp;IF('Excercise - Al '!I172&lt;&gt;"","   INJECTED BY: "&amp;'Excercise - Al '!I172,"")&amp;IF('Excercise - Al '!J172&lt;&gt;"","   SEND TO: "&amp;'Excercise - Al '!J172,"")</f>
        <v>MODE: Email   FROM: Simcell - National Hurricane Center   INJECTED BY: KEANE   SEND TO: JOC, All</v>
      </c>
      <c r="F172" s="85" t="str">
        <f>IF('Excercise - Al '!K172&lt;&gt;"","STORYLINE: "&amp;'Excercise - Al '!K172,"")&amp;IF('Excercise - Al '!M172&lt;&gt;"","   DESCRIPTION: "&amp;'Excercise - Al '!M172,"")&amp;IF('Excercise - Al '!O172&lt;&gt;"","   NOTES/REMARKS: "&amp;'Excercise - Al '!O172,"")&amp;IF('Excercise - Al '!Q172&lt;&gt;"","   BACKGROUND INFO: "&amp;'Excercise - Al '!Q172,"")</f>
        <v>STORYLINE: Tropical Storm Al Update 21   DESCRIPTION: Tropical Storm Al Update 21</v>
      </c>
      <c r="G172" s="85" t="str">
        <f>IF('Excercise - Al '!P172&lt;&gt;"","IMPLEMENTER: "&amp;'Excercise - Al '!P172,"")</f>
        <v>IMPLEMENTER: _x000D_...HURRICANE AL LANDFALL IMMINENT BETWEEN BILOXI AND MOBILE..._x000D__x000D__x000D_SUMMARY OF 500 AM EDT...0900 UTC...INFORMATION_x000D_-----------------------------------------------_x000D_LOCATION...30.1N 88.4W_x000D_ABOUT 46 MILES...73 KM...SOUTH-SOUTHWEST OF MOBILE ALABAMA_x000D_ABOUT 100 MILES...162KM...EAST OF NEW ORLEANS LOUISIANA _x000D_MAXIMUM SUSTAINED WINDS...145 MPH...233 KM/HR_x000D_PRESENT MOVEMENT...NORTHERLY OR 19 DEGREES AT 10 MPH...16 KM/HR_x000D_MINIMUM CENTRAL PRESSURE 944 MB...27.88 INCHES_x000D__x000D_</v>
      </c>
      <c r="H172" s="85" t="str">
        <f>IF('Excercise - Al '!N172&lt;&gt;"","EXPECTED ACTIONS: "&amp;'Excercise - Al '!N172,"")</f>
        <v/>
      </c>
      <c r="I172" s="85" t="str">
        <f>'Excercise - Al '!R172</f>
        <v>Keane</v>
      </c>
    </row>
    <row r="173" spans="1:9" s="27" customFormat="1">
      <c r="A173" s="85">
        <f>'Excercise - Al '!A173</f>
        <v>172</v>
      </c>
      <c r="B173" s="85"/>
      <c r="C173" s="86">
        <f>'Excercise - Al '!E173</f>
        <v>40304.208333333336</v>
      </c>
      <c r="D173" s="85" t="str">
        <f>IF('Excercise - Al '!F173&lt;&gt;0,'Excercise - Al '!F173,"")</f>
        <v/>
      </c>
      <c r="E173" s="85" t="str">
        <f>IF('Excercise - Al '!G173&lt;&gt;"","MODE: "&amp;'Excercise - Al '!G173,"")&amp;IF('Excercise - Al '!H173&lt;&gt;"","   FROM: "&amp;'Excercise - Al '!H173,"")&amp;IF('Excercise - Al '!I173&lt;&gt;"","   INJECTED BY: "&amp;'Excercise - Al '!I173,"")&amp;IF('Excercise - Al '!J173&lt;&gt;"","   SEND TO: "&amp;'Excercise - Al '!J173,"")</f>
        <v/>
      </c>
      <c r="F173" s="85" t="str">
        <f>IF('Excercise - Al '!K173&lt;&gt;"","STORYLINE: "&amp;'Excercise - Al '!K173,"")&amp;IF('Excercise - Al '!M173&lt;&gt;"","   DESCRIPTION: "&amp;'Excercise - Al '!M173,"")&amp;IF('Excercise - Al '!O173&lt;&gt;"","   NOTES/REMARKS: "&amp;'Excercise - Al '!O173,"")&amp;IF('Excercise - Al '!Q173&lt;&gt;"","   BACKGROUND INFO: "&amp;'Excercise - Al '!Q173,"")</f>
        <v/>
      </c>
      <c r="G173" s="85" t="str">
        <f>IF('Excercise - Al '!P173&lt;&gt;"","IMPLEMENTER: "&amp;'Excercise - Al '!P173,"")</f>
        <v>IMPLEMENTER: Landfall</v>
      </c>
      <c r="H173" s="85" t="str">
        <f>IF('Excercise - Al '!N173&lt;&gt;"","EXPECTED ACTIONS: "&amp;'Excercise - Al '!N173,"")</f>
        <v/>
      </c>
      <c r="I173" s="85" t="str">
        <f>'Excercise - Al '!R173</f>
        <v>Keane</v>
      </c>
    </row>
    <row r="174" spans="1:9" s="27" customFormat="1" ht="70">
      <c r="A174" s="85">
        <f>'Excercise - Al '!A174</f>
        <v>173</v>
      </c>
      <c r="B174" s="85"/>
      <c r="C174" s="86">
        <f>'Excercise - Al '!E174</f>
        <v>40304.25</v>
      </c>
      <c r="D174" s="85" t="str">
        <f>IF('Excercise - Al '!F174&lt;&gt;0,'Excercise - Al '!F174,"")</f>
        <v>RFI</v>
      </c>
      <c r="E174" s="85" t="str">
        <f>IF('Excercise - Al '!G174&lt;&gt;"","MODE: "&amp;'Excercise - Al '!G174,"")&amp;IF('Excercise - Al '!H174&lt;&gt;"","   FROM: "&amp;'Excercise - Al '!H174,"")&amp;IF('Excercise - Al '!I174&lt;&gt;"","   INJECTED BY: "&amp;'Excercise - Al '!I174,"")&amp;IF('Excercise - Al '!J174&lt;&gt;"","   SEND TO: "&amp;'Excercise - Al '!J174,"")</f>
        <v>MODE: Email   INJECTED BY: HICKS</v>
      </c>
      <c r="F174" s="85" t="str">
        <f>IF('Excercise - Al '!K174&lt;&gt;"","STORYLINE: "&amp;'Excercise - Al '!K174,"")&amp;IF('Excercise - Al '!M174&lt;&gt;"","   DESCRIPTION: "&amp;'Excercise - Al '!M174,"")&amp;IF('Excercise - Al '!O174&lt;&gt;"","   NOTES/REMARKS: "&amp;'Excercise - Al '!O174,"")&amp;IF('Excercise - Al '!Q174&lt;&gt;"","   BACKGROUND INFO: "&amp;'Excercise - Al '!Q174,"")</f>
        <v>STORYLINE: CHAPLAIN &amp; UMT ACTIIVITIES   DESCRIPTION: Looting of chaplain supplies reported</v>
      </c>
      <c r="G174" s="85" t="str">
        <f>IF('Excercise - Al '!P174&lt;&gt;"","IMPLEMENTER: "&amp;'Excercise - Al '!P174,"")</f>
        <v>IMPLEMENTER: Overnight, looters break into the chaplain van stealing communion wine and cases of MRE’s including Kosher and Hallal MRE’s (For Jewish &amp; Muslim soldiers)</v>
      </c>
      <c r="H174" s="85" t="str">
        <f>IF('Excercise - Al '!N174&lt;&gt;"","EXPECTED ACTIONS: "&amp;'Excercise - Al '!N174,"")</f>
        <v>EXPECTED ACTIONS: Contact MP’s;  Request re-supply from J-4</v>
      </c>
      <c r="I174" s="85" t="str">
        <f>'Excercise - Al '!R174</f>
        <v>Hicks</v>
      </c>
    </row>
    <row r="175" spans="1:9" s="27" customFormat="1" ht="60">
      <c r="A175" s="85">
        <f>'Excercise - Al '!A175</f>
        <v>174</v>
      </c>
      <c r="B175" s="85"/>
      <c r="C175" s="86">
        <f>'Excercise - Al '!E175</f>
        <v>40304.291666666664</v>
      </c>
      <c r="D175" s="85" t="str">
        <f>IF('Excercise - Al '!F175&lt;&gt;0,'Excercise - Al '!F175,"")</f>
        <v>INFO</v>
      </c>
      <c r="E175" s="85" t="str">
        <f>IF('Excercise - Al '!G175&lt;&gt;"","MODE: "&amp;'Excercise - Al '!G175,"")&amp;IF('Excercise - Al '!H175&lt;&gt;"","   FROM: "&amp;'Excercise - Al '!H175,"")&amp;IF('Excercise - Al '!I175&lt;&gt;"","   INJECTED BY: "&amp;'Excercise - Al '!I175,"")&amp;IF('Excercise - Al '!J175&lt;&gt;"","   SEND TO: "&amp;'Excercise - Al '!J175,"")</f>
        <v>MODE: EMITS   FROM: AEMA   INJECTED BY: SEOC LNO   SEND TO: AEMA</v>
      </c>
      <c r="F175" s="85" t="str">
        <f>IF('Excercise - Al '!K175&lt;&gt;"","STORYLINE: "&amp;'Excercise - Al '!K175,"")&amp;IF('Excercise - Al '!M175&lt;&gt;"","   DESCRIPTION: "&amp;'Excercise - Al '!M175,"")&amp;IF('Excercise - Al '!O175&lt;&gt;"","   NOTES/REMARKS: "&amp;'Excercise - Al '!O175,"")&amp;IF('Excercise - Al '!Q175&lt;&gt;"","   BACKGROUND INFO: "&amp;'Excercise - Al '!Q175,"")</f>
        <v xml:space="preserve">   DESCRIPTION: Alabama Power has shut down the Joseph M. Farley Nuclear Power Plant </v>
      </c>
      <c r="G175" s="85" t="str">
        <f>IF('Excercise - Al '!P175&lt;&gt;"","IMPLEMENTER: "&amp;'Excercise - Al '!P175,"")</f>
        <v xml:space="preserve">IMPLEMENTER: At approximately 0300, Alabama Power shut down the Joseph M. Farley Nuclear Power Plant in Dothan as a precaution.  It is expected to be back on-line 4 hours after Hurricane Al passes through the area.  The Electric grid is suffering brown out conditions to further complicate power distribution. </v>
      </c>
      <c r="H175" s="85" t="str">
        <f>IF('Excercise - Al '!N175&lt;&gt;"","EXPECTED ACTIONS: "&amp;'Excercise - Al '!N175,"")</f>
        <v/>
      </c>
      <c r="I175" s="85" t="str">
        <f>'Excercise - Al '!R175</f>
        <v>Keane</v>
      </c>
    </row>
    <row r="176" spans="1:9" s="27" customFormat="1" ht="50">
      <c r="A176" s="85">
        <f>'Excercise - Al '!A176</f>
        <v>175</v>
      </c>
      <c r="B176" s="85"/>
      <c r="C176" s="86">
        <f>'Excercise - Al '!E176</f>
        <v>40303.760416666664</v>
      </c>
      <c r="D176" s="85" t="str">
        <f>IF('Excercise - Al '!F176&lt;&gt;0,'Excercise - Al '!F176,"")</f>
        <v>RFI</v>
      </c>
      <c r="E176" s="85" t="str">
        <f>IF('Excercise - Al '!G176&lt;&gt;"","MODE: "&amp;'Excercise - Al '!G176,"")&amp;IF('Excercise - Al '!H176&lt;&gt;"","   FROM: "&amp;'Excercise - Al '!H176,"")&amp;IF('Excercise - Al '!I176&lt;&gt;"","   INJECTED BY: "&amp;'Excercise - Al '!I176,"")&amp;IF('Excercise - Al '!J176&lt;&gt;"","   SEND TO: "&amp;'Excercise - Al '!J176,"")</f>
        <v>MODE: Email   FROM: JTF N   INJECTED BY: BENTON   SEND TO: J4</v>
      </c>
      <c r="F176" s="85" t="str">
        <f>IF('Excercise - Al '!K176&lt;&gt;"","STORYLINE: "&amp;'Excercise - Al '!K176,"")&amp;IF('Excercise - Al '!M176&lt;&gt;"","   DESCRIPTION: "&amp;'Excercise - Al '!M176,"")&amp;IF('Excercise - Al '!O176&lt;&gt;"","   NOTES/REMARKS: "&amp;'Excercise - Al '!O176,"")&amp;IF('Excercise - Al '!Q176&lt;&gt;"","   BACKGROUND INFO: "&amp;'Excercise - Al '!Q176,"")</f>
        <v>STORYLINE: Moved Up to 5/5/10.  CL VIII Resupply Request (75 CLS Bags)   DESCRIPTION: Units request resupply of CL 75 CLS bags.  TF Med (JTF North) can not support.</v>
      </c>
      <c r="G176" s="85" t="str">
        <f>IF('Excercise - Al '!P176&lt;&gt;"","IMPLEMENTER: "&amp;'Excercise - Al '!P176,"")</f>
        <v>IMPLEMENTER: Units request resupply of CL 75 CLS bags.  TF Med (JTF North) can not support.</v>
      </c>
      <c r="H176" s="85" t="str">
        <f>IF('Excercise - Al '!N176&lt;&gt;"","EXPECTED ACTIONS: "&amp;'Excercise - Al '!N176,"")</f>
        <v/>
      </c>
      <c r="I176" s="85" t="str">
        <f>'Excercise - Al '!R176</f>
        <v>Benton</v>
      </c>
    </row>
    <row r="177" spans="1:9" s="27" customFormat="1" ht="50">
      <c r="A177" s="85">
        <f>'Excercise - Al '!A177</f>
        <v>176</v>
      </c>
      <c r="B177" s="85"/>
      <c r="C177" s="86">
        <f>'Excercise - Al '!E177</f>
        <v>40304.305555555555</v>
      </c>
      <c r="D177" s="85" t="str">
        <f>IF('Excercise - Al '!F177&lt;&gt;0,'Excercise - Al '!F177,"")</f>
        <v>INFO</v>
      </c>
      <c r="E177" s="85" t="str">
        <f>IF('Excercise - Al '!G177&lt;&gt;"","MODE: "&amp;'Excercise - Al '!G177,"")&amp;IF('Excercise - Al '!H177&lt;&gt;"","   FROM: "&amp;'Excercise - Al '!H177,"")&amp;IF('Excercise - Al '!I177&lt;&gt;"","   INJECTED BY: "&amp;'Excercise - Al '!I177,"")&amp;IF('Excercise - Al '!J177&lt;&gt;"","   SEND TO: "&amp;'Excercise - Al '!J177,"")</f>
        <v>MODE: SIR   FROM: White Cell - JTF South   INJECTED BY: POLLARD   SEND TO: JOC</v>
      </c>
      <c r="F177" s="85" t="str">
        <f>IF('Excercise - Al '!K177&lt;&gt;"","STORYLINE: "&amp;'Excercise - Al '!K177,"")&amp;IF('Excercise - Al '!M177&lt;&gt;"","   DESCRIPTION: "&amp;'Excercise - Al '!M177,"")&amp;IF('Excercise - Al '!O177&lt;&gt;"","   NOTES/REMARKS: "&amp;'Excercise - Al '!O177,"")&amp;IF('Excercise - Al '!Q177&lt;&gt;"","   BACKGROUND INFO: "&amp;'Excercise - Al '!Q177,"")</f>
        <v>STORYLINE:  HMMWV Roll over   DESCRIPTION:  HMMWV Roll over</v>
      </c>
      <c r="G177" s="85" t="str">
        <f>IF('Excercise - Al '!P177&lt;&gt;"","IMPLEMENTER: "&amp;'Excercise - Al '!P177,"")</f>
        <v>IMPLEMENTER: Hydroplane into ditch due to high speed of travel and bad road conditions.  Soldiers hurt</v>
      </c>
      <c r="H177" s="85" t="str">
        <f>IF('Excercise - Al '!N177&lt;&gt;"","EXPECTED ACTIONS: "&amp;'Excercise - Al '!N177,"")</f>
        <v/>
      </c>
      <c r="I177" s="85" t="str">
        <f>'Excercise - Al '!R177</f>
        <v>Kahl</v>
      </c>
    </row>
    <row r="178" spans="1:9" s="27" customFormat="1" ht="60">
      <c r="A178" s="85">
        <f>'Excercise - Al '!A178</f>
        <v>177</v>
      </c>
      <c r="B178" s="85"/>
      <c r="C178" s="86">
        <f>'Excercise - Al '!E178</f>
        <v>40304.319444444445</v>
      </c>
      <c r="D178" s="85" t="str">
        <f>IF('Excercise - Al '!F178&lt;&gt;0,'Excercise - Al '!F178,"")</f>
        <v>INFO</v>
      </c>
      <c r="E178" s="85" t="str">
        <f>IF('Excercise - Al '!G178&lt;&gt;"","MODE: "&amp;'Excercise - Al '!G178,"")&amp;IF('Excercise - Al '!H178&lt;&gt;"","   FROM: "&amp;'Excercise - Al '!H178,"")&amp;IF('Excercise - Al '!I178&lt;&gt;"","   INJECTED BY: "&amp;'Excercise - Al '!I178,"")&amp;IF('Excercise - Al '!J178&lt;&gt;"","   SEND TO: "&amp;'Excercise - Al '!J178,"")</f>
        <v>MODE: RFI/ Phone   FROM: White Cell - JTF South   INJECTED BY: POLLARD   SEND TO: JOC, CFMO</v>
      </c>
      <c r="F178" s="85" t="str">
        <f>IF('Excercise - Al '!K178&lt;&gt;"","STORYLINE: "&amp;'Excercise - Al '!K178,"")&amp;IF('Excercise - Al '!M178&lt;&gt;"","   DESCRIPTION: "&amp;'Excercise - Al '!M178,"")&amp;IF('Excercise - Al '!O178&lt;&gt;"","   NOTES/REMARKS: "&amp;'Excercise - Al '!O178,"")&amp;IF('Excercise - Al '!Q178&lt;&gt;"","   BACKGROUND INFO: "&amp;'Excercise - Al '!Q178,"")</f>
        <v xml:space="preserve">   DESCRIPTION: Armory Sanitation Backing up</v>
      </c>
      <c r="G178" s="85" t="str">
        <f>IF('Excercise - Al '!P178&lt;&gt;"","IMPLEMENTER: "&amp;'Excercise - Al '!P178,"")</f>
        <v>IMPLEMENTER: Armory used as staging area has no water or sanitation</v>
      </c>
      <c r="H178" s="85" t="str">
        <f>IF('Excercise - Al '!N178&lt;&gt;"","EXPECTED ACTIONS: "&amp;'Excercise - Al '!N178,"")</f>
        <v/>
      </c>
      <c r="I178" s="85" t="str">
        <f>'Excercise - Al '!R178</f>
        <v>Kahl</v>
      </c>
    </row>
    <row r="179" spans="1:9" s="27" customFormat="1" ht="90">
      <c r="A179" s="85">
        <f>'Excercise - Al '!A179</f>
        <v>178</v>
      </c>
      <c r="B179" s="85"/>
      <c r="C179" s="86">
        <f>'Excercise - Al '!E179</f>
        <v>40304.333333333336</v>
      </c>
      <c r="D179" s="85" t="str">
        <f>IF('Excercise - Al '!F179&lt;&gt;0,'Excercise - Al '!F179,"")</f>
        <v>INFO</v>
      </c>
      <c r="E179" s="85" t="str">
        <f>IF('Excercise - Al '!G179&lt;&gt;"","MODE: "&amp;'Excercise - Al '!G179,"")&amp;IF('Excercise - Al '!H179&lt;&gt;"","   FROM: "&amp;'Excercise - Al '!H179,"")&amp;IF('Excercise - Al '!I179&lt;&gt;"","   INJECTED BY: "&amp;'Excercise - Al '!I179,"")&amp;IF('Excercise - Al '!J179&lt;&gt;"","   SEND TO: "&amp;'Excercise - Al '!J179,"")</f>
        <v>MODE: EMITS   FROM: AEMA   INJECTED BY: SEOC LNO   SEND TO: White Cell thru AEMA</v>
      </c>
      <c r="F179" s="85" t="str">
        <f>IF('Excercise - Al '!K179&lt;&gt;"","STORYLINE: "&amp;'Excercise - Al '!K179,"")&amp;IF('Excercise - Al '!M179&lt;&gt;"","   DESCRIPTION: "&amp;'Excercise - Al '!M179,"")&amp;IF('Excercise - Al '!O179&lt;&gt;"","   NOTES/REMARKS: "&amp;'Excercise - Al '!O179,"")&amp;IF('Excercise - Al '!Q179&lt;&gt;"","   BACKGROUND INFO: "&amp;'Excercise - Al '!Q179,"")</f>
        <v xml:space="preserve">   DESCRIPTION: Presidential Disaster Declaration</v>
      </c>
      <c r="G179" s="85" t="str">
        <f>IF('Excercise - Al '!P179&lt;&gt;"","IMPLEMENTER: "&amp;'Excercise - Al '!P179,"")</f>
        <v>IMPLEMENTER: At the request of the FL, MS and AL governors, the President has approved a Major Disaster Declaration for all counties affected by Hurricane AL in Florida, Mississippi and Alabama.  Both the National Response Framework (NRF) and the Stafford Act have been activated.  Representatives from the Federal Emergency Management Agency will begin coordinating Federal-level support to affected states._x000D_</v>
      </c>
      <c r="H179" s="85" t="str">
        <f>IF('Excercise - Al '!N179&lt;&gt;"","EXPECTED ACTIONS: "&amp;'Excercise - Al '!N179,"")</f>
        <v/>
      </c>
      <c r="I179" s="85" t="str">
        <f>'Excercise - Al '!R179</f>
        <v>Keane</v>
      </c>
    </row>
    <row r="180" spans="1:9" s="27" customFormat="1" ht="110">
      <c r="A180" s="85">
        <f>'Excercise - Al '!A180</f>
        <v>179</v>
      </c>
      <c r="B180" s="85"/>
      <c r="C180" s="86">
        <f>'Excercise - Al '!E180</f>
        <v>40304.333333333336</v>
      </c>
      <c r="D180" s="85" t="str">
        <f>IF('Excercise - Al '!F180&lt;&gt;0,'Excercise - Al '!F180,"")</f>
        <v>RFI</v>
      </c>
      <c r="E180" s="85" t="str">
        <f>IF('Excercise - Al '!G180&lt;&gt;"","MODE: "&amp;'Excercise - Al '!G180,"")&amp;IF('Excercise - Al '!H180&lt;&gt;"","   FROM: "&amp;'Excercise - Al '!H180,"")&amp;IF('Excercise - Al '!I180&lt;&gt;"","   INJECTED BY: "&amp;'Excercise - Al '!I180,"")&amp;IF('Excercise - Al '!J180&lt;&gt;"","   SEND TO: "&amp;'Excercise - Al '!J180,"")</f>
        <v>MODE: Email   FROM: A Co. 711th BSB   INJECTED BY: POLLARD   SEND TO: J-4</v>
      </c>
      <c r="F180" s="85" t="str">
        <f>IF('Excercise - Al '!K180&lt;&gt;"","STORYLINE: "&amp;'Excercise - Al '!K180,"")&amp;IF('Excercise - Al '!M180&lt;&gt;"","   DESCRIPTION: "&amp;'Excercise - Al '!M180,"")&amp;IF('Excercise - Al '!O180&lt;&gt;"","   NOTES/REMARKS: "&amp;'Excercise - Al '!O180,"")&amp;IF('Excercise - Al '!Q180&lt;&gt;"","   BACKGROUND INFO: "&amp;'Excercise - Al '!Q180,"")</f>
        <v xml:space="preserve">   DESCRIPTION: Internal NG request for low density component   NOTES/REMARKS: Vehicle is Non-Mission Capable (NMC), and is needed to transport supplies </v>
      </c>
      <c r="G180" s="85" t="str">
        <f>IF('Excercise - Al '!P180&lt;&gt;"","IMPLEMENTER: "&amp;'Excercise - Al '!P180,"")</f>
        <v>IMPLEMENTER: The A Co. 711th BSB has a Truck Trac 5 Ton, M931A1 in need of an Engine Assy, NSN 2815-01-374-7539, _x000D__x000D_Location: Orange Beach_x000D_</v>
      </c>
      <c r="H180" s="85" t="str">
        <f>IF('Excercise - Al '!N180&lt;&gt;"","EXPECTED ACTIONS: "&amp;'Excercise - Al '!N180,"")</f>
        <v>EXPECTED ACTIONS: Insure that each Field Maintenance Shop (FMS) SSL/BSL Stock is check for stock on hand</v>
      </c>
      <c r="I180" s="85" t="str">
        <f>'Excercise - Al '!R180</f>
        <v>Cannon</v>
      </c>
    </row>
    <row r="181" spans="1:9" s="27" customFormat="1" ht="40">
      <c r="A181" s="85">
        <f>'Excercise - Al '!A181</f>
        <v>180</v>
      </c>
      <c r="B181" s="85"/>
      <c r="C181" s="86">
        <f>'Excercise - Al '!E181</f>
        <v>40304.333333333336</v>
      </c>
      <c r="D181" s="85" t="str">
        <f>IF('Excercise - Al '!F181&lt;&gt;0,'Excercise - Al '!F181,"")</f>
        <v>INFO</v>
      </c>
      <c r="E181" s="85" t="str">
        <f>IF('Excercise - Al '!G181&lt;&gt;"","MODE: "&amp;'Excercise - Al '!G181,"")&amp;IF('Excercise - Al '!H181&lt;&gt;"","   FROM: "&amp;'Excercise - Al '!H181,"")&amp;IF('Excercise - Al '!I181&lt;&gt;"","   INJECTED BY: "&amp;'Excercise - Al '!I181,"")&amp;IF('Excercise - Al '!J181&lt;&gt;"","   SEND TO: "&amp;'Excercise - Al '!J181,"")</f>
        <v>MODE: Email   FROM: DCO   INJECTED BY: KAHL   SEND TO: JOC</v>
      </c>
      <c r="F181" s="85" t="str">
        <f>IF('Excercise - Al '!K181&lt;&gt;"","STORYLINE: "&amp;'Excercise - Al '!K181,"")&amp;IF('Excercise - Al '!M181&lt;&gt;"","   DESCRIPTION: "&amp;'Excercise - Al '!M181,"")&amp;IF('Excercise - Al '!O181&lt;&gt;"","   NOTES/REMARKS: "&amp;'Excercise - Al '!O181,"")&amp;IF('Excercise - Al '!Q181&lt;&gt;"","   BACKGROUND INFO: "&amp;'Excercise - Al '!Q181,"")</f>
        <v xml:space="preserve">   DESCRIPTION: Set NGB Confrenece call up</v>
      </c>
      <c r="G181" s="85" t="str">
        <f>IF('Excercise - Al '!P181&lt;&gt;"","IMPLEMENTER: "&amp;'Excercise - Al '!P181,"")</f>
        <v/>
      </c>
      <c r="H181" s="85" t="str">
        <f>IF('Excercise - Al '!N181&lt;&gt;"","EXPECTED ACTIONS: "&amp;'Excercise - Al '!N181,"")</f>
        <v/>
      </c>
      <c r="I181" s="85" t="str">
        <f>'Excercise - Al '!R181</f>
        <v>Kahl</v>
      </c>
    </row>
    <row r="182" spans="1:9" s="27" customFormat="1" ht="50">
      <c r="A182" s="85">
        <f>'Excercise - Al '!A182</f>
        <v>181</v>
      </c>
      <c r="B182" s="85"/>
      <c r="C182" s="86">
        <f>'Excercise - Al '!E182</f>
        <v>40304.334027777775</v>
      </c>
      <c r="D182" s="85" t="str">
        <f>IF('Excercise - Al '!F182&lt;&gt;0,'Excercise - Al '!F182,"")</f>
        <v>INFO</v>
      </c>
      <c r="E182" s="85" t="str">
        <f>IF('Excercise - Al '!G182&lt;&gt;"","MODE: "&amp;'Excercise - Al '!G182,"")&amp;IF('Excercise - Al '!H182&lt;&gt;"","   FROM: "&amp;'Excercise - Al '!H182,"")&amp;IF('Excercise - Al '!I182&lt;&gt;"","   INJECTED BY: "&amp;'Excercise - Al '!I182,"")&amp;IF('Excercise - Al '!J182&lt;&gt;"","   SEND TO: "&amp;'Excercise - Al '!J182,"")</f>
        <v xml:space="preserve">   INJECTED BY: PERRY MCDONALD   SEND TO: JOC</v>
      </c>
      <c r="F182" s="85" t="str">
        <f>IF('Excercise - Al '!K182&lt;&gt;"","STORYLINE: "&amp;'Excercise - Al '!K182,"")&amp;IF('Excercise - Al '!M182&lt;&gt;"","   DESCRIPTION: "&amp;'Excercise - Al '!M182,"")&amp;IF('Excercise - Al '!O182&lt;&gt;"","   NOTES/REMARKS: "&amp;'Excercise - Al '!O182,"")&amp;IF('Excercise - Al '!Q182&lt;&gt;"","   BACKGROUND INFO: "&amp;'Excercise - Al '!Q182,"")</f>
        <v xml:space="preserve">   DESCRIPTION: Problems reported at Waste Water Treatment Plant</v>
      </c>
      <c r="G182" s="85" t="str">
        <f>IF('Excercise - Al '!P182&lt;&gt;"","IMPLEMENTER: "&amp;'Excercise - Al '!P182,"")</f>
        <v>IMPLEMENTER: A phone call from the WTP to the water utility manager states that the treatment chemicals are running low.  Shipments have been delayed due to the storm.  Utility manager alerts EM Director to potential situation.</v>
      </c>
      <c r="H182" s="85" t="str">
        <f>IF('Excercise - Al '!N182&lt;&gt;"","EXPECTED ACTIONS: "&amp;'Excercise - Al '!N182,"")</f>
        <v/>
      </c>
      <c r="I182" s="85" t="str">
        <f>'Excercise - Al '!R182</f>
        <v>P McDonald</v>
      </c>
    </row>
    <row r="183" spans="1:9" s="27" customFormat="1" ht="50">
      <c r="A183" s="85">
        <f>'Excercise - Al '!A183</f>
        <v>182</v>
      </c>
      <c r="B183" s="85"/>
      <c r="C183" s="86">
        <f>'Excercise - Al '!E183</f>
        <v>40303.840277777781</v>
      </c>
      <c r="D183" s="85" t="str">
        <f>IF('Excercise - Al '!F183&lt;&gt;0,'Excercise - Al '!F183,"")</f>
        <v>RFI</v>
      </c>
      <c r="E183" s="85" t="str">
        <f>IF('Excercise - Al '!G183&lt;&gt;"","MODE: "&amp;'Excercise - Al '!G183,"")&amp;IF('Excercise - Al '!H183&lt;&gt;"","   FROM: "&amp;'Excercise - Al '!H183,"")&amp;IF('Excercise - Al '!I183&lt;&gt;"","   INJECTED BY: "&amp;'Excercise - Al '!I183,"")&amp;IF('Excercise - Al '!J183&lt;&gt;"","   SEND TO: "&amp;'Excercise - Al '!J183,"")</f>
        <v>MODE: Email   FROM: JFHQAL   INJECTED BY: BENTON   SEND TO: J3</v>
      </c>
      <c r="F183" s="85" t="str">
        <f>IF('Excercise - Al '!K183&lt;&gt;"","STORYLINE: "&amp;'Excercise - Al '!K183,"")&amp;IF('Excercise - Al '!M183&lt;&gt;"","   DESCRIPTION: "&amp;'Excercise - Al '!M183,"")&amp;IF('Excercise - Al '!O183&lt;&gt;"","   NOTES/REMARKS: "&amp;'Excercise - Al '!O183,"")&amp;IF('Excercise - Al '!Q183&lt;&gt;"","   BACKGROUND INFO: "&amp;'Excercise - Al '!Q183,"")</f>
        <v>STORYLINE: Dental Emeergency in Montgomery (JOC - 1 pax)   DESCRIPTION: NG Soldier requires dental treatment</v>
      </c>
      <c r="G183" s="85" t="str">
        <f>IF('Excercise - Al '!P183&lt;&gt;"","IMPLEMENTER: "&amp;'Excercise - Al '!P183,"")</f>
        <v>IMPLEMENTER: Soldier in VIC of Montgomery is experiencing severe dental pains from dental class 3 issue identified at the last dental exam.  Soldier must receive emergency treatment to resolve issue.</v>
      </c>
      <c r="H183" s="85" t="str">
        <f>IF('Excercise - Al '!N183&lt;&gt;"","EXPECTED ACTIONS: "&amp;'Excercise - Al '!N183,"")</f>
        <v/>
      </c>
      <c r="I183" s="85" t="str">
        <f>'Excercise - Al '!R183</f>
        <v>Benton</v>
      </c>
    </row>
    <row r="184" spans="1:9" s="27" customFormat="1" ht="110">
      <c r="A184" s="85">
        <f>'Excercise - Al '!A184</f>
        <v>183</v>
      </c>
      <c r="B184" s="85"/>
      <c r="C184" s="86">
        <f>'Excercise - Al '!E184</f>
        <v>40304.344444444447</v>
      </c>
      <c r="D184" s="85" t="str">
        <f>IF('Excercise - Al '!F184&lt;&gt;0,'Excercise - Al '!F184,"")</f>
        <v>RFI</v>
      </c>
      <c r="E184" s="85" t="str">
        <f>IF('Excercise - Al '!G184&lt;&gt;"","MODE: "&amp;'Excercise - Al '!G184,"")&amp;IF('Excercise - Al '!H184&lt;&gt;"","   FROM: "&amp;'Excercise - Al '!H184,"")&amp;IF('Excercise - Al '!I184&lt;&gt;"","   INJECTED BY: "&amp;'Excercise - Al '!I184,"")&amp;IF('Excercise - Al '!J184&lt;&gt;"","   SEND TO: "&amp;'Excercise - Al '!J184,"")</f>
        <v>MODE: EMITS   FROM: AEMA   INJECTED BY: SEOC LNO   SEND TO: TF-South/JOC (J-4)</v>
      </c>
      <c r="F184" s="85" t="str">
        <f>IF('Excercise - Al '!K184&lt;&gt;"","STORYLINE: "&amp;'Excercise - Al '!K184,"")&amp;IF('Excercise - Al '!M184&lt;&gt;"","   DESCRIPTION: "&amp;'Excercise - Al '!M184,"")&amp;IF('Excercise - Al '!O184&lt;&gt;"","   NOTES/REMARKS: "&amp;'Excercise - Al '!O184,"")&amp;IF('Excercise - Al '!Q184&lt;&gt;"","   BACKGROUND INFO: "&amp;'Excercise - Al '!Q184,"")</f>
        <v xml:space="preserve">   DESCRIPTION: RFI concerning NG capabilities to temporarily replace damaged bridge   NOTES/REMARKS: How will DOL (J-4) section respond, when equipment not readily available within the state.</v>
      </c>
      <c r="G184" s="85" t="str">
        <f>IF('Excercise - Al '!P184&lt;&gt;"","IMPLEMENTER: "&amp;'Excercise - Al '!P184,"")</f>
        <v xml:space="preserve">IMPLEMENTER: After Hurricane Al made landfall near the Gulf Coast area of Mobile. The local area Emergency Manager (EM) reported a damaged bridge on Hwy 193 north of Dauphin Island. Without a temporary bridge, Dauphin Island has no means to rescue civilian and transport supplies to local personnel. This bridge is the main transportation route to the island. Engineer assist is needed for emplacing a temporary bridge and road able to support at a minimum 5 tons truck. The temporary bridge must be at least 150 feet in length. </v>
      </c>
      <c r="H184" s="85" t="str">
        <f>IF('Excercise - Al '!N184&lt;&gt;"","EXPECTED ACTIONS: "&amp;'Excercise - Al '!N184,"")</f>
        <v>EXPECTED ACTIONS: Ability to coordinate in-state availability as well neighboring states.</v>
      </c>
      <c r="I184" s="85" t="str">
        <f>'Excercise - Al '!R184</f>
        <v>McDonald</v>
      </c>
    </row>
    <row r="185" spans="1:9" s="27" customFormat="1" ht="50">
      <c r="A185" s="85">
        <f>'Excercise - Al '!A185</f>
        <v>184</v>
      </c>
      <c r="B185" s="85"/>
      <c r="C185" s="86">
        <f>'Excercise - Al '!E185</f>
        <v>40304.347222222219</v>
      </c>
      <c r="D185" s="85" t="str">
        <f>IF('Excercise - Al '!F185&lt;&gt;0,'Excercise - Al '!F185,"")</f>
        <v>RFI</v>
      </c>
      <c r="E185" s="85" t="str">
        <f>IF('Excercise - Al '!G185&lt;&gt;"","MODE: "&amp;'Excercise - Al '!G185,"")&amp;IF('Excercise - Al '!H185&lt;&gt;"","   FROM: "&amp;'Excercise - Al '!H185,"")&amp;IF('Excercise - Al '!I185&lt;&gt;"","   INJECTED BY: "&amp;'Excercise - Al '!I185,"")&amp;IF('Excercise - Al '!J185&lt;&gt;"","   SEND TO: "&amp;'Excercise - Al '!J185,"")</f>
        <v>MODE: Email   FROM: SimCell (LEA)   INJECTED BY: KAHL   SEND TO: JOC</v>
      </c>
      <c r="F185" s="85" t="str">
        <f>IF('Excercise - Al '!K185&lt;&gt;"","STORYLINE: "&amp;'Excercise - Al '!K185,"")&amp;IF('Excercise - Al '!M185&lt;&gt;"","   DESCRIPTION: "&amp;'Excercise - Al '!M185,"")&amp;IF('Excercise - Al '!O185&lt;&gt;"","   NOTES/REMARKS: "&amp;'Excercise - Al '!O185,"")&amp;IF('Excercise - Al '!Q185&lt;&gt;"","   BACKGROUND INFO: "&amp;'Excercise - Al '!Q185,"")</f>
        <v xml:space="preserve">   DESCRIPTION: Door to Door SAR Requesr   BACKGROUND INFO: Refer request to state, PAO may be invovled to prepare a response in advance for the media</v>
      </c>
      <c r="G185" s="85" t="str">
        <f>IF('Excercise - Al '!P185&lt;&gt;"","IMPLEMENTER: "&amp;'Excercise - Al '!P185,"")</f>
        <v>IMPLEMENTER: Mayor wants a National Guard presence in a low impacted area Sees national guard in all the cities but hers</v>
      </c>
      <c r="H185" s="85" t="str">
        <f>IF('Excercise - Al '!N185&lt;&gt;"","EXPECTED ACTIONS: "&amp;'Excercise - Al '!N185,"")</f>
        <v/>
      </c>
      <c r="I185" s="85" t="str">
        <f>'Excercise - Al '!R185</f>
        <v>Kahl</v>
      </c>
    </row>
    <row r="186" spans="1:9" s="27" customFormat="1" ht="50">
      <c r="A186" s="85">
        <f>'Excercise - Al '!A186</f>
        <v>185</v>
      </c>
      <c r="B186" s="85"/>
      <c r="C186" s="86">
        <f>'Excercise - Al '!E186</f>
        <v>40304.354166666664</v>
      </c>
      <c r="D186" s="85" t="str">
        <f>IF('Excercise - Al '!F186&lt;&gt;0,'Excercise - Al '!F186,"")</f>
        <v>INFO</v>
      </c>
      <c r="E186" s="85" t="str">
        <f>IF('Excercise - Al '!G186&lt;&gt;"","MODE: "&amp;'Excercise - Al '!G186,"")&amp;IF('Excercise - Al '!H186&lt;&gt;"","   FROM: "&amp;'Excercise - Al '!H186,"")&amp;IF('Excercise - Al '!I186&lt;&gt;"","   INJECTED BY: "&amp;'Excercise - Al '!I186,"")&amp;IF('Excercise - Al '!J186&lt;&gt;"","   SEND TO: "&amp;'Excercise - Al '!J186,"")</f>
        <v xml:space="preserve">   INJECTED BY: PERRY MCDONALD   SEND TO: JOC</v>
      </c>
      <c r="F186" s="85" t="str">
        <f>IF('Excercise - Al '!K186&lt;&gt;"","STORYLINE: "&amp;'Excercise - Al '!K186,"")&amp;IF('Excercise - Al '!M186&lt;&gt;"","   DESCRIPTION: "&amp;'Excercise - Al '!M186,"")&amp;IF('Excercise - Al '!O186&lt;&gt;"","   NOTES/REMARKS: "&amp;'Excercise - Al '!O186,"")&amp;IF('Excercise - Al '!Q186&lt;&gt;"","   BACKGROUND INFO: "&amp;'Excercise - Al '!Q186,"")</f>
        <v xml:space="preserve">   DESCRIPTION: News agency reports flooding   NOTES/REMARKS: WJXT, Channel 25, NBC Affiliate for Birmingham, News Anchor Alan Genae sent a fax to the JFHQ requesting to know "Where is the National Guard?"</v>
      </c>
      <c r="G186" s="85" t="str">
        <f>IF('Excercise - Al '!P186&lt;&gt;"","IMPLEMENTER: "&amp;'Excercise - Al '!P186,"")</f>
        <v>IMPLEMENTER: A news station reports that additional flooding and power outages continue to plague the city. At this time, police  and deputy sheriffs are evacuating residents from flooded areas to designated shelters.</v>
      </c>
      <c r="H186" s="85" t="str">
        <f>IF('Excercise - Al '!N186&lt;&gt;"","EXPECTED ACTIONS: "&amp;'Excercise - Al '!N186,"")</f>
        <v/>
      </c>
      <c r="I186" s="85" t="str">
        <f>'Excercise - Al '!R186</f>
        <v>P McDonald</v>
      </c>
    </row>
    <row r="187" spans="1:9" s="27" customFormat="1" ht="60">
      <c r="A187" s="85">
        <f>'Excercise - Al '!A187</f>
        <v>186</v>
      </c>
      <c r="B187" s="85"/>
      <c r="C187" s="86">
        <f>'Excercise - Al '!E187</f>
        <v>40304.361111111109</v>
      </c>
      <c r="D187" s="85" t="str">
        <f>IF('Excercise - Al '!F187&lt;&gt;0,'Excercise - Al '!F187,"")</f>
        <v>INFO</v>
      </c>
      <c r="E187" s="85" t="str">
        <f>IF('Excercise - Al '!G187&lt;&gt;"","MODE: "&amp;'Excercise - Al '!G187,"")&amp;IF('Excercise - Al '!H187&lt;&gt;"","   FROM: "&amp;'Excercise - Al '!H187,"")&amp;IF('Excercise - Al '!I187&lt;&gt;"","   INJECTED BY: "&amp;'Excercise - Al '!I187,"")&amp;IF('Excercise - Al '!J187&lt;&gt;"","   SEND TO: "&amp;'Excercise - Al '!J187,"")</f>
        <v>MODE: Phone   FROM: SimCell                             (NEWS Agency)   INJECTED BY: TOMBERLIN   SEND TO: JOC</v>
      </c>
      <c r="F187" s="85" t="str">
        <f>IF('Excercise - Al '!K187&lt;&gt;"","STORYLINE: "&amp;'Excercise - Al '!K187,"")&amp;IF('Excercise - Al '!M187&lt;&gt;"","   DESCRIPTION: "&amp;'Excercise - Al '!M187,"")&amp;IF('Excercise - Al '!O187&lt;&gt;"","   NOTES/REMARKS: "&amp;'Excercise - Al '!O187,"")&amp;IF('Excercise - Al '!Q187&lt;&gt;"","   BACKGROUND INFO: "&amp;'Excercise - Al '!Q187,"")</f>
        <v xml:space="preserve">   DESCRIPTION: HMMWV Roll over Report</v>
      </c>
      <c r="G187" s="85" t="str">
        <f>IF('Excercise - Al '!P187&lt;&gt;"","IMPLEMENTER: "&amp;'Excercise - Al '!P187,"")</f>
        <v>IMPLEMENTER: Accident of HMMWV and ask if trend due to second accident</v>
      </c>
      <c r="H187" s="85" t="str">
        <f>IF('Excercise - Al '!N187&lt;&gt;"","EXPECTED ACTIONS: "&amp;'Excercise - Al '!N187,"")</f>
        <v/>
      </c>
      <c r="I187" s="85" t="str">
        <f>'Excercise - Al '!R187</f>
        <v>Kahl</v>
      </c>
    </row>
    <row r="188" spans="1:9" s="27" customFormat="1" ht="40">
      <c r="A188" s="85">
        <f>'Excercise - Al '!A188</f>
        <v>187</v>
      </c>
      <c r="B188" s="85"/>
      <c r="C188" s="86">
        <f>'Excercise - Al '!E188</f>
        <v>40304.375</v>
      </c>
      <c r="D188" s="85" t="str">
        <f>IF('Excercise - Al '!F188&lt;&gt;0,'Excercise - Al '!F188,"")</f>
        <v>INFO</v>
      </c>
      <c r="E188" s="85" t="str">
        <f>IF('Excercise - Al '!G188&lt;&gt;"","MODE: "&amp;'Excercise - Al '!G188,"")&amp;IF('Excercise - Al '!H188&lt;&gt;"","   FROM: "&amp;'Excercise - Al '!H188,"")&amp;IF('Excercise - Al '!I188&lt;&gt;"","   INJECTED BY: "&amp;'Excercise - Al '!I188,"")&amp;IF('Excercise - Al '!J188&lt;&gt;"","   SEND TO: "&amp;'Excercise - Al '!J188,"")</f>
        <v xml:space="preserve">   INJECTED BY: PERRY MCDONALD   SEND TO: JOC</v>
      </c>
      <c r="F188" s="85" t="str">
        <f>IF('Excercise - Al '!K188&lt;&gt;"","STORYLINE: "&amp;'Excercise - Al '!K188,"")&amp;IF('Excercise - Al '!M188&lt;&gt;"","   DESCRIPTION: "&amp;'Excercise - Al '!M188,"")&amp;IF('Excercise - Al '!O188&lt;&gt;"","   NOTES/REMARKS: "&amp;'Excercise - Al '!O188,"")&amp;IF('Excercise - Al '!Q188&lt;&gt;"","   BACKGROUND INFO: "&amp;'Excercise - Al '!Q188,"")</f>
        <v xml:space="preserve">   DESCRIPTION: News agency reports flooding</v>
      </c>
      <c r="G188" s="85" t="str">
        <f>IF('Excercise - Al '!P188&lt;&gt;"","IMPLEMENTER: "&amp;'Excercise - Al '!P188,"")</f>
        <v>IMPLEMENTER: Multiple news stations summarize the events occurring in the area during the storm (water shortage, evacuation, flooding, power outages, etc.).</v>
      </c>
      <c r="H188" s="85" t="str">
        <f>IF('Excercise - Al '!N188&lt;&gt;"","EXPECTED ACTIONS: "&amp;'Excercise - Al '!N188,"")</f>
        <v/>
      </c>
      <c r="I188" s="85" t="str">
        <f>'Excercise - Al '!R188</f>
        <v>P McDonald</v>
      </c>
    </row>
    <row r="189" spans="1:9" s="27" customFormat="1" ht="50">
      <c r="A189" s="85">
        <f>'Excercise - Al '!A189</f>
        <v>188</v>
      </c>
      <c r="B189" s="85"/>
      <c r="C189" s="86">
        <f>'Excercise - Al '!E189</f>
        <v>40304.381944444445</v>
      </c>
      <c r="D189" s="85" t="str">
        <f>IF('Excercise - Al '!F189&lt;&gt;0,'Excercise - Al '!F189,"")</f>
        <v>RFI</v>
      </c>
      <c r="E189" s="85" t="str">
        <f>IF('Excercise - Al '!G189&lt;&gt;"","MODE: "&amp;'Excercise - Al '!G189,"")&amp;IF('Excercise - Al '!H189&lt;&gt;"","   FROM: "&amp;'Excercise - Al '!H189,"")&amp;IF('Excercise - Al '!I189&lt;&gt;"","   INJECTED BY: "&amp;'Excercise - Al '!I189,"")&amp;IF('Excercise - Al '!J189&lt;&gt;"","   SEND TO: "&amp;'Excercise - Al '!J189,"")</f>
        <v xml:space="preserve">   INJECTED BY: PERRY MCDONALD   SEND TO: JOC</v>
      </c>
      <c r="F189" s="85" t="str">
        <f>IF('Excercise - Al '!K189&lt;&gt;"","STORYLINE: "&amp;'Excercise - Al '!K189,"")&amp;IF('Excercise - Al '!M189&lt;&gt;"","   DESCRIPTION: "&amp;'Excercise - Al '!M189,"")&amp;IF('Excercise - Al '!O189&lt;&gt;"","   NOTES/REMARKS: "&amp;'Excercise - Al '!O189,"")&amp;IF('Excercise - Al '!Q189&lt;&gt;"","   BACKGROUND INFO: "&amp;'Excercise - Al '!Q189,"")</f>
        <v xml:space="preserve">   DESCRIPTION: Generator Request</v>
      </c>
      <c r="G189" s="85" t="str">
        <f>IF('Excercise - Al '!P189&lt;&gt;"","IMPLEMENTER: "&amp;'Excercise - Al '!P189,"")</f>
        <v>IMPLEMENTER: A second phone call from the WWTP superintendent to the EM Director is made. The generator parts supplier was called but they do not have the generator part in stock. Due to the storm, the delivery time will be delayed by at least 1-2 days.</v>
      </c>
      <c r="H189" s="85" t="str">
        <f>IF('Excercise - Al '!N189&lt;&gt;"","EXPECTED ACTIONS: "&amp;'Excercise - Al '!N189,"")</f>
        <v/>
      </c>
      <c r="I189" s="85" t="str">
        <f>'Excercise - Al '!R189</f>
        <v>P McDonald</v>
      </c>
    </row>
    <row r="190" spans="1:9" s="27" customFormat="1" ht="100">
      <c r="A190" s="85">
        <f>'Excercise - Al '!A190</f>
        <v>189</v>
      </c>
      <c r="B190" s="85"/>
      <c r="C190" s="86">
        <f>'Excercise - Al '!E190</f>
        <v>40304.385416666664</v>
      </c>
      <c r="D190" s="85" t="str">
        <f>IF('Excercise - Al '!F190&lt;&gt;0,'Excercise - Al '!F190,"")</f>
        <v>INFO</v>
      </c>
      <c r="E190" s="85" t="str">
        <f>IF('Excercise - Al '!G190&lt;&gt;"","MODE: "&amp;'Excercise - Al '!G190,"")&amp;IF('Excercise - Al '!H190&lt;&gt;"","   FROM: "&amp;'Excercise - Al '!H190,"")&amp;IF('Excercise - Al '!I190&lt;&gt;"","   INJECTED BY: "&amp;'Excercise - Al '!I190,"")&amp;IF('Excercise - Al '!J190&lt;&gt;"","   SEND TO: "&amp;'Excercise - Al '!J190,"")</f>
        <v>MODE: RFI/Phone   FROM: Whitecell-JTF South   INJECTED BY: NAPIER   SEND TO: JTF South</v>
      </c>
      <c r="F190" s="85" t="str">
        <f>IF('Excercise - Al '!K190&lt;&gt;"","STORYLINE: "&amp;'Excercise - Al '!K190,"")&amp;IF('Excercise - Al '!M190&lt;&gt;"","   DESCRIPTION: "&amp;'Excercise - Al '!M190,"")&amp;IF('Excercise - Al '!O190&lt;&gt;"","   NOTES/REMARKS: "&amp;'Excercise - Al '!O190,"")&amp;IF('Excercise - Al '!Q190&lt;&gt;"","   BACKGROUND INFO: "&amp;'Excercise - Al '!Q190,"")</f>
        <v xml:space="preserve">   DESCRIPTION: Armory damage reported.   NOTES/REMARKS: Admin NCO for Det 1, 1165 MP Co reports wind and tree damage to Armory. States there is a partially collapsed wall which is leaving the armory unsecure. Requests guidance about staying in the armory through the storm.</v>
      </c>
      <c r="G190" s="85" t="str">
        <f>IF('Excercise - Al '!P190&lt;&gt;"","IMPLEMENTER: "&amp;'Excercise - Al '!P190,"")</f>
        <v>IMPLEMENTER: SSG Ronald, I just arrived at my Armory in Brewton after receiving a phone call from the Baldwin County Sheriff's Office and a tree has fallen over on our south wall. There is a gaping hole now in our armory about 4'X6' wide and it is leaving the armory unsecure. I'm requesting guidance on what I need to do because the storm is really getting bad out here? Do I need to stay in the armory and secure it. Sherriff's office stated it is going to be impossible to provide an extra patrol with all that is happing.</v>
      </c>
      <c r="H190" s="85" t="str">
        <f>IF('Excercise - Al '!N190&lt;&gt;"","EXPECTED ACTIONS: "&amp;'Excercise - Al '!N190,"")</f>
        <v/>
      </c>
      <c r="I190" s="85" t="str">
        <f>'Excercise - Al '!R190</f>
        <v>Wheeler</v>
      </c>
    </row>
    <row r="191" spans="1:9" s="27" customFormat="1" ht="50">
      <c r="A191" s="85">
        <f>'Excercise - Al '!A191</f>
        <v>190</v>
      </c>
      <c r="B191" s="85"/>
      <c r="C191" s="86">
        <f>'Excercise - Al '!E191</f>
        <v>40304.388888888891</v>
      </c>
      <c r="D191" s="85" t="str">
        <f>IF('Excercise - Al '!F191&lt;&gt;0,'Excercise - Al '!F191,"")</f>
        <v>RFI</v>
      </c>
      <c r="E191" s="85" t="str">
        <f>IF('Excercise - Al '!G191&lt;&gt;"","MODE: "&amp;'Excercise - Al '!G191,"")&amp;IF('Excercise - Al '!H191&lt;&gt;"","   FROM: "&amp;'Excercise - Al '!H191,"")&amp;IF('Excercise - Al '!I191&lt;&gt;"","   INJECTED BY: "&amp;'Excercise - Al '!I191,"")&amp;IF('Excercise - Al '!J191&lt;&gt;"","   SEND TO: "&amp;'Excercise - Al '!J191,"")</f>
        <v>MODE: RFA   FROM: White Cell - JTF South   INJECTED BY: POLLARD   SEND TO: JOC</v>
      </c>
      <c r="F191" s="85" t="str">
        <f>IF('Excercise - Al '!K191&lt;&gt;"","STORYLINE: "&amp;'Excercise - Al '!K191,"")&amp;IF('Excercise - Al '!M191&lt;&gt;"","   DESCRIPTION: "&amp;'Excercise - Al '!M191,"")&amp;IF('Excercise - Al '!O191&lt;&gt;"","   NOTES/REMARKS: "&amp;'Excercise - Al '!O191,"")&amp;IF('Excercise - Al '!Q191&lt;&gt;"","   BACKGROUND INFO: "&amp;'Excercise - Al '!Q191,"")</f>
        <v xml:space="preserve">   DESCRIPTION: Request for MREs</v>
      </c>
      <c r="G191" s="85" t="str">
        <f>IF('Excercise - Al '!P191&lt;&gt;"","IMPLEMENTER: "&amp;'Excercise - Al '!P191,"")</f>
        <v/>
      </c>
      <c r="H191" s="85" t="str">
        <f>IF('Excercise - Al '!N191&lt;&gt;"","EXPECTED ACTIONS: "&amp;'Excercise - Al '!N191,"")</f>
        <v/>
      </c>
      <c r="I191" s="85" t="str">
        <f>'Excercise - Al '!R191</f>
        <v>Kahl</v>
      </c>
    </row>
    <row r="192" spans="1:9" s="27" customFormat="1" ht="70">
      <c r="A192" s="85">
        <f>'Excercise - Al '!A192</f>
        <v>191</v>
      </c>
      <c r="B192" s="85"/>
      <c r="C192" s="86">
        <f>'Excercise - Al '!E192</f>
        <v>40304.395833333336</v>
      </c>
      <c r="D192" s="85" t="str">
        <f>IF('Excercise - Al '!F192&lt;&gt;0,'Excercise - Al '!F192,"")</f>
        <v>INFO</v>
      </c>
      <c r="E192" s="85" t="str">
        <f>IF('Excercise - Al '!G192&lt;&gt;"","MODE: "&amp;'Excercise - Al '!G192,"")&amp;IF('Excercise - Al '!H192&lt;&gt;"","   FROM: "&amp;'Excercise - Al '!H192,"")&amp;IF('Excercise - Al '!I192&lt;&gt;"","   INJECTED BY: "&amp;'Excercise - Al '!I192,"")&amp;IF('Excercise - Al '!J192&lt;&gt;"","   SEND TO: "&amp;'Excercise - Al '!J192,"")</f>
        <v xml:space="preserve">   INJECTED BY: PERRY MCDONALD   SEND TO: JOC</v>
      </c>
      <c r="F192" s="85" t="str">
        <f>IF('Excercise - Al '!K192&lt;&gt;"","STORYLINE: "&amp;'Excercise - Al '!K192,"")&amp;IF('Excercise - Al '!M192&lt;&gt;"","   DESCRIPTION: "&amp;'Excercise - Al '!M192,"")&amp;IF('Excercise - Al '!O192&lt;&gt;"","   NOTES/REMARKS: "&amp;'Excercise - Al '!O192,"")&amp;IF('Excercise - Al '!Q192&lt;&gt;"","   BACKGROUND INFO: "&amp;'Excercise - Al '!Q192,"")</f>
        <v xml:space="preserve">   DESCRIPTION: Hospital reports that it is completely filled</v>
      </c>
      <c r="G192" s="85" t="str">
        <f>IF('Excercise - Al '!P192&lt;&gt;"","IMPLEMENTER: "&amp;'Excercise - Al '!P192,"")</f>
        <v>IMPLEMENTER: A fax from (named) Hospital’s administrator to all hospital administrators in (named)  City notifies them that the beds are full. (named) hospital will need to redirect incoming ambulances to other hospitals, and they require help in coordinating the patient transfers. They are uncertain of road closures.</v>
      </c>
      <c r="H192" s="85" t="str">
        <f>IF('Excercise - Al '!N192&lt;&gt;"","EXPECTED ACTIONS: "&amp;'Excercise - Al '!N192,"")</f>
        <v/>
      </c>
      <c r="I192" s="85" t="str">
        <f>'Excercise - Al '!R192</f>
        <v>P McDonald</v>
      </c>
    </row>
    <row r="193" spans="1:9" s="27" customFormat="1" ht="40">
      <c r="A193" s="85">
        <f>'Excercise - Al '!A193</f>
        <v>192</v>
      </c>
      <c r="B193" s="85"/>
      <c r="C193" s="86">
        <f>'Excercise - Al '!E193</f>
        <v>40304.402777777781</v>
      </c>
      <c r="D193" s="85" t="str">
        <f>IF('Excercise - Al '!F193&lt;&gt;0,'Excercise - Al '!F193,"")</f>
        <v>RFI</v>
      </c>
      <c r="E193" s="85" t="str">
        <f>IF('Excercise - Al '!G193&lt;&gt;"","MODE: "&amp;'Excercise - Al '!G193,"")&amp;IF('Excercise - Al '!H193&lt;&gt;"","   FROM: "&amp;'Excercise - Al '!H193,"")&amp;IF('Excercise - Al '!I193&lt;&gt;"","   INJECTED BY: "&amp;'Excercise - Al '!I193,"")&amp;IF('Excercise - Al '!J193&lt;&gt;"","   SEND TO: "&amp;'Excercise - Al '!J193,"")</f>
        <v>MODE: RFI   FROM: SimCell                            (NEWS Agency)   SEND TO: JTF/ JOC</v>
      </c>
      <c r="F193" s="85" t="str">
        <f>IF('Excercise - Al '!K193&lt;&gt;"","STORYLINE: "&amp;'Excercise - Al '!K193,"")&amp;IF('Excercise - Al '!M193&lt;&gt;"","   DESCRIPTION: "&amp;'Excercise - Al '!M193,"")&amp;IF('Excercise - Al '!O193&lt;&gt;"","   NOTES/REMARKS: "&amp;'Excercise - Al '!O193,"")&amp;IF('Excercise - Al '!Q193&lt;&gt;"","   BACKGROUND INFO: "&amp;'Excercise - Al '!Q193,"")</f>
        <v xml:space="preserve">   DESCRIPTION: NEWS interview request</v>
      </c>
      <c r="G193" s="85" t="str">
        <f>IF('Excercise - Al '!P193&lt;&gt;"","IMPLEMENTER: "&amp;'Excercise - Al '!P193,"")</f>
        <v>IMPLEMENTER: Asking for NEWS interview/ Human intrest story</v>
      </c>
      <c r="H193" s="85" t="str">
        <f>IF('Excercise - Al '!N193&lt;&gt;"","EXPECTED ACTIONS: "&amp;'Excercise - Al '!N193,"")</f>
        <v/>
      </c>
      <c r="I193" s="85" t="str">
        <f>'Excercise - Al '!R193</f>
        <v>Kahl</v>
      </c>
    </row>
    <row r="194" spans="1:9" s="27" customFormat="1" ht="50">
      <c r="A194" s="85">
        <f>'Excercise - Al '!A194</f>
        <v>193</v>
      </c>
      <c r="B194" s="85"/>
      <c r="C194" s="86">
        <f>'Excercise - Al '!E194</f>
        <v>40304.40625</v>
      </c>
      <c r="D194" s="85" t="str">
        <f>IF('Excercise - Al '!F194&lt;&gt;0,'Excercise - Al '!F194,"")</f>
        <v>MISSION</v>
      </c>
      <c r="E194" s="85" t="str">
        <f>IF('Excercise - Al '!G194&lt;&gt;"","MODE: "&amp;'Excercise - Al '!G194,"")&amp;IF('Excercise - Al '!H194&lt;&gt;"","   FROM: "&amp;'Excercise - Al '!H194,"")&amp;IF('Excercise - Al '!I194&lt;&gt;"","   INJECTED BY: "&amp;'Excercise - Al '!I194,"")&amp;IF('Excercise - Al '!J194&lt;&gt;"","   SEND TO: "&amp;'Excercise - Al '!J194,"")</f>
        <v>MODE: EMITS   FROM: ESF 5   INJECTED BY: SEOC LNO   SEND TO: JTF-S</v>
      </c>
      <c r="F194" s="85" t="str">
        <f>IF('Excercise - Al '!K194&lt;&gt;"","STORYLINE: "&amp;'Excercise - Al '!K194,"")&amp;IF('Excercise - Al '!M194&lt;&gt;"","   DESCRIPTION: "&amp;'Excercise - Al '!M194,"")&amp;IF('Excercise - Al '!O194&lt;&gt;"","   NOTES/REMARKS: "&amp;'Excercise - Al '!O194,"")&amp;IF('Excercise - Al '!Q194&lt;&gt;"","   BACKGROUND INFO: "&amp;'Excercise - Al '!Q194,"")</f>
        <v xml:space="preserve">   DESCRIPTION: Generator Request</v>
      </c>
      <c r="G194" s="85" t="str">
        <f>IF('Excercise - Al '!P194&lt;&gt;"","IMPLEMENTER: "&amp;'Excercise - Al '!P194,"")</f>
        <v xml:space="preserve">IMPLEMENTER: Deploy 3ea 100KW Gen to Mobile County Hospitals, Mobile Infirmary, Mobile Womens and Childrens, Spring Hill Dialysis Center. </v>
      </c>
      <c r="H194" s="85" t="str">
        <f>IF('Excercise - Al '!N194&lt;&gt;"","EXPECTED ACTIONS: "&amp;'Excercise - Al '!N194,"")</f>
        <v/>
      </c>
      <c r="I194" s="85" t="str">
        <f>'Excercise - Al '!R194</f>
        <v>Keane</v>
      </c>
    </row>
    <row r="195" spans="1:9" s="27" customFormat="1" ht="50">
      <c r="A195" s="85">
        <f>'Excercise - Al '!A195</f>
        <v>194</v>
      </c>
      <c r="B195" s="85"/>
      <c r="C195" s="86">
        <f>'Excercise - Al '!E195</f>
        <v>40304.409722222219</v>
      </c>
      <c r="D195" s="85" t="str">
        <f>IF('Excercise - Al '!F195&lt;&gt;0,'Excercise - Al '!F195,"")</f>
        <v>MISSION</v>
      </c>
      <c r="E195" s="85" t="str">
        <f>IF('Excercise - Al '!G195&lt;&gt;"","MODE: "&amp;'Excercise - Al '!G195,"")&amp;IF('Excercise - Al '!H195&lt;&gt;"","   FROM: "&amp;'Excercise - Al '!H195,"")&amp;IF('Excercise - Al '!I195&lt;&gt;"","   INJECTED BY: "&amp;'Excercise - Al '!I195,"")&amp;IF('Excercise - Al '!J195&lt;&gt;"","   SEND TO: "&amp;'Excercise - Al '!J195,"")</f>
        <v>MODE: EMITS   FROM: ESF 5   INJECTED BY: SEOC LNO   SEND TO: JTF-S</v>
      </c>
      <c r="F195" s="85" t="str">
        <f>IF('Excercise - Al '!K195&lt;&gt;"","STORYLINE: "&amp;'Excercise - Al '!K195,"")&amp;IF('Excercise - Al '!M195&lt;&gt;"","   DESCRIPTION: "&amp;'Excercise - Al '!M195,"")&amp;IF('Excercise - Al '!O195&lt;&gt;"","   NOTES/REMARKS: "&amp;'Excercise - Al '!O195,"")&amp;IF('Excercise - Al '!Q195&lt;&gt;"","   BACKGROUND INFO: "&amp;'Excercise - Al '!Q195,"")</f>
        <v xml:space="preserve">   DESCRIPTION: Evacuation Assistance Request</v>
      </c>
      <c r="G195" s="85" t="str">
        <f>IF('Excercise - Al '!P195&lt;&gt;"","IMPLEMENTER: "&amp;'Excercise - Al '!P195,"")</f>
        <v>IMPLEMENTER: Provide 15 Soldiers to assist with evacuating 60 patients at Mercy Medical in Daphne due to power/water outages. Mission duration 12 hrs</v>
      </c>
      <c r="H195" s="85" t="str">
        <f>IF('Excercise - Al '!N195&lt;&gt;"","EXPECTED ACTIONS: "&amp;'Excercise - Al '!N195,"")</f>
        <v/>
      </c>
      <c r="I195" s="85" t="str">
        <f>'Excercise - Al '!R195</f>
        <v>Keane</v>
      </c>
    </row>
    <row r="196" spans="1:9" s="27" customFormat="1" ht="60">
      <c r="A196" s="85">
        <f>'Excercise - Al '!A196</f>
        <v>195</v>
      </c>
      <c r="B196" s="85"/>
      <c r="C196" s="86">
        <f>'Excercise - Al '!E196</f>
        <v>40304.416666666664</v>
      </c>
      <c r="D196" s="85" t="str">
        <f>IF('Excercise - Al '!F196&lt;&gt;0,'Excercise - Al '!F196,"")</f>
        <v>INFO</v>
      </c>
      <c r="E196" s="85" t="str">
        <f>IF('Excercise - Al '!G196&lt;&gt;"","MODE: "&amp;'Excercise - Al '!G196,"")&amp;IF('Excercise - Al '!H196&lt;&gt;"","   FROM: "&amp;'Excercise - Al '!H196,"")&amp;IF('Excercise - Al '!I196&lt;&gt;"","   INJECTED BY: "&amp;'Excercise - Al '!I196,"")&amp;IF('Excercise - Al '!J196&lt;&gt;"","   SEND TO: "&amp;'Excercise - Al '!J196,"")</f>
        <v>MODE: Email   INJECTED BY: HICKS</v>
      </c>
      <c r="F196" s="85" t="str">
        <f>IF('Excercise - Al '!K196&lt;&gt;"","STORYLINE: "&amp;'Excercise - Al '!K196,"")&amp;IF('Excercise - Al '!M196&lt;&gt;"","   DESCRIPTION: "&amp;'Excercise - Al '!M196,"")&amp;IF('Excercise - Al '!O196&lt;&gt;"","   NOTES/REMARKS: "&amp;'Excercise - Al '!O196,"")&amp;IF('Excercise - Al '!Q196&lt;&gt;"","   BACKGROUND INFO: "&amp;'Excercise - Al '!Q196,"")</f>
        <v>STORYLINE: CHAPLAIN &amp; UMT ACTIIVITIES</v>
      </c>
      <c r="G196" s="85" t="str">
        <f>IF('Excercise - Al '!P196&lt;&gt;"","IMPLEMENTER: "&amp;'Excercise - Al '!P196,"")</f>
        <v>IMPLEMENTER: A pre-positioned Chaplain Assistant (CA) begins uncontrollable vomiting</v>
      </c>
      <c r="H196" s="85" t="str">
        <f>IF('Excercise - Al '!N196&lt;&gt;"","EXPECTED ACTIONS: "&amp;'Excercise - Al '!N196,"")</f>
        <v>EXPECTED ACTIONS: Contact Medical and work backfill for CA</v>
      </c>
      <c r="I196" s="85" t="str">
        <f>'Excercise - Al '!R196</f>
        <v>Hicks</v>
      </c>
    </row>
    <row r="197" spans="1:9" s="27" customFormat="1" ht="130">
      <c r="A197" s="85">
        <f>'Excercise - Al '!A197</f>
        <v>196</v>
      </c>
      <c r="B197" s="85"/>
      <c r="C197" s="86">
        <f>'Excercise - Al '!E197</f>
        <v>40304.417361111111</v>
      </c>
      <c r="D197" s="85" t="str">
        <f>IF('Excercise - Al '!F197&lt;&gt;0,'Excercise - Al '!F197,"")</f>
        <v>INFO</v>
      </c>
      <c r="E197" s="85" t="str">
        <f>IF('Excercise - Al '!G197&lt;&gt;"","MODE: "&amp;'Excercise - Al '!G197,"")&amp;IF('Excercise - Al '!H197&lt;&gt;"","   FROM: "&amp;'Excercise - Al '!H197,"")&amp;IF('Excercise - Al '!I197&lt;&gt;"","   INJECTED BY: "&amp;'Excercise - Al '!I197,"")&amp;IF('Excercise - Al '!J197&lt;&gt;"","   SEND TO: "&amp;'Excercise - Al '!J197,"")</f>
        <v>MODE: Email   FROM: Simcell - National Hurricane Center   INJECTED BY: KEANE   SEND TO: JOC, All</v>
      </c>
      <c r="F197" s="85" t="str">
        <f>IF('Excercise - Al '!K197&lt;&gt;"","STORYLINE: "&amp;'Excercise - Al '!K197,"")&amp;IF('Excercise - Al '!M197&lt;&gt;"","   DESCRIPTION: "&amp;'Excercise - Al '!M197,"")&amp;IF('Excercise - Al '!O197&lt;&gt;"","   NOTES/REMARKS: "&amp;'Excercise - Al '!O197,"")&amp;IF('Excercise - Al '!Q197&lt;&gt;"","   BACKGROUND INFO: "&amp;'Excercise - Al '!Q197,"")</f>
        <v>STORYLINE: Tropical Storm Al Update 22   DESCRIPTION: Tropical Storm Al Update 22</v>
      </c>
      <c r="G197" s="85" t="str">
        <f>IF('Excercise - Al '!P197&lt;&gt;"","IMPLEMENTER: "&amp;'Excercise - Al '!P197,"")</f>
        <v>IMPLEMENTER: _x000D_...HURRICANE AL SLOWS NEAR MOBILE ALABAMA..._x000D__x000D__x000D_SUMMARY OF 1100 AM EDT...1500 UTC...INFORMATION_x000D_-----------------------------------------------_x000D_LOCATION...30.9N 88.1W_x000D_ABOUT 14 MILES...23 KM...NORTH OF MOBILE ALABAMA_x000D_ABOUT 134 MILES...216 KM...NORTHEAST OF NEW ORLEANS LOUISIANA _x000D_ABOUT 145 MILES...232 KM...SOUTHWEST OF MONTGOMERY ALABAMA_x000D_MAXIMUM SUSTAINED WINDS...115 MPH...169 KM/HR_x000D_PRESENT MOVEMENT...NORTHERLY OR 23 DEGREES AT 9 MPH...14 KM/HR_x000D_MINIMUM CENTRAL PRESSURE 962 MB...28.41 INCHES_x000D__x000D_</v>
      </c>
      <c r="H197" s="85" t="str">
        <f>IF('Excercise - Al '!N197&lt;&gt;"","EXPECTED ACTIONS: "&amp;'Excercise - Al '!N197,"")</f>
        <v/>
      </c>
      <c r="I197" s="85" t="str">
        <f>'Excercise - Al '!R197</f>
        <v>Keane</v>
      </c>
    </row>
    <row r="198" spans="1:9" s="27" customFormat="1" ht="50">
      <c r="A198" s="85">
        <f>'Excercise - Al '!A198</f>
        <v>197</v>
      </c>
      <c r="B198" s="85"/>
      <c r="C198" s="86">
        <f>'Excercise - Al '!E198</f>
        <v>40304.423611111109</v>
      </c>
      <c r="D198" s="85" t="str">
        <f>IF('Excercise - Al '!F198&lt;&gt;0,'Excercise - Al '!F198,"")</f>
        <v>MISSION</v>
      </c>
      <c r="E198" s="85" t="str">
        <f>IF('Excercise - Al '!G198&lt;&gt;"","MODE: "&amp;'Excercise - Al '!G198,"")&amp;IF('Excercise - Al '!H198&lt;&gt;"","   FROM: "&amp;'Excercise - Al '!H198,"")&amp;IF('Excercise - Al '!I198&lt;&gt;"","   INJECTED BY: "&amp;'Excercise - Al '!I198,"")&amp;IF('Excercise - Al '!J198&lt;&gt;"","   SEND TO: "&amp;'Excercise - Al '!J198,"")</f>
        <v>MODE: EMITS   FROM: ESF 5   INJECTED BY: SEOC LNO   SEND TO: JTF-S</v>
      </c>
      <c r="F198" s="85" t="str">
        <f>IF('Excercise - Al '!K198&lt;&gt;"","STORYLINE: "&amp;'Excercise - Al '!K198,"")&amp;IF('Excercise - Al '!M198&lt;&gt;"","   DESCRIPTION: "&amp;'Excercise - Al '!M198,"")&amp;IF('Excercise - Al '!O198&lt;&gt;"","   NOTES/REMARKS: "&amp;'Excercise - Al '!O198,"")&amp;IF('Excercise - Al '!Q198&lt;&gt;"","   BACKGROUND INFO: "&amp;'Excercise - Al '!Q198,"")</f>
        <v xml:space="preserve">   DESCRIPTION: Evacuation Assistance Request</v>
      </c>
      <c r="G198" s="85" t="str">
        <f>IF('Excercise - Al '!P198&lt;&gt;"","IMPLEMENTER: "&amp;'Excercise - Al '!P198,"")</f>
        <v>IMPLEMENTER: Provide 10 soldiers to assist with the loading and evacuation of 40 patients at South Baldwin Regional Center in Foley due to power/water outages. Mission duration is 12 hrs</v>
      </c>
      <c r="H198" s="85" t="str">
        <f>IF('Excercise - Al '!N198&lt;&gt;"","EXPECTED ACTIONS: "&amp;'Excercise - Al '!N198,"")</f>
        <v/>
      </c>
      <c r="I198" s="85" t="str">
        <f>'Excercise - Al '!R198</f>
        <v>Keane</v>
      </c>
    </row>
    <row r="199" spans="1:9" s="27" customFormat="1" ht="110">
      <c r="A199" s="85">
        <f>'Excercise - Al '!A199</f>
        <v>198</v>
      </c>
      <c r="B199" s="85"/>
      <c r="C199" s="86">
        <f>'Excercise - Al '!E199</f>
        <v>40304.427083333336</v>
      </c>
      <c r="D199" s="85" t="str">
        <f>IF('Excercise - Al '!F199&lt;&gt;0,'Excercise - Al '!F199,"")</f>
        <v>MISSION</v>
      </c>
      <c r="E199" s="85" t="str">
        <f>IF('Excercise - Al '!G199&lt;&gt;"","MODE: "&amp;'Excercise - Al '!G199,"")&amp;IF('Excercise - Al '!H199&lt;&gt;"","   FROM: "&amp;'Excercise - Al '!H199,"")&amp;IF('Excercise - Al '!I199&lt;&gt;"","   INJECTED BY: "&amp;'Excercise - Al '!I199,"")&amp;IF('Excercise - Al '!J199&lt;&gt;"","   SEND TO: "&amp;'Excercise - Al '!J199,"")</f>
        <v>MODE: Email/cell   FROM: AEMA   INJECTED BY: SEOC LNO   SEND TO: JOC, JTF-South, All</v>
      </c>
      <c r="F199" s="85" t="str">
        <f>IF('Excercise - Al '!K199&lt;&gt;"","STORYLINE: "&amp;'Excercise - Al '!K199,"")&amp;IF('Excercise - Al '!M199&lt;&gt;"","   DESCRIPTION: "&amp;'Excercise - Al '!M199,"")&amp;IF('Excercise - Al '!O199&lt;&gt;"","   NOTES/REMARKS: "&amp;'Excercise - Al '!O199,"")&amp;IF('Excercise - Al '!Q199&lt;&gt;"","   BACKGROUND INFO: "&amp;'Excercise - Al '!Q199,"")</f>
        <v xml:space="preserve">   DESCRIPTION: Generator Request   NOTES/REMARKS: Exterior power sources are needed to provided electricity for a Nursing House and Medical Center facilities which are approximately 35,000 square feet.   BACKGROUND INFO: After Hurricane AL made landfall near the gulf coast area of Mobile. The local area Emergency Manager(EM) reported minor damage to a nursing home and a medical center in Pritchard, Alabama. Both the nursing home and medical center are without electricity. The Mobile Medical Center, and the nursing facility needs two generators each one to serve as the main power source and the other one as a backup.</v>
      </c>
      <c r="G199" s="85" t="str">
        <f>IF('Excercise - Al '!P199&lt;&gt;"","IMPLEMENTER: "&amp;'Excercise - Al '!P199,"")</f>
        <v>IMPLEMENTER: After Hurricane AL made landfall near the gulf coast area of Mobile. The local area Emergency Manager(EM) reported minor damage to a nursing home and a medical center in Pritchard, Alabama. Both the nursing home and medical center are without electricity. The Mobile Medical Center, and the nursing facility needs two generators each one to serve as the main power source and the other one as a backup.</v>
      </c>
      <c r="H199" s="85" t="str">
        <f>IF('Excercise - Al '!N199&lt;&gt;"","EXPECTED ACTIONS: "&amp;'Excercise - Al '!N199,"")</f>
        <v>EXPECTED ACTIONS: Ability to coordinate with neighboring states for Logistic Assistance.</v>
      </c>
      <c r="I199" s="85" t="str">
        <f>'Excercise - Al '!R199</f>
        <v>McDonald</v>
      </c>
    </row>
    <row r="200" spans="1:9" s="27" customFormat="1" ht="50">
      <c r="A200" s="85">
        <f>'Excercise - Al '!A200</f>
        <v>199</v>
      </c>
      <c r="B200" s="85"/>
      <c r="C200" s="86">
        <f>'Excercise - Al '!E200</f>
        <v>40304.430555555555</v>
      </c>
      <c r="D200" s="85" t="str">
        <f>IF('Excercise - Al '!F200&lt;&gt;0,'Excercise - Al '!F200,"")</f>
        <v>RFI</v>
      </c>
      <c r="E200" s="85" t="str">
        <f>IF('Excercise - Al '!G200&lt;&gt;"","MODE: "&amp;'Excercise - Al '!G200,"")&amp;IF('Excercise - Al '!H200&lt;&gt;"","   FROM: "&amp;'Excercise - Al '!H200,"")&amp;IF('Excercise - Al '!I200&lt;&gt;"","   INJECTED BY: "&amp;'Excercise - Al '!I200,"")&amp;IF('Excercise - Al '!J200&lt;&gt;"","   SEND TO: "&amp;'Excercise - Al '!J200,"")</f>
        <v>MODE: RFA   FROM: White Cell - JTF South   INJECTED BY: POLLARD   SEND TO: JOC</v>
      </c>
      <c r="F200" s="85" t="str">
        <f>IF('Excercise - Al '!K200&lt;&gt;"","STORYLINE: "&amp;'Excercise - Al '!K200,"")&amp;IF('Excercise - Al '!M200&lt;&gt;"","   DESCRIPTION: "&amp;'Excercise - Al '!M200,"")&amp;IF('Excercise - Al '!O200&lt;&gt;"","   NOTES/REMARKS: "&amp;'Excercise - Al '!O200,"")&amp;IF('Excercise - Al '!Q200&lt;&gt;"","   BACKGROUND INFO: "&amp;'Excercise - Al '!Q200,"")</f>
        <v xml:space="preserve">   DESCRIPTION: Request for NLWS for security mission</v>
      </c>
      <c r="G200" s="85" t="str">
        <f>IF('Excercise - Al '!P200&lt;&gt;"","IMPLEMENTER: "&amp;'Excercise - Al '!P200,"")</f>
        <v>IMPLEMENTER: Need NLWS for security mission</v>
      </c>
      <c r="H200" s="85" t="str">
        <f>IF('Excercise - Al '!N200&lt;&gt;"","EXPECTED ACTIONS: "&amp;'Excercise - Al '!N200,"")</f>
        <v/>
      </c>
      <c r="I200" s="85" t="str">
        <f>'Excercise - Al '!R200</f>
        <v>Kahl</v>
      </c>
    </row>
    <row r="201" spans="1:9" s="27" customFormat="1" ht="50">
      <c r="A201" s="85">
        <f>'Excercise - Al '!A201</f>
        <v>200</v>
      </c>
      <c r="B201" s="85"/>
      <c r="C201" s="86">
        <f>'Excercise - Al '!E201</f>
        <v>40304.4375</v>
      </c>
      <c r="D201" s="85" t="str">
        <f>IF('Excercise - Al '!F201&lt;&gt;0,'Excercise - Al '!F201,"")</f>
        <v>MISSION</v>
      </c>
      <c r="E201" s="85" t="str">
        <f>IF('Excercise - Al '!G201&lt;&gt;"","MODE: "&amp;'Excercise - Al '!G201,"")&amp;IF('Excercise - Al '!H201&lt;&gt;"","   FROM: "&amp;'Excercise - Al '!H201,"")&amp;IF('Excercise - Al '!I201&lt;&gt;"","   INJECTED BY: "&amp;'Excercise - Al '!I201,"")&amp;IF('Excercise - Al '!J201&lt;&gt;"","   SEND TO: "&amp;'Excercise - Al '!J201,"")</f>
        <v>MODE: EMITS   FROM: ESF 9   INJECTED BY: SEOC LNO   SEND TO: JTF-S</v>
      </c>
      <c r="F201" s="85" t="str">
        <f>IF('Excercise - Al '!K201&lt;&gt;"","STORYLINE: "&amp;'Excercise - Al '!K201,"")&amp;IF('Excercise - Al '!M201&lt;&gt;"","   DESCRIPTION: "&amp;'Excercise - Al '!M201,"")&amp;IF('Excercise - Al '!O201&lt;&gt;"","   NOTES/REMARKS: "&amp;'Excercise - Al '!O201,"")&amp;IF('Excercise - Al '!Q201&lt;&gt;"","   BACKGROUND INFO: "&amp;'Excercise - Al '!Q201,"")</f>
        <v xml:space="preserve">   DESCRIPTION: Water SAR Request - Baldwin County</v>
      </c>
      <c r="G201" s="85" t="str">
        <f>IF('Excercise - Al '!P201&lt;&gt;"","IMPLEMENTER: "&amp;'Excercise - Al '!P201,"")</f>
        <v>IMPLEMENTER: Baldwin County EMA Request 4 SAR boat teams to vicinity Point Clear, AL POC is Mr Raines</v>
      </c>
      <c r="H201" s="85" t="str">
        <f>IF('Excercise - Al '!N201&lt;&gt;"","EXPECTED ACTIONS: "&amp;'Excercise - Al '!N201,"")</f>
        <v/>
      </c>
      <c r="I201" s="85" t="str">
        <f>'Excercise - Al '!R201</f>
        <v>Keane</v>
      </c>
    </row>
    <row r="202" spans="1:9" s="27" customFormat="1" ht="50">
      <c r="A202" s="85">
        <f>'Excercise - Al '!A202</f>
        <v>201</v>
      </c>
      <c r="B202" s="85"/>
      <c r="C202" s="86">
        <f>'Excercise - Al '!E202</f>
        <v>40304.438194444447</v>
      </c>
      <c r="D202" s="85" t="str">
        <f>IF('Excercise - Al '!F202&lt;&gt;0,'Excercise - Al '!F202,"")</f>
        <v>MISSION</v>
      </c>
      <c r="E202" s="85" t="str">
        <f>IF('Excercise - Al '!G202&lt;&gt;"","MODE: "&amp;'Excercise - Al '!G202,"")&amp;IF('Excercise - Al '!H202&lt;&gt;"","   FROM: "&amp;'Excercise - Al '!H202,"")&amp;IF('Excercise - Al '!I202&lt;&gt;"","   INJECTED BY: "&amp;'Excercise - Al '!I202,"")&amp;IF('Excercise - Al '!J202&lt;&gt;"","   SEND TO: "&amp;'Excercise - Al '!J202,"")</f>
        <v>MODE: EMITS   FROM: ESF 13   INJECTED BY: SEOC LNO   SEND TO: JOC</v>
      </c>
      <c r="F202" s="85" t="str">
        <f>IF('Excercise - Al '!K202&lt;&gt;"","STORYLINE: "&amp;'Excercise - Al '!K202,"")&amp;IF('Excercise - Al '!M202&lt;&gt;"","   DESCRIPTION: "&amp;'Excercise - Al '!M202,"")&amp;IF('Excercise - Al '!O202&lt;&gt;"","   NOTES/REMARKS: "&amp;'Excercise - Al '!O202,"")&amp;IF('Excercise - Al '!Q202&lt;&gt;"","   BACKGROUND INFO: "&amp;'Excercise - Al '!Q202,"")</f>
        <v xml:space="preserve">   DESCRIPTION: Aviation Request</v>
      </c>
      <c r="G202" s="85" t="str">
        <f>IF('Excercise - Al '!P202&lt;&gt;"","IMPLEMENTER: "&amp;'Excercise - Al '!P202,"")</f>
        <v>IMPLEMENTER: Request aviation for aerial assessment of affect AO.  20 PAX</v>
      </c>
      <c r="H202" s="85" t="str">
        <f>IF('Excercise - Al '!N202&lt;&gt;"","EXPECTED ACTIONS: "&amp;'Excercise - Al '!N202,"")</f>
        <v/>
      </c>
      <c r="I202" s="85" t="str">
        <f>'Excercise - Al '!R202</f>
        <v>Keane</v>
      </c>
    </row>
    <row r="203" spans="1:9" s="27" customFormat="1" ht="50">
      <c r="A203" s="85">
        <f>'Excercise - Al '!A203</f>
        <v>202</v>
      </c>
      <c r="B203" s="85"/>
      <c r="C203" s="86">
        <f>'Excercise - Al '!E203</f>
        <v>40304.439583333333</v>
      </c>
      <c r="D203" s="85" t="str">
        <f>IF('Excercise - Al '!F203&lt;&gt;0,'Excercise - Al '!F203,"")</f>
        <v>MISSION</v>
      </c>
      <c r="E203" s="85" t="str">
        <f>IF('Excercise - Al '!G203&lt;&gt;"","MODE: "&amp;'Excercise - Al '!G203,"")&amp;IF('Excercise - Al '!H203&lt;&gt;"","   FROM: "&amp;'Excercise - Al '!H203,"")&amp;IF('Excercise - Al '!I203&lt;&gt;"","   INJECTED BY: "&amp;'Excercise - Al '!I203,"")&amp;IF('Excercise - Al '!J203&lt;&gt;"","   SEND TO: "&amp;'Excercise - Al '!J203,"")</f>
        <v>MODE: EMITS   FROM: ESF 5   INJECTED BY: SEOC LNO   SEND TO: JTF-S</v>
      </c>
      <c r="F203" s="85" t="str">
        <f>IF('Excercise - Al '!K203&lt;&gt;"","STORYLINE: "&amp;'Excercise - Al '!K203,"")&amp;IF('Excercise - Al '!M203&lt;&gt;"","   DESCRIPTION: "&amp;'Excercise - Al '!M203,"")&amp;IF('Excercise - Al '!O203&lt;&gt;"","   NOTES/REMARKS: "&amp;'Excercise - Al '!O203,"")&amp;IF('Excercise - Al '!Q203&lt;&gt;"","   BACKGROUND INFO: "&amp;'Excercise - Al '!Q203,"")</f>
        <v xml:space="preserve">   DESCRIPTION: Generator Request</v>
      </c>
      <c r="G203" s="85" t="str">
        <f>IF('Excercise - Al '!P203&lt;&gt;"","IMPLEMENTER: "&amp;'Excercise - Al '!P203,"")</f>
        <v xml:space="preserve">IMPLEMENTER: Deploy 3ea 100KW Gen to Baldwin County Hospital, Thomas (Fairhope), Foley (South Baldwin), Foley Dialysis Center, Foley. </v>
      </c>
      <c r="H203" s="85" t="str">
        <f>IF('Excercise - Al '!N203&lt;&gt;"","EXPECTED ACTIONS: "&amp;'Excercise - Al '!N203,"")</f>
        <v/>
      </c>
      <c r="I203" s="85" t="str">
        <f>'Excercise - Al '!R203</f>
        <v>Keane</v>
      </c>
    </row>
    <row r="204" spans="1:9" s="27" customFormat="1" ht="50">
      <c r="A204" s="85">
        <f>'Excercise - Al '!A204</f>
        <v>203</v>
      </c>
      <c r="B204" s="85"/>
      <c r="C204" s="86">
        <f>'Excercise - Al '!E204</f>
        <v>40304.440972222234</v>
      </c>
      <c r="D204" s="85" t="str">
        <f>IF('Excercise - Al '!F204&lt;&gt;0,'Excercise - Al '!F204,"")</f>
        <v>MISSION</v>
      </c>
      <c r="E204" s="85" t="str">
        <f>IF('Excercise - Al '!G204&lt;&gt;"","MODE: "&amp;'Excercise - Al '!G204,"")&amp;IF('Excercise - Al '!H204&lt;&gt;"","   FROM: "&amp;'Excercise - Al '!H204,"")&amp;IF('Excercise - Al '!I204&lt;&gt;"","   INJECTED BY: "&amp;'Excercise - Al '!I204,"")&amp;IF('Excercise - Al '!J204&lt;&gt;"","   SEND TO: "&amp;'Excercise - Al '!J204,"")</f>
        <v>MODE: EMITS   FROM: ESF 5   INJECTED BY: SEOC LNO   SEND TO: JTF-S</v>
      </c>
      <c r="F204" s="85" t="str">
        <f>IF('Excercise - Al '!K204&lt;&gt;"","STORYLINE: "&amp;'Excercise - Al '!K204,"")&amp;IF('Excercise - Al '!M204&lt;&gt;"","   DESCRIPTION: "&amp;'Excercise - Al '!M204,"")&amp;IF('Excercise - Al '!O204&lt;&gt;"","   NOTES/REMARKS: "&amp;'Excercise - Al '!O204,"")&amp;IF('Excercise - Al '!Q204&lt;&gt;"","   BACKGROUND INFO: "&amp;'Excercise - Al '!Q204,"")</f>
        <v xml:space="preserve">   DESCRIPTION: Evacuation Assistance Request</v>
      </c>
      <c r="G204" s="85" t="str">
        <f>IF('Excercise - Al '!P204&lt;&gt;"","IMPLEMENTER: "&amp;'Excercise - Al '!P204,"")</f>
        <v>IMPLEMENTER: Provide 25 soldiers to assist with loading and orderly evacuation 150 patients at Springhill Medical Center in Mobile due to power/water outages. Mission duration is 12 hrs</v>
      </c>
      <c r="H204" s="85" t="str">
        <f>IF('Excercise - Al '!N204&lt;&gt;"","EXPECTED ACTIONS: "&amp;'Excercise - Al '!N204,"")</f>
        <v/>
      </c>
      <c r="I204" s="85" t="str">
        <f>'Excercise - Al '!R204</f>
        <v>Keane</v>
      </c>
    </row>
    <row r="205" spans="1:9" s="27" customFormat="1" ht="60">
      <c r="A205" s="85">
        <f>'Excercise - Al '!A205</f>
        <v>204</v>
      </c>
      <c r="B205" s="85"/>
      <c r="C205" s="86">
        <f>'Excercise - Al '!E205</f>
        <v>40304.443055555574</v>
      </c>
      <c r="D205" s="85" t="str">
        <f>IF('Excercise - Al '!F205&lt;&gt;0,'Excercise - Al '!F205,"")</f>
        <v>MISSION</v>
      </c>
      <c r="E205" s="85" t="str">
        <f>IF('Excercise - Al '!G205&lt;&gt;"","MODE: "&amp;'Excercise - Al '!G205,"")&amp;IF('Excercise - Al '!H205&lt;&gt;"","   FROM: "&amp;'Excercise - Al '!H205,"")&amp;IF('Excercise - Al '!I205&lt;&gt;"","   INJECTED BY: "&amp;'Excercise - Al '!I205,"")&amp;IF('Excercise - Al '!J205&lt;&gt;"","   SEND TO: "&amp;'Excercise - Al '!J205,"")</f>
        <v>MODE: EMITS   FROM: ESF 1   INJECTED BY: SEOC LNO   SEND TO: JTF-S</v>
      </c>
      <c r="F205" s="85" t="str">
        <f>IF('Excercise - Al '!K205&lt;&gt;"","STORYLINE: "&amp;'Excercise - Al '!K205,"")&amp;IF('Excercise - Al '!M205&lt;&gt;"","   DESCRIPTION: "&amp;'Excercise - Al '!M205,"")&amp;IF('Excercise - Al '!O205&lt;&gt;"","   NOTES/REMARKS: "&amp;'Excercise - Al '!O205,"")&amp;IF('Excercise - Al '!Q205&lt;&gt;"","   BACKGROUND INFO: "&amp;'Excercise - Al '!Q205,"")</f>
        <v xml:space="preserve">   DESCRIPTION: LSA Support - Commodity Transportation</v>
      </c>
      <c r="G205" s="85" t="str">
        <f>IF('Excercise - Al '!P205&lt;&gt;"","IMPLEMENTER: "&amp;'Excercise - Al '!P205,"")</f>
        <v xml:space="preserve">IMPLEMENTER: Transport food, water, and ice from LSA Brookley Field to LSA's located in Mobile and Baldwin Counties.  Commodities to move are 400 Pallets of MRE, 500 Pallets of water, 100 Pallets of Ice, this will be a LOG Push mission daily.  Mission duration is TBD.    </v>
      </c>
      <c r="H205" s="85" t="str">
        <f>IF('Excercise - Al '!N205&lt;&gt;"","EXPECTED ACTIONS: "&amp;'Excercise - Al '!N205,"")</f>
        <v/>
      </c>
      <c r="I205" s="85" t="str">
        <f>'Excercise - Al '!R205</f>
        <v>Keane</v>
      </c>
    </row>
    <row r="206" spans="1:9" s="27" customFormat="1" ht="50">
      <c r="A206" s="85">
        <f>'Excercise - Al '!A206</f>
        <v>205</v>
      </c>
      <c r="B206" s="85"/>
      <c r="C206" s="86">
        <f>'Excercise - Al '!E206</f>
        <v>40304.44375000002</v>
      </c>
      <c r="D206" s="85" t="str">
        <f>IF('Excercise - Al '!F206&lt;&gt;0,'Excercise - Al '!F206,"")</f>
        <v>MISSION</v>
      </c>
      <c r="E206" s="85" t="str">
        <f>IF('Excercise - Al '!G206&lt;&gt;"","MODE: "&amp;'Excercise - Al '!G206,"")&amp;IF('Excercise - Al '!H206&lt;&gt;"","   FROM: "&amp;'Excercise - Al '!H206,"")&amp;IF('Excercise - Al '!I206&lt;&gt;"","   INJECTED BY: "&amp;'Excercise - Al '!I206,"")&amp;IF('Excercise - Al '!J206&lt;&gt;"","   SEND TO: "&amp;'Excercise - Al '!J206,"")</f>
        <v>MODE: EMITS   FROM: AEMA ESF 13   INJECTED BY: SEOC LNO   SEND TO: JOC</v>
      </c>
      <c r="F206" s="85" t="str">
        <f>IF('Excercise - Al '!K206&lt;&gt;"","STORYLINE: "&amp;'Excercise - Al '!K206,"")&amp;IF('Excercise - Al '!M206&lt;&gt;"","   DESCRIPTION: "&amp;'Excercise - Al '!M206,"")&amp;IF('Excercise - Al '!O206&lt;&gt;"","   NOTES/REMARKS: "&amp;'Excercise - Al '!O206,"")&amp;IF('Excercise - Al '!Q206&lt;&gt;"","   BACKGROUND INFO: "&amp;'Excercise - Al '!Q206,"")</f>
        <v xml:space="preserve">   DESCRIPTION: AEMA Request for additional Guard personnel</v>
      </c>
      <c r="G206" s="85" t="str">
        <f>IF('Excercise - Al '!P206&lt;&gt;"","IMPLEMENTER: "&amp;'Excercise - Al '!P206,"")</f>
        <v>IMPLEMENTER: AEMA requests activating 1300 additional Guardsmen for initial hurricane response force.</v>
      </c>
      <c r="H206" s="85" t="str">
        <f>IF('Excercise - Al '!N206&lt;&gt;"","EXPECTED ACTIONS: "&amp;'Excercise - Al '!N206,"")</f>
        <v/>
      </c>
      <c r="I206" s="85" t="str">
        <f>'Excercise - Al '!R206</f>
        <v>Keane</v>
      </c>
    </row>
    <row r="207" spans="1:9" s="27" customFormat="1" ht="50">
      <c r="A207" s="85">
        <f>'Excercise - Al '!A207</f>
        <v>206</v>
      </c>
      <c r="B207" s="85"/>
      <c r="C207" s="86">
        <f>'Excercise - Al '!E207</f>
        <v>40304.444444444445</v>
      </c>
      <c r="D207" s="85" t="str">
        <f>IF('Excercise - Al '!F207&lt;&gt;0,'Excercise - Al '!F207,"")</f>
        <v>RFI</v>
      </c>
      <c r="E207" s="85" t="str">
        <f>IF('Excercise - Al '!G207&lt;&gt;"","MODE: "&amp;'Excercise - Al '!G207,"")&amp;IF('Excercise - Al '!H207&lt;&gt;"","   FROM: "&amp;'Excercise - Al '!H207,"")&amp;IF('Excercise - Al '!I207&lt;&gt;"","   INJECTED BY: "&amp;'Excercise - Al '!I207,"")&amp;IF('Excercise - Al '!J207&lt;&gt;"","   SEND TO: "&amp;'Excercise - Al '!J207,"")</f>
        <v>MODE: Phone    FROM: White Cell - JTF South   INJECTED BY: KAHL   SEND TO: JTF South</v>
      </c>
      <c r="F207" s="85" t="str">
        <f>IF('Excercise - Al '!K207&lt;&gt;"","STORYLINE: "&amp;'Excercise - Al '!K207,"")&amp;IF('Excercise - Al '!M207&lt;&gt;"","   DESCRIPTION: "&amp;'Excercise - Al '!M207,"")&amp;IF('Excercise - Al '!O207&lt;&gt;"","   NOTES/REMARKS: "&amp;'Excercise - Al '!O207,"")&amp;IF('Excercise - Al '!Q207&lt;&gt;"","   BACKGROUND INFO: "&amp;'Excercise - Al '!Q207,"")</f>
        <v xml:space="preserve">   DESCRIPTION: Request for route clearance   BACKGROUND INFO: JTF should call in report and JOC call state EOC </v>
      </c>
      <c r="G207" s="85" t="str">
        <f>IF('Excercise - Al '!P207&lt;&gt;"","IMPLEMENTER: "&amp;'Excercise - Al '!P207,"")</f>
        <v>IMPLEMENTER: Emergency Room Entrance Blocked. Hospital Administrator askes for help to clear route</v>
      </c>
      <c r="H207" s="85" t="str">
        <f>IF('Excercise - Al '!N207&lt;&gt;"","EXPECTED ACTIONS: "&amp;'Excercise - Al '!N207,"")</f>
        <v/>
      </c>
      <c r="I207" s="85" t="str">
        <f>'Excercise - Al '!R207</f>
        <v>Kahl</v>
      </c>
    </row>
    <row r="208" spans="1:9" s="27" customFormat="1" ht="70">
      <c r="A208" s="85">
        <f>'Excercise - Al '!A208</f>
        <v>207</v>
      </c>
      <c r="B208" s="85"/>
      <c r="C208" s="86">
        <f>'Excercise - Al '!E208</f>
        <v>40304.444444444467</v>
      </c>
      <c r="D208" s="85" t="str">
        <f>IF('Excercise - Al '!F208&lt;&gt;0,'Excercise - Al '!F208,"")</f>
        <v>INFO</v>
      </c>
      <c r="E208" s="85" t="str">
        <f>IF('Excercise - Al '!G208&lt;&gt;"","MODE: "&amp;'Excercise - Al '!G208,"")&amp;IF('Excercise - Al '!H208&lt;&gt;"","   FROM: "&amp;'Excercise - Al '!H208,"")&amp;IF('Excercise - Al '!I208&lt;&gt;"","   INJECTED BY: "&amp;'Excercise - Al '!I208,"")&amp;IF('Excercise - Al '!J208&lt;&gt;"","   SEND TO: "&amp;'Excercise - Al '!J208,"")</f>
        <v xml:space="preserve">   INJECTED BY: PERRY MCDONALD   SEND TO: JOC</v>
      </c>
      <c r="F208" s="85" t="str">
        <f>IF('Excercise - Al '!K208&lt;&gt;"","STORYLINE: "&amp;'Excercise - Al '!K208,"")&amp;IF('Excercise - Al '!M208&lt;&gt;"","   DESCRIPTION: "&amp;'Excercise - Al '!M208,"")&amp;IF('Excercise - Al '!O208&lt;&gt;"","   NOTES/REMARKS: "&amp;'Excercise - Al '!O208,"")&amp;IF('Excercise - Al '!Q208&lt;&gt;"","   BACKGROUND INFO: "&amp;'Excercise - Al '!Q208,"")</f>
        <v xml:space="preserve">   DESCRIPTION: Report of problems at WWTP</v>
      </c>
      <c r="G208" s="85" t="str">
        <f>IF('Excercise - Al '!P208&lt;&gt;"","IMPLEMENTER: "&amp;'Excercise - Al '!P208,"")</f>
        <v>IMPLEMENTER: A Deputy Sheriff calls the water superintendent to let them know that he received a radio call from an EMS worker reporting that (named) Hospital was losing water pressure fast. He also informs the water treatment plant (WTP) that the same EMS worker also noticed that water was gushing out of a pipe under the (named) Street bridge.</v>
      </c>
      <c r="H208" s="85" t="str">
        <f>IF('Excercise - Al '!N208&lt;&gt;"","EXPECTED ACTIONS: "&amp;'Excercise - Al '!N208,"")</f>
        <v/>
      </c>
      <c r="I208" s="85" t="str">
        <f>'Excercise - Al '!R208</f>
        <v>P McDonald</v>
      </c>
    </row>
    <row r="209" spans="1:9" s="27" customFormat="1" ht="60">
      <c r="A209" s="85">
        <f>'Excercise - Al '!A209</f>
        <v>208</v>
      </c>
      <c r="B209" s="85"/>
      <c r="C209" s="86">
        <f>'Excercise - Al '!E209</f>
        <v>40304.447916666664</v>
      </c>
      <c r="D209" s="85" t="str">
        <f>IF('Excercise - Al '!F209&lt;&gt;0,'Excercise - Al '!F209,"")</f>
        <v>MISSION</v>
      </c>
      <c r="E209" s="85" t="str">
        <f>IF('Excercise - Al '!G209&lt;&gt;"","MODE: "&amp;'Excercise - Al '!G209,"")&amp;IF('Excercise - Al '!H209&lt;&gt;"","   FROM: "&amp;'Excercise - Al '!H209,"")&amp;IF('Excercise - Al '!I209&lt;&gt;"","   INJECTED BY: "&amp;'Excercise - Al '!I209,"")&amp;IF('Excercise - Al '!J209&lt;&gt;"","   SEND TO: "&amp;'Excercise - Al '!J209,"")</f>
        <v>MODE: EMITS   FROM: SEOC   INJECTED BY: SEOC LNO   SEND TO: JOC Message Center</v>
      </c>
      <c r="F209" s="85" t="str">
        <f>IF('Excercise - Al '!K209&lt;&gt;"","STORYLINE: "&amp;'Excercise - Al '!K209,"")&amp;IF('Excercise - Al '!M209&lt;&gt;"","   DESCRIPTION: "&amp;'Excercise - Al '!M209,"")&amp;IF('Excercise - Al '!O209&lt;&gt;"","   NOTES/REMARKS: "&amp;'Excercise - Al '!O209,"")&amp;IF('Excercise - Al '!Q209&lt;&gt;"","   BACKGROUND INFO: "&amp;'Excercise - Al '!Q209,"")</f>
        <v xml:space="preserve">   DESCRIPTION: EOC Request for Security forces   BACKGROUND INFO: JTF South sends Soldiers in vehicles or w/radio communication to each check point.</v>
      </c>
      <c r="G209" s="85" t="str">
        <f>IF('Excercise - Al '!P209&lt;&gt;"","IMPLEMENTER: "&amp;'Excercise - Al '!P209,"")</f>
        <v>IMPLEMENTER: EOC requests SAR forces for Gulf Shores, Orange Beach, Dauphin Island, and Fort Morgan. Mission is to   assist with manning  security check points. Mission request is for 200 personnel. Anticipated mission duration is 72 hours. Request units be self sustaining</v>
      </c>
      <c r="H209" s="85" t="str">
        <f>IF('Excercise - Al '!N209&lt;&gt;"","EXPECTED ACTIONS: "&amp;'Excercise - Al '!N209,"")</f>
        <v/>
      </c>
      <c r="I209" s="85" t="str">
        <f>'Excercise - Al '!R209</f>
        <v>Wheeler</v>
      </c>
    </row>
    <row r="210" spans="1:9" s="27" customFormat="1" ht="50">
      <c r="A210" s="85">
        <f>'Excercise - Al '!A210</f>
        <v>209</v>
      </c>
      <c r="B210" s="85"/>
      <c r="C210" s="86">
        <f>'Excercise - Al '!E210</f>
        <v>40304.448611111111</v>
      </c>
      <c r="D210" s="85" t="str">
        <f>IF('Excercise - Al '!F210&lt;&gt;0,'Excercise - Al '!F210,"")</f>
        <v>INFO</v>
      </c>
      <c r="E210" s="85" t="str">
        <f>IF('Excercise - Al '!G210&lt;&gt;"","MODE: "&amp;'Excercise - Al '!G210,"")&amp;IF('Excercise - Al '!H210&lt;&gt;"","   FROM: "&amp;'Excercise - Al '!H210,"")&amp;IF('Excercise - Al '!I210&lt;&gt;"","   INJECTED BY: "&amp;'Excercise - Al '!I210,"")&amp;IF('Excercise - Al '!J210&lt;&gt;"","   SEND TO: "&amp;'Excercise - Al '!J210,"")</f>
        <v>MODE: Email   FROM: JTF S   INJECTED BY: HOWARD   SEND TO: J3</v>
      </c>
      <c r="F210" s="85" t="str">
        <f>IF('Excercise - Al '!K210&lt;&gt;"","STORYLINE: "&amp;'Excercise - Al '!K210,"")&amp;IF('Excercise - Al '!M210&lt;&gt;"","   DESCRIPTION: "&amp;'Excercise - Al '!M210,"")&amp;IF('Excercise - Al '!O210&lt;&gt;"","   NOTES/REMARKS: "&amp;'Excercise - Al '!O210,"")&amp;IF('Excercise - Al '!Q210&lt;&gt;"","   BACKGROUND INFO: "&amp;'Excercise - Al '!Q210,"")</f>
        <v xml:space="preserve">   DESCRIPTION: Soldier is threatening another Soldier with a loaded weapon while performing POD support in Bay Minnette.  He has recently redeployed from Iraq after 13 months. </v>
      </c>
      <c r="G210" s="85" t="str">
        <f>IF('Excercise - Al '!P210&lt;&gt;"","IMPLEMENTER: "&amp;'Excercise - Al '!P210,"")</f>
        <v xml:space="preserve">IMPLEMENTER: Soldier is threatening another Soldier with a loaded weapon while performing POD support in Bay Minnette.  He has recently redeployed from Iraq after 13 months. </v>
      </c>
      <c r="H210" s="85" t="str">
        <f>IF('Excercise - Al '!N210&lt;&gt;"","EXPECTED ACTIONS: "&amp;'Excercise - Al '!N210,"")</f>
        <v/>
      </c>
      <c r="I210" s="85" t="str">
        <f>'Excercise - Al '!R210</f>
        <v>Benton</v>
      </c>
    </row>
    <row r="211" spans="1:9" s="27" customFormat="1" ht="50">
      <c r="A211" s="85">
        <f>'Excercise - Al '!A211</f>
        <v>210</v>
      </c>
      <c r="B211" s="85"/>
      <c r="C211" s="86">
        <f>'Excercise - Al '!E211</f>
        <v>40304.458333333336</v>
      </c>
      <c r="D211" s="85" t="str">
        <f>IF('Excercise - Al '!F211&lt;&gt;0,'Excercise - Al '!F211,"")</f>
        <v>MISSION</v>
      </c>
      <c r="E211" s="85" t="str">
        <f>IF('Excercise - Al '!G211&lt;&gt;"","MODE: "&amp;'Excercise - Al '!G211,"")&amp;IF('Excercise - Al '!H211&lt;&gt;"","   FROM: "&amp;'Excercise - Al '!H211,"")&amp;IF('Excercise - Al '!I211&lt;&gt;"","   INJECTED BY: "&amp;'Excercise - Al '!I211,"")&amp;IF('Excercise - Al '!J211&lt;&gt;"","   SEND TO: "&amp;'Excercise - Al '!J211,"")</f>
        <v>MODE: EMITS   FROM: AEMA   INJECTED BY: SEOC LNO   SEND TO: JOC</v>
      </c>
      <c r="F211" s="85" t="str">
        <f>IF('Excercise - Al '!K211&lt;&gt;"","STORYLINE: "&amp;'Excercise - Al '!K211,"")&amp;IF('Excercise - Al '!M211&lt;&gt;"","   DESCRIPTION: "&amp;'Excercise - Al '!M211,"")&amp;IF('Excercise - Al '!O211&lt;&gt;"","   NOTES/REMARKS: "&amp;'Excercise - Al '!O211,"")&amp;IF('Excercise - Al '!Q211&lt;&gt;"","   BACKGROUND INFO: "&amp;'Excercise - Al '!Q211,"")</f>
        <v xml:space="preserve">   DESCRIPTION: EMA Request for Aviation Support</v>
      </c>
      <c r="G211" s="85" t="str">
        <f>IF('Excercise - Al '!P211&lt;&gt;"","IMPLEMENTER: "&amp;'Excercise - Al '!P211,"")</f>
        <v>IMPLEMENTER: AEMA requests rotary wing assets for Governor and State Officials to observe storm damage.  Positioned NLT 1800 19 May 2009.  Duration 7 days.  Expect 12-15 pax per sortie.</v>
      </c>
      <c r="H211" s="85" t="str">
        <f>IF('Excercise - Al '!N211&lt;&gt;"","EXPECTED ACTIONS: "&amp;'Excercise - Al '!N211,"")</f>
        <v/>
      </c>
      <c r="I211" s="85" t="str">
        <f>'Excercise - Al '!R211</f>
        <v>Keane</v>
      </c>
    </row>
    <row r="212" spans="1:9" s="27" customFormat="1" ht="50">
      <c r="A212" s="85">
        <f>'Excercise - Al '!A212</f>
        <v>211</v>
      </c>
      <c r="B212" s="85"/>
      <c r="C212" s="86">
        <f>'Excercise - Al '!E212</f>
        <v>40304.458333333336</v>
      </c>
      <c r="D212" s="85" t="str">
        <f>IF('Excercise - Al '!F212&lt;&gt;0,'Excercise - Al '!F212,"")</f>
        <v>RFI</v>
      </c>
      <c r="E212" s="85" t="str">
        <f>IF('Excercise - Al '!G212&lt;&gt;"","MODE: "&amp;'Excercise - Al '!G212,"")&amp;IF('Excercise - Al '!H212&lt;&gt;"","   FROM: "&amp;'Excercise - Al '!H212,"")&amp;IF('Excercise - Al '!I212&lt;&gt;"","   INJECTED BY: "&amp;'Excercise - Al '!I212,"")&amp;IF('Excercise - Al '!J212&lt;&gt;"","   SEND TO: "&amp;'Excercise - Al '!J212,"")</f>
        <v>MODE: RFA   FROM: White Cell - JTF South   INJECTED BY: SEOC LNO   SEND TO: JOC</v>
      </c>
      <c r="F212" s="85" t="str">
        <f>IF('Excercise - Al '!K212&lt;&gt;"","STORYLINE: "&amp;'Excercise - Al '!K212,"")&amp;IF('Excercise - Al '!M212&lt;&gt;"","   DESCRIPTION: "&amp;'Excercise - Al '!M212,"")&amp;IF('Excercise - Al '!O212&lt;&gt;"","   NOTES/REMARKS: "&amp;'Excercise - Al '!O212,"")&amp;IF('Excercise - Al '!Q212&lt;&gt;"","   BACKGROUND INFO: "&amp;'Excercise - Al '!Q212,"")</f>
        <v xml:space="preserve">   DESCRIPTION: Sandbag Request</v>
      </c>
      <c r="G212" s="85" t="str">
        <f>IF('Excercise - Al '!P212&lt;&gt;"","IMPLEMENTER: "&amp;'Excercise - Al '!P212,"")</f>
        <v>IMPLEMENTER: Need Sandbags for damning and Road Barriers for Traffic control</v>
      </c>
      <c r="H212" s="85" t="str">
        <f>IF('Excercise - Al '!N212&lt;&gt;"","EXPECTED ACTIONS: "&amp;'Excercise - Al '!N212,"")</f>
        <v/>
      </c>
      <c r="I212" s="85" t="str">
        <f>'Excercise - Al '!R212</f>
        <v>Kahl</v>
      </c>
    </row>
    <row r="213" spans="1:9" s="27" customFormat="1" ht="140">
      <c r="A213" s="85">
        <f>'Excercise - Al '!A213</f>
        <v>212</v>
      </c>
      <c r="B213" s="85"/>
      <c r="C213" s="86">
        <f>'Excercise - Al '!E213</f>
        <v>40304.46875</v>
      </c>
      <c r="D213" s="85" t="str">
        <f>IF('Excercise - Al '!F213&lt;&gt;0,'Excercise - Al '!F213,"")</f>
        <v>MRE request</v>
      </c>
      <c r="E213" s="85" t="str">
        <f>IF('Excercise - Al '!G213&lt;&gt;"","MODE: "&amp;'Excercise - Al '!G213,"")&amp;IF('Excercise - Al '!H213&lt;&gt;"","   FROM: "&amp;'Excercise - Al '!H213,"")&amp;IF('Excercise - Al '!I213&lt;&gt;"","   INJECTED BY: "&amp;'Excercise - Al '!I213,"")&amp;IF('Excercise - Al '!J213&lt;&gt;"","   SEND TO: "&amp;'Excercise - Al '!J213,"")</f>
        <v>MODE: Email/cell   INJECTED BY: MCDONALD/TOMBERLIN   SEND TO: TF-South, JOC J-4</v>
      </c>
      <c r="F213" s="85" t="str">
        <f>IF('Excercise - Al '!K213&lt;&gt;"","STORYLINE: "&amp;'Excercise - Al '!K213,"")&amp;IF('Excercise - Al '!M213&lt;&gt;"","   DESCRIPTION: "&amp;'Excercise - Al '!M213,"")&amp;IF('Excercise - Al '!O213&lt;&gt;"","   NOTES/REMARKS: "&amp;'Excercise - Al '!O213,"")&amp;IF('Excercise - Al '!Q213&lt;&gt;"","   BACKGROUND INFO: "&amp;'Excercise - Al '!Q213,"")</f>
        <v>STORYLINE: Approximately 5 pallets of MRE's were scattered during Hurricane AL.   DESCRIPTION: Approximately 5 pallets of MRE's were scattered during Hurricane Al.   NOTES/REMARKS: What arrangement in accordance to DOL policy involves replacing MRE's reserve (replacement)?   BACKGROUND INFO: High sustained wind from Hurricane AL damaged TF-South Warehouse facility, scattering several pallets of MRE's (approximately 5 pallets). Once TF-South request additional MRE's from DOL (J-4). The 5 ton truck transporting the MRE's to TF-South, Driver trying to avoid wildlife (deers) accidentally swerved the truck across I-65 south bound, losing a great portion of its cargo.</v>
      </c>
      <c r="G213" s="85" t="str">
        <f>IF('Excercise - Al '!P213&lt;&gt;"","IMPLEMENTER: "&amp;'Excercise - Al '!P213,"")</f>
        <v>IMPLEMENTER: High sustained wind from Hurricane AL damaged TF-South Warehouse facility, scattering several pallets of MRE's (approximately 5 pallets). Once TF-South request additional MRE's from DOL (J-4). The 5 ton truck transporting the MRE's to TF-South, Driver trying to avoid wildlife (deers) accidentally swerved the truck across I-65 south bound, losing a great portion of its cargo.</v>
      </c>
      <c r="H213" s="85" t="str">
        <f>IF('Excercise - Al '!N213&lt;&gt;"","EXPECTED ACTIONS: "&amp;'Excercise - Al '!N213,"")</f>
        <v>EXPECTED ACTIONS: Request from TF south thru DOL (J-4) to USPF&amp;O (Food Service section). End results - Contract local vendor for meals</v>
      </c>
      <c r="I213" s="85" t="str">
        <f>'Excercise - Al '!R213</f>
        <v>McDonald</v>
      </c>
    </row>
    <row r="214" spans="1:9" s="27" customFormat="1" ht="60">
      <c r="A214" s="85">
        <f>'Excercise - Al '!A214</f>
        <v>213</v>
      </c>
      <c r="B214" s="85"/>
      <c r="C214" s="86">
        <f>'Excercise - Al '!E214</f>
        <v>40304.472222222219</v>
      </c>
      <c r="D214" s="85" t="str">
        <f>IF('Excercise - Al '!F214&lt;&gt;0,'Excercise - Al '!F214,"")</f>
        <v>INFO</v>
      </c>
      <c r="E214" s="85" t="str">
        <f>IF('Excercise - Al '!G214&lt;&gt;"","MODE: "&amp;'Excercise - Al '!G214,"")&amp;IF('Excercise - Al '!H214&lt;&gt;"","   FROM: "&amp;'Excercise - Al '!H214,"")&amp;IF('Excercise - Al '!I214&lt;&gt;"","   INJECTED BY: "&amp;'Excercise - Al '!I214,"")&amp;IF('Excercise - Al '!J214&lt;&gt;"","   SEND TO: "&amp;'Excercise - Al '!J214,"")</f>
        <v>MODE: Phone / SIR   FROM: White Cell - JTF South   INJECTED BY: POLLARD   SEND TO: JOC, All</v>
      </c>
      <c r="F214" s="85" t="str">
        <f>IF('Excercise - Al '!K214&lt;&gt;"","STORYLINE: "&amp;'Excercise - Al '!K214,"")&amp;IF('Excercise - Al '!M214&lt;&gt;"","   DESCRIPTION: "&amp;'Excercise - Al '!M214,"")&amp;IF('Excercise - Al '!O214&lt;&gt;"","   NOTES/REMARKS: "&amp;'Excercise - Al '!O214,"")&amp;IF('Excercise - Al '!Q214&lt;&gt;"","   BACKGROUND INFO: "&amp;'Excercise - Al '!Q214,"")</f>
        <v xml:space="preserve">   DESCRIPTION: NG Weapon (M16) taken from soldier</v>
      </c>
      <c r="G214" s="85" t="str">
        <f>IF('Excercise - Al '!P214&lt;&gt;"","IMPLEMENTER: "&amp;'Excercise - Al '!P214,"")</f>
        <v>IMPLEMENTER: local thug at gun point forces the surrender of weapon from Private while on guard duty. No one hurt Weapon and 10 rounds taken.</v>
      </c>
      <c r="H214" s="85" t="str">
        <f>IF('Excercise - Al '!N214&lt;&gt;"","EXPECTED ACTIONS: "&amp;'Excercise - Al '!N214,"")</f>
        <v/>
      </c>
      <c r="I214" s="85" t="str">
        <f>'Excercise - Al '!R214</f>
        <v>Kahl</v>
      </c>
    </row>
    <row r="215" spans="1:9" s="27" customFormat="1" ht="50">
      <c r="A215" s="85">
        <f>'Excercise - Al '!A215</f>
        <v>214</v>
      </c>
      <c r="B215" s="85"/>
      <c r="C215" s="86">
        <f>'Excercise - Al '!E215</f>
        <v>40304.481944444444</v>
      </c>
      <c r="D215" s="85" t="str">
        <f>IF('Excercise - Al '!F215&lt;&gt;0,'Excercise - Al '!F215,"")</f>
        <v>MISSION</v>
      </c>
      <c r="E215" s="85" t="str">
        <f>IF('Excercise - Al '!G215&lt;&gt;"","MODE: "&amp;'Excercise - Al '!G215,"")&amp;IF('Excercise - Al '!H215&lt;&gt;"","   FROM: "&amp;'Excercise - Al '!H215,"")&amp;IF('Excercise - Al '!I215&lt;&gt;"","   INJECTED BY: "&amp;'Excercise - Al '!I215,"")&amp;IF('Excercise - Al '!J215&lt;&gt;"","   SEND TO: "&amp;'Excercise - Al '!J215,"")</f>
        <v>MODE: EMITS   FROM: ESF 5   INJECTED BY: SEOC LNO   SEND TO: JTF-S</v>
      </c>
      <c r="F215" s="85" t="str">
        <f>IF('Excercise - Al '!K215&lt;&gt;"","STORYLINE: "&amp;'Excercise - Al '!K215,"")&amp;IF('Excercise - Al '!M215&lt;&gt;"","   DESCRIPTION: "&amp;'Excercise - Al '!M215,"")&amp;IF('Excercise - Al '!O215&lt;&gt;"","   NOTES/REMARKS: "&amp;'Excercise - Al '!O215,"")&amp;IF('Excercise - Al '!Q215&lt;&gt;"","   BACKGROUND INFO: "&amp;'Excercise - Al '!Q215,"")</f>
        <v xml:space="preserve">   DESCRIPTION: Evacuation Assistance Request</v>
      </c>
      <c r="G215" s="85" t="str">
        <f>IF('Excercise - Al '!P215&lt;&gt;"","IMPLEMENTER: "&amp;'Excercise - Al '!P215,"")</f>
        <v>IMPLEMENTER: Provide 15 soldiers to assist with loading and orderly evacuation of 85 patients at Thomas Hospital in Fairhope due to power/water outages. Mission duration is 12 hrs</v>
      </c>
      <c r="H215" s="85" t="str">
        <f>IF('Excercise - Al '!N215&lt;&gt;"","EXPECTED ACTIONS: "&amp;'Excercise - Al '!N215,"")</f>
        <v/>
      </c>
      <c r="I215" s="85" t="str">
        <f>'Excercise - Al '!R215</f>
        <v>Keane</v>
      </c>
    </row>
    <row r="216" spans="1:9" s="27" customFormat="1" ht="30">
      <c r="A216" s="85">
        <f>'Excercise - Al '!A216</f>
        <v>215</v>
      </c>
      <c r="B216" s="85"/>
      <c r="C216" s="86">
        <f>'Excercise - Al '!E216</f>
        <v>40304.486111111109</v>
      </c>
      <c r="D216" s="85" t="str">
        <f>IF('Excercise - Al '!F216&lt;&gt;0,'Excercise - Al '!F216,"")</f>
        <v>INFO</v>
      </c>
      <c r="E216" s="85" t="str">
        <f>IF('Excercise - Al '!G216&lt;&gt;"","MODE: "&amp;'Excercise - Al '!G216,"")&amp;IF('Excercise - Al '!H216&lt;&gt;"","   FROM: "&amp;'Excercise - Al '!H216,"")&amp;IF('Excercise - Al '!I216&lt;&gt;"","   INJECTED BY: "&amp;'Excercise - Al '!I216,"")&amp;IF('Excercise - Al '!J216&lt;&gt;"","   SEND TO: "&amp;'Excercise - Al '!J216,"")</f>
        <v xml:space="preserve">   INJECTED BY: PERRY MCDONALD   SEND TO: JOC</v>
      </c>
      <c r="F216" s="85" t="str">
        <f>IF('Excercise - Al '!K216&lt;&gt;"","STORYLINE: "&amp;'Excercise - Al '!K216,"")&amp;IF('Excercise - Al '!M216&lt;&gt;"","   DESCRIPTION: "&amp;'Excercise - Al '!M216,"")&amp;IF('Excercise - Al '!O216&lt;&gt;"","   NOTES/REMARKS: "&amp;'Excercise - Al '!O216,"")&amp;IF('Excercise - Al '!Q216&lt;&gt;"","   BACKGROUND INFO: "&amp;'Excercise - Al '!Q216,"")</f>
        <v xml:space="preserve">   DESCRIPTION: News agency reports flooding</v>
      </c>
      <c r="G216" s="85" t="str">
        <f>IF('Excercise - Al '!P216&lt;&gt;"","IMPLEMENTER: "&amp;'Excercise - Al '!P216,"")</f>
        <v xml:space="preserve">IMPLEMENTER: A local news station reports that there are major flooding and power outages throughout the (named) city.  </v>
      </c>
      <c r="H216" s="85" t="str">
        <f>IF('Excercise - Al '!N216&lt;&gt;"","EXPECTED ACTIONS: "&amp;'Excercise - Al '!N216,"")</f>
        <v/>
      </c>
      <c r="I216" s="85" t="str">
        <f>'Excercise - Al '!R216</f>
        <v>P McDonald</v>
      </c>
    </row>
    <row r="217" spans="1:9" s="27" customFormat="1" ht="90">
      <c r="A217" s="85">
        <f>'Excercise - Al '!A217</f>
        <v>216</v>
      </c>
      <c r="B217" s="85"/>
      <c r="C217" s="86">
        <f>'Excercise - Al '!E217</f>
        <v>40304.499305555553</v>
      </c>
      <c r="D217" s="85" t="str">
        <f>IF('Excercise - Al '!F217&lt;&gt;0,'Excercise - Al '!F217,"")</f>
        <v>INFO</v>
      </c>
      <c r="E217" s="85" t="str">
        <f>IF('Excercise - Al '!G217&lt;&gt;"","MODE: "&amp;'Excercise - Al '!G217,"")&amp;IF('Excercise - Al '!H217&lt;&gt;"","   FROM: "&amp;'Excercise - Al '!H217,"")&amp;IF('Excercise - Al '!I217&lt;&gt;"","   INJECTED BY: "&amp;'Excercise - Al '!I217,"")&amp;IF('Excercise - Al '!J217&lt;&gt;"","   SEND TO: "&amp;'Excercise - Al '!J217,"")</f>
        <v xml:space="preserve">   INJECTED BY: PERRY MCDONALD   SEND TO: JOC</v>
      </c>
      <c r="F217" s="85" t="str">
        <f>IF('Excercise - Al '!K217&lt;&gt;"","STORYLINE: "&amp;'Excercise - Al '!K217,"")&amp;IF('Excercise - Al '!M217&lt;&gt;"","   DESCRIPTION: "&amp;'Excercise - Al '!M217,"")&amp;IF('Excercise - Al '!O217&lt;&gt;"","   NOTES/REMARKS: "&amp;'Excercise - Al '!O217,"")&amp;IF('Excercise - Al '!Q217&lt;&gt;"","   BACKGROUND INFO: "&amp;'Excercise - Al '!Q217,"")</f>
        <v xml:space="preserve">   DESCRIPTION: Problems reported at Waste Water Treatment Plant</v>
      </c>
      <c r="G217" s="85" t="str">
        <f>IF('Excercise - Al '!P217&lt;&gt;"","IMPLEMENTER: "&amp;'Excercise - Al '!P217,"")</f>
        <v>IMPLEMENTER: A phone call from the wastewater treatment plant (WWTP) superintendent to the public works manager is made. The backup generator has just failed at the WWTP, and upon inspection, a new main rotor is required. He will put a call in to the supplier. In the meantime, the equalization basin is starting to become full and raw sewage will need to be discharged to the river. Superintendent calls local EM Director to advise.</v>
      </c>
      <c r="H217" s="85" t="str">
        <f>IF('Excercise - Al '!N217&lt;&gt;"","EXPECTED ACTIONS: "&amp;'Excercise - Al '!N217,"")</f>
        <v/>
      </c>
      <c r="I217" s="85" t="str">
        <f>'Excercise - Al '!R217</f>
        <v>P McDonald</v>
      </c>
    </row>
    <row r="218" spans="1:9" s="27" customFormat="1" ht="70">
      <c r="A218" s="85">
        <f>'Excercise - Al '!A218</f>
        <v>217</v>
      </c>
      <c r="B218" s="85"/>
      <c r="C218" s="86">
        <f>'Excercise - Al '!E218</f>
        <v>40304.5</v>
      </c>
      <c r="D218" s="85" t="str">
        <f>IF('Excercise - Al '!F218&lt;&gt;0,'Excercise - Al '!F218,"")</f>
        <v>RFI</v>
      </c>
      <c r="E218" s="85" t="str">
        <f>IF('Excercise - Al '!G218&lt;&gt;"","MODE: "&amp;'Excercise - Al '!G218,"")&amp;IF('Excercise - Al '!H218&lt;&gt;"","   FROM: "&amp;'Excercise - Al '!H218,"")&amp;IF('Excercise - Al '!I218&lt;&gt;"","   INJECTED BY: "&amp;'Excercise - Al '!I218,"")&amp;IF('Excercise - Al '!J218&lt;&gt;"","   SEND TO: "&amp;'Excercise - Al '!J218,"")</f>
        <v>MODE: Email   FROM: Each Task Force   INJECTED BY: TF S2   SEND TO: JOC, J2</v>
      </c>
      <c r="F218" s="85" t="str">
        <f>IF('Excercise - Al '!K218&lt;&gt;"","STORYLINE: "&amp;'Excercise - Al '!K218,"")&amp;IF('Excercise - Al '!M218&lt;&gt;"","   DESCRIPTION: "&amp;'Excercise - Al '!M218,"")&amp;IF('Excercise - Al '!O218&lt;&gt;"","   NOTES/REMARKS: "&amp;'Excercise - Al '!O218,"")&amp;IF('Excercise - Al '!Q218&lt;&gt;"","   BACKGROUND INFO: "&amp;'Excercise - Al '!Q218,"")</f>
        <v xml:space="preserve">   DESCRIPTION: Weather Update/Storm Track</v>
      </c>
      <c r="G218" s="85" t="str">
        <f>IF('Excercise - Al '!P218&lt;&gt;"","IMPLEMENTER: "&amp;'Excercise - Al '!P218,"")</f>
        <v>IMPLEMENTER: Weather RFI from Task Force to J2</v>
      </c>
      <c r="H218" s="85" t="str">
        <f>IF('Excercise - Al '!N218&lt;&gt;"","EXPECTED ACTIONS: "&amp;'Excercise - Al '!N218,"")</f>
        <v>EXPECTED ACTIONS: J2 Provides latest Weather and Storm Track to the TFs</v>
      </c>
      <c r="I218" s="85" t="str">
        <f>'Excercise - Al '!R218</f>
        <v>Houlton</v>
      </c>
    </row>
    <row r="219" spans="1:9" s="27" customFormat="1" ht="70">
      <c r="A219" s="85">
        <f>'Excercise - Al '!A219</f>
        <v>218</v>
      </c>
      <c r="B219" s="85"/>
      <c r="C219" s="86">
        <f>'Excercise - Al '!E219</f>
        <v>40304.500694444447</v>
      </c>
      <c r="D219" s="85" t="str">
        <f>IF('Excercise - Al '!F219&lt;&gt;0,'Excercise - Al '!F219,"")</f>
        <v>RFI</v>
      </c>
      <c r="E219" s="85" t="str">
        <f>IF('Excercise - Al '!G219&lt;&gt;"","MODE: "&amp;'Excercise - Al '!G219,"")&amp;IF('Excercise - Al '!H219&lt;&gt;"","   FROM: "&amp;'Excercise - Al '!H219,"")&amp;IF('Excercise - Al '!I219&lt;&gt;"","   INJECTED BY: "&amp;'Excercise - Al '!I219,"")&amp;IF('Excercise - Al '!J219&lt;&gt;"","   SEND TO: "&amp;'Excercise - Al '!J219,"")</f>
        <v>MODE: Email   FROM: Each Task Force   INJECTED BY: TF S2   SEND TO: JOC, J2</v>
      </c>
      <c r="F219" s="85" t="str">
        <f>IF('Excercise - Al '!K219&lt;&gt;"","STORYLINE: "&amp;'Excercise - Al '!K219,"")&amp;IF('Excercise - Al '!M219&lt;&gt;"","   DESCRIPTION: "&amp;'Excercise - Al '!M219,"")&amp;IF('Excercise - Al '!O219&lt;&gt;"","   NOTES/REMARKS: "&amp;'Excercise - Al '!O219,"")&amp;IF('Excercise - Al '!Q219&lt;&gt;"","   BACKGROUND INFO: "&amp;'Excercise - Al '!Q219,"")</f>
        <v xml:space="preserve">   DESCRIPTION: Weather Update/Storm Track</v>
      </c>
      <c r="G219" s="85" t="str">
        <f>IF('Excercise - Al '!P219&lt;&gt;"","IMPLEMENTER: "&amp;'Excercise - Al '!P219,"")</f>
        <v>IMPLEMENTER: Weather RFI from Task Force to J2</v>
      </c>
      <c r="H219" s="85" t="str">
        <f>IF('Excercise - Al '!N219&lt;&gt;"","EXPECTED ACTIONS: "&amp;'Excercise - Al '!N219,"")</f>
        <v>EXPECTED ACTIONS: J2 Provides latest Weather and Storm Track to the TFs</v>
      </c>
      <c r="I219" s="85" t="str">
        <f>'Excercise - Al '!R219</f>
        <v>Houlton</v>
      </c>
    </row>
    <row r="220" spans="1:9" s="27" customFormat="1" ht="50">
      <c r="A220" s="85">
        <f>'Excercise - Al '!A220</f>
        <v>219</v>
      </c>
      <c r="B220" s="85"/>
      <c r="C220" s="86">
        <f>'Excercise - Al '!E220</f>
        <v>40304.520833333336</v>
      </c>
      <c r="D220" s="85" t="str">
        <f>IF('Excercise - Al '!F220&lt;&gt;0,'Excercise - Al '!F220,"")</f>
        <v>MISSION</v>
      </c>
      <c r="E220" s="85" t="str">
        <f>IF('Excercise - Al '!G220&lt;&gt;"","MODE: "&amp;'Excercise - Al '!G220,"")&amp;IF('Excercise - Al '!H220&lt;&gt;"","   FROM: "&amp;'Excercise - Al '!H220,"")&amp;IF('Excercise - Al '!I220&lt;&gt;"","   INJECTED BY: "&amp;'Excercise - Al '!I220,"")&amp;IF('Excercise - Al '!J220&lt;&gt;"","   SEND TO: "&amp;'Excercise - Al '!J220,"")</f>
        <v>MODE: EMITS   FROM: ESF 7   INJECTED BY: SEOC LNO   SEND TO: JTF-S</v>
      </c>
      <c r="F220" s="85" t="str">
        <f>IF('Excercise - Al '!K220&lt;&gt;"","STORYLINE: "&amp;'Excercise - Al '!K220,"")&amp;IF('Excercise - Al '!M220&lt;&gt;"","   DESCRIPTION: "&amp;'Excercise - Al '!M220,"")&amp;IF('Excercise - Al '!O220&lt;&gt;"","   NOTES/REMARKS: "&amp;'Excercise - Al '!O220,"")&amp;IF('Excercise - Al '!Q220&lt;&gt;"","   BACKGROUND INFO: "&amp;'Excercise - Al '!Q220,"")</f>
        <v xml:space="preserve">   DESCRIPTION: Establish and run LSA Greyhound Park Mobile, AL </v>
      </c>
      <c r="G220" s="85" t="str">
        <f>IF('Excercise - Al '!P220&lt;&gt;"","IMPLEMENTER: "&amp;'Excercise - Al '!P220,"")</f>
        <v xml:space="preserve">IMPLEMENTER: Establish and run LSA Greyhound Park Mobile, AL </v>
      </c>
      <c r="H220" s="85" t="str">
        <f>IF('Excercise - Al '!N220&lt;&gt;"","EXPECTED ACTIONS: "&amp;'Excercise - Al '!N220,"")</f>
        <v/>
      </c>
      <c r="I220" s="85" t="str">
        <f>'Excercise - Al '!R220</f>
        <v>Keane</v>
      </c>
    </row>
    <row r="221" spans="1:9" s="27" customFormat="1" ht="50">
      <c r="A221" s="85">
        <f>'Excercise - Al '!A221</f>
        <v>220</v>
      </c>
      <c r="B221" s="85"/>
      <c r="C221" s="86">
        <f>'Excercise - Al '!E221</f>
        <v>40304.521527777775</v>
      </c>
      <c r="D221" s="85" t="str">
        <f>IF('Excercise - Al '!F221&lt;&gt;0,'Excercise - Al '!F221,"")</f>
        <v>MISSION</v>
      </c>
      <c r="E221" s="85" t="str">
        <f>IF('Excercise - Al '!G221&lt;&gt;"","MODE: "&amp;'Excercise - Al '!G221,"")&amp;IF('Excercise - Al '!H221&lt;&gt;"","   FROM: "&amp;'Excercise - Al '!H221,"")&amp;IF('Excercise - Al '!I221&lt;&gt;"","   INJECTED BY: "&amp;'Excercise - Al '!I221,"")&amp;IF('Excercise - Al '!J221&lt;&gt;"","   SEND TO: "&amp;'Excercise - Al '!J221,"")</f>
        <v>MODE: EMITS   FROM: ESF 13   INJECTED BY: SEOC LNO   SEND TO: JOC</v>
      </c>
      <c r="F221" s="85" t="str">
        <f>IF('Excercise - Al '!K221&lt;&gt;"","STORYLINE: "&amp;'Excercise - Al '!K221,"")&amp;IF('Excercise - Al '!M221&lt;&gt;"","   DESCRIPTION: "&amp;'Excercise - Al '!M221,"")&amp;IF('Excercise - Al '!O221&lt;&gt;"","   NOTES/REMARKS: "&amp;'Excercise - Al '!O221,"")&amp;IF('Excercise - Al '!Q221&lt;&gt;"","   BACKGROUND INFO: "&amp;'Excercise - Al '!Q221,"")</f>
        <v xml:space="preserve">   DESCRIPTION: AEMA request NG assistance in providing fuel trucks, and recovery vehicles to assist stranded evacuees along Hwy 43 between Salco and Jackson.</v>
      </c>
      <c r="G221" s="85" t="str">
        <f>IF('Excercise - Al '!P221&lt;&gt;"","IMPLEMENTER: "&amp;'Excercise - Al '!P221,"")</f>
        <v>IMPLEMENTER: AEMA request NG assistance in providing fuel trucks, and recovery vehicles to assist stranded evacuees along Hwy 43 between Salco and Jackson.</v>
      </c>
      <c r="H221" s="85" t="str">
        <f>IF('Excercise - Al '!N221&lt;&gt;"","EXPECTED ACTIONS: "&amp;'Excercise - Al '!N221,"")</f>
        <v/>
      </c>
      <c r="I221" s="85" t="str">
        <f>'Excercise - Al '!R221</f>
        <v>Keane</v>
      </c>
    </row>
    <row r="222" spans="1:9" s="27" customFormat="1" ht="100">
      <c r="A222" s="85">
        <f>'Excercise - Al '!A222</f>
        <v>221</v>
      </c>
      <c r="B222" s="85"/>
      <c r="C222" s="86">
        <f>'Excercise - Al '!E222</f>
        <v>40304.541666666664</v>
      </c>
      <c r="D222" s="85" t="str">
        <f>IF('Excercise - Al '!F222&lt;&gt;0,'Excercise - Al '!F222,"")</f>
        <v>RFI</v>
      </c>
      <c r="E222" s="85" t="str">
        <f>IF('Excercise - Al '!G222&lt;&gt;"","MODE: "&amp;'Excercise - Al '!G222,"")&amp;IF('Excercise - Al '!H222&lt;&gt;"","   FROM: "&amp;'Excercise - Al '!H222,"")&amp;IF('Excercise - Al '!I222&lt;&gt;"","   INJECTED BY: "&amp;'Excercise - Al '!I222,"")&amp;IF('Excercise - Al '!J222&lt;&gt;"","   SEND TO: "&amp;'Excercise - Al '!J222,"")</f>
        <v>MODE: Email   INJECTED BY: HICKS</v>
      </c>
      <c r="F222" s="85" t="str">
        <f>IF('Excercise - Al '!K222&lt;&gt;"","STORYLINE: "&amp;'Excercise - Al '!K222,"")&amp;IF('Excercise - Al '!M222&lt;&gt;"","   DESCRIPTION: "&amp;'Excercise - Al '!M222,"")&amp;IF('Excercise - Al '!O222&lt;&gt;"","   NOTES/REMARKS: "&amp;'Excercise - Al '!O222,"")&amp;IF('Excercise - Al '!Q222&lt;&gt;"","   BACKGROUND INFO: "&amp;'Excercise - Al '!Q222,"")</f>
        <v>STORYLINE: CHAPLAIN &amp; UMT ACTIIVITIES</v>
      </c>
      <c r="G222" s="85" t="str">
        <f>IF('Excercise - Al '!P222&lt;&gt;"","IMPLEMENTER: "&amp;'Excercise - Al '!P222,"")</f>
        <v>IMPLEMENTER: An Air Force Active Duty Chaplain is stranded in a shelter and volunteers to offer his assistance to the Guard in the hurricane aftermath. Can he be used?</v>
      </c>
      <c r="H222" s="85" t="str">
        <f>IF('Excercise - Al '!N222&lt;&gt;"","EXPECTED ACTIONS: "&amp;'Excercise - Al '!N222,"")</f>
        <v>EXPECTED ACTIONS: JF Chaplain deny his help and refer him to his own_x000D_  base and chain of command._x000D_</v>
      </c>
      <c r="I222" s="85" t="str">
        <f>'Excercise - Al '!R222</f>
        <v>Hicks</v>
      </c>
    </row>
    <row r="223" spans="1:9" s="27" customFormat="1" ht="80">
      <c r="A223" s="85">
        <f>'Excercise - Al '!A223</f>
        <v>222</v>
      </c>
      <c r="B223" s="85"/>
      <c r="C223" s="86">
        <f>'Excercise - Al '!E223</f>
        <v>40304.552083333336</v>
      </c>
      <c r="D223" s="85" t="str">
        <f>IF('Excercise - Al '!F223&lt;&gt;0,'Excercise - Al '!F223,"")</f>
        <v>RFI</v>
      </c>
      <c r="E223" s="85" t="str">
        <f>IF('Excercise - Al '!G223&lt;&gt;"","MODE: "&amp;'Excercise - Al '!G223,"")&amp;IF('Excercise - Al '!H223&lt;&gt;"","   FROM: "&amp;'Excercise - Al '!H223,"")&amp;IF('Excercise - Al '!I223&lt;&gt;"","   INJECTED BY: "&amp;'Excercise - Al '!I223,"")&amp;IF('Excercise - Al '!J223&lt;&gt;"","   SEND TO: "&amp;'Excercise - Al '!J223,"")</f>
        <v>MODE: Email/cell   FROM: AEMA   INJECTED BY: SEOC LNO   SEND TO: JOC J-4</v>
      </c>
      <c r="F223" s="85" t="str">
        <f>IF('Excercise - Al '!K223&lt;&gt;"","STORYLINE: "&amp;'Excercise - Al '!K223,"")&amp;IF('Excercise - Al '!M223&lt;&gt;"","   DESCRIPTION: "&amp;'Excercise - Al '!M223,"")&amp;IF('Excercise - Al '!O223&lt;&gt;"","   NOTES/REMARKS: "&amp;'Excercise - Al '!O223,"")&amp;IF('Excercise - Al '!Q223&lt;&gt;"","   BACKGROUND INFO: "&amp;'Excercise - Al '!Q223,"")</f>
        <v xml:space="preserve">   DESCRIPTION: Request for chainsaws to clearance debris for route clearance   BACKGROUND INFO: The local area Emergency Manager (EM), Fire Department and local police Department reported due to the high wind sustained by Hurricane AL many trees, and other debris has hindered many routes in Southwest Alabama. EM requested engineering support. EM is requesting an additional 50 chainsaws.</v>
      </c>
      <c r="G223" s="85" t="str">
        <f>IF('Excercise - Al '!P223&lt;&gt;"","IMPLEMENTER: "&amp;'Excercise - Al '!P223,"")</f>
        <v>IMPLEMENTER: The local area Emergency Manager (EM), Fire Department and local police Department reported due to the high wind sustained by Hurricane AL many trees, and other debris has hindered many routes in Southwest Alabama. EM requested engineering support. EM is requesting an additional 50 chainsaws.</v>
      </c>
      <c r="H223" s="85" t="str">
        <f>IF('Excercise - Al '!N223&lt;&gt;"","EXPECTED ACTIONS: "&amp;'Excercise - Al '!N223,"")</f>
        <v xml:space="preserve">EXPECTED ACTIONS: DOL (J-4), utilizes available asset, before buying from local vendor. </v>
      </c>
      <c r="I223" s="85" t="str">
        <f>'Excercise - Al '!R223</f>
        <v>McDonald</v>
      </c>
    </row>
    <row r="224" spans="1:9" s="27" customFormat="1" ht="130">
      <c r="A224" s="85">
        <f>'Excercise - Al '!A224</f>
        <v>223</v>
      </c>
      <c r="B224" s="85"/>
      <c r="C224" s="86">
        <f>'Excercise - Al '!E224</f>
        <v>40304.59375</v>
      </c>
      <c r="D224" s="85" t="str">
        <f>IF('Excercise - Al '!F224&lt;&gt;0,'Excercise - Al '!F224,"")</f>
        <v>RFI</v>
      </c>
      <c r="E224" s="85" t="str">
        <f>IF('Excercise - Al '!G224&lt;&gt;"","MODE: "&amp;'Excercise - Al '!G224,"")&amp;IF('Excercise - Al '!H224&lt;&gt;"","   FROM: "&amp;'Excercise - Al '!H224,"")&amp;IF('Excercise - Al '!I224&lt;&gt;"","   INJECTED BY: "&amp;'Excercise - Al '!I224,"")&amp;IF('Excercise - Al '!J224&lt;&gt;"","   SEND TO: "&amp;'Excercise - Al '!J224,"")</f>
        <v xml:space="preserve">MODE: Email/cell   FROM: Weather service?   INJECTED BY: SEOC LNO   SEND TO: JOC </v>
      </c>
      <c r="F224" s="85" t="str">
        <f>IF('Excercise - Al '!K224&lt;&gt;"","STORYLINE: "&amp;'Excercise - Al '!K224,"")&amp;IF('Excercise - Al '!M224&lt;&gt;"","   DESCRIPTION: "&amp;'Excercise - Al '!M224,"")&amp;IF('Excercise - Al '!O224&lt;&gt;"","   NOTES/REMARKS: "&amp;'Excercise - Al '!O224,"")&amp;IF('Excercise - Al '!Q224&lt;&gt;"","   BACKGROUND INFO: "&amp;'Excercise - Al '!Q224,"")</f>
        <v xml:space="preserve">   DESCRIPTION: Flash Flood Warning   BACKGROUND INFO: After Hurricane AL made land fall near the Gulf Coast area of Mobile. The local weather advisory reported a Flash Flood Warning for Escambia County Alabama. The Burnt Corn Creek between HWY 41 and 49 near the town of Brewton, is forecasted to crest nearly two feet above flood stage. The Emergency Manager (EM) is asking for Class II (50 shovels), IV half million sand bags and VII Engineer equipment (two retrograde, two backhoes, ten dump trucks). Hundreds of homes and businesses are located within the possible flood zone. Berms and Barriers are needed to run alongside the creek bank for additional support.</v>
      </c>
      <c r="G224" s="85" t="str">
        <f>IF('Excercise - Al '!P224&lt;&gt;"","IMPLEMENTER: "&amp;'Excercise - Al '!P224,"")</f>
        <v>IMPLEMENTER: After Hurricane AL made land fall near the Gulf Coast area of Mobile. The local weather advisory reported a Flash Flood Warning for Escambia County Alabama. The Burnt Corn Creek between HWY 41 and 49 near the town of Brewton, is forecasted to crest nearly two feet above flood stage. The Emergency Manager (EM) is asking for Class II (50 shovels), IV half million sand bags and VII Engineer equipment (two retrograde, two backhoes, ten dump trucks). Hundreds of homes and businesses are located within the possible flood zone. Berms and Barriers are needed to run alongside the creek bank for additional support.</v>
      </c>
      <c r="H224" s="85" t="str">
        <f>IF('Excercise - Al '!N224&lt;&gt;"","EXPECTED ACTIONS: "&amp;'Excercise - Al '!N224,"")</f>
        <v>EXPECTED ACTIONS: How the J-4 DOL respond to bulk product?</v>
      </c>
      <c r="I224" s="85" t="str">
        <f>'Excercise - Al '!R224</f>
        <v>McDonald</v>
      </c>
    </row>
    <row r="225" spans="1:9" s="27" customFormat="1" ht="30">
      <c r="A225" s="85">
        <f>'Excercise - Al '!A225</f>
        <v>224</v>
      </c>
      <c r="B225" s="85"/>
      <c r="C225" s="86">
        <f>'Excercise - Al '!E225</f>
        <v>40304.635416666664</v>
      </c>
      <c r="D225" s="85" t="str">
        <f>IF('Excercise - Al '!F225&lt;&gt;0,'Excercise - Al '!F225,"")</f>
        <v>RFI</v>
      </c>
      <c r="E225" s="85" t="str">
        <f>IF('Excercise - Al '!G225&lt;&gt;"","MODE: "&amp;'Excercise - Al '!G225,"")&amp;IF('Excercise - Al '!H225&lt;&gt;"","   FROM: "&amp;'Excercise - Al '!H225,"")&amp;IF('Excercise - Al '!I225&lt;&gt;"","   INJECTED BY: "&amp;'Excercise - Al '!I225,"")&amp;IF('Excercise - Al '!J225&lt;&gt;"","   SEND TO: "&amp;'Excercise - Al '!J225,"")</f>
        <v>MODE: Email   FROM: JTF S   SEND TO: J4</v>
      </c>
      <c r="F225" s="85" t="str">
        <f>IF('Excercise - Al '!K225&lt;&gt;"","STORYLINE: "&amp;'Excercise - Al '!K225,"")&amp;IF('Excercise - Al '!M225&lt;&gt;"","   DESCRIPTION: "&amp;'Excercise - Al '!M225,"")&amp;IF('Excercise - Al '!O225&lt;&gt;"","   NOTES/REMARKS: "&amp;'Excercise - Al '!O225,"")&amp;IF('Excercise - Al '!Q225&lt;&gt;"","   BACKGROUND INFO: "&amp;'Excercise - Al '!Q225,"")</f>
        <v xml:space="preserve">   DESCRIPTION: JTF-S (TF Med) request resupply of CL VIII supplies (IV Fluids, bandages, and pharmaceutical 6505 items).  </v>
      </c>
      <c r="G225" s="85" t="str">
        <f>IF('Excercise - Al '!P225&lt;&gt;"","IMPLEMENTER: "&amp;'Excercise - Al '!P225,"")</f>
        <v xml:space="preserve">IMPLEMENTER: JTF-S (TF Med) request resupply of CL VIII supplies (IV Fluids, bandages, and pharmaceutical 6505 items).  </v>
      </c>
      <c r="H225" s="85" t="str">
        <f>IF('Excercise - Al '!N225&lt;&gt;"","EXPECTED ACTIONS: "&amp;'Excercise - Al '!N225,"")</f>
        <v/>
      </c>
      <c r="I225" s="85" t="str">
        <f>'Excercise - Al '!R225</f>
        <v>Benton</v>
      </c>
    </row>
    <row r="226" spans="1:9" s="27" customFormat="1" ht="150">
      <c r="A226" s="85">
        <f>'Excercise - Al '!A226</f>
        <v>225</v>
      </c>
      <c r="B226" s="85"/>
      <c r="C226" s="86">
        <f>'Excercise - Al '!E226</f>
        <v>40304.666666666664</v>
      </c>
      <c r="D226" s="85" t="str">
        <f>IF('Excercise - Al '!F226&lt;&gt;0,'Excercise - Al '!F226,"")</f>
        <v>INFO</v>
      </c>
      <c r="E226" s="85" t="str">
        <f>IF('Excercise - Al '!G226&lt;&gt;"","MODE: "&amp;'Excercise - Al '!G226,"")&amp;IF('Excercise - Al '!H226&lt;&gt;"","   FROM: "&amp;'Excercise - Al '!H226,"")&amp;IF('Excercise - Al '!I226&lt;&gt;"","   INJECTED BY: "&amp;'Excercise - Al '!I226,"")&amp;IF('Excercise - Al '!J226&lt;&gt;"","   SEND TO: "&amp;'Excercise - Al '!J226,"")</f>
        <v>MODE: Email   FROM: Simcell - National Hurricane Center   INJECTED BY: KEANE   SEND TO: JOC, All</v>
      </c>
      <c r="F226" s="85" t="str">
        <f>IF('Excercise - Al '!K226&lt;&gt;"","STORYLINE: "&amp;'Excercise - Al '!K226,"")&amp;IF('Excercise - Al '!M226&lt;&gt;"","   DESCRIPTION: "&amp;'Excercise - Al '!M226,"")&amp;IF('Excercise - Al '!O226&lt;&gt;"","   NOTES/REMARKS: "&amp;'Excercise - Al '!O226,"")&amp;IF('Excercise - Al '!Q226&lt;&gt;"","   BACKGROUND INFO: "&amp;'Excercise - Al '!Q226,"")</f>
        <v>STORYLINE: Tropical Storm Al Update 23   DESCRIPTION: Tropical Storm Al Update 23</v>
      </c>
      <c r="G226" s="85" t="str">
        <f>IF('Excercise - Al '!P226&lt;&gt;"","IMPLEMENTER: "&amp;'Excercise - Al '!P226,"")</f>
        <v>IMPLEMENTER: _x000D_...HURRICANE AL REMAINS A CATEGORY ONE HURRICANE...OVER SOUTHERN ALABAMA AND THE FLORIDA PANHANDLE..._x000D__x000D__x000D_SUMMARY OF 500 PM EDT...2100 UTC...INFORMATION_x000D_-----------------------------------------------_x000D_LOCATION...31.7N 87.6W_x000D_ABOUT 78 MILES...126 KM...NORTH-NORTHEAST OF MOBILE ALABAMA_x000D_ABOUT 87 MILES...140 KM...SOUTHWEST OF MONTGOMERY ALABAMA_x000D_ABOUT 132 MILES...213 KM...SOUTHEAST OF BIRMINGHAM ALABAMA _x000D_MAXIMUM SUSTAINED WINDS...85 MPH...169 KM/HR_x000D_PRESENT MOVEMENT...NORTHERLY OR 39 DEGREES AT 9 MPH...14 KM/HR_x000D_MINIMUM CENTRAL PRESSURE 982 MB...29.0 INCHES_x000D__x000D_</v>
      </c>
      <c r="H226" s="85" t="str">
        <f>IF('Excercise - Al '!N226&lt;&gt;"","EXPECTED ACTIONS: "&amp;'Excercise - Al '!N226,"")</f>
        <v/>
      </c>
      <c r="I226" s="85" t="str">
        <f>'Excercise - Al '!R226</f>
        <v>Keane</v>
      </c>
    </row>
    <row r="227" spans="1:9" s="27" customFormat="1">
      <c r="A227" s="85">
        <f>'Excercise - Al '!A227</f>
        <v>226</v>
      </c>
      <c r="B227" s="85"/>
      <c r="C227" s="86">
        <f>'Excercise - Al '!E227</f>
        <v>40304.666666666664</v>
      </c>
      <c r="D227" s="85" t="str">
        <f>IF('Excercise - Al '!F227&lt;&gt;0,'Excercise - Al '!F227,"")</f>
        <v/>
      </c>
      <c r="E227" s="85" t="str">
        <f>IF('Excercise - Al '!G227&lt;&gt;"","MODE: "&amp;'Excercise - Al '!G227,"")&amp;IF('Excercise - Al '!H227&lt;&gt;"","   FROM: "&amp;'Excercise - Al '!H227,"")&amp;IF('Excercise - Al '!I227&lt;&gt;"","   INJECTED BY: "&amp;'Excercise - Al '!I227,"")&amp;IF('Excercise - Al '!J227&lt;&gt;"","   SEND TO: "&amp;'Excercise - Al '!J227,"")</f>
        <v/>
      </c>
      <c r="F227" s="85" t="str">
        <f>IF('Excercise - Al '!K227&lt;&gt;"","STORYLINE: "&amp;'Excercise - Al '!K227,"")&amp;IF('Excercise - Al '!M227&lt;&gt;"","   DESCRIPTION: "&amp;'Excercise - Al '!M227,"")&amp;IF('Excercise - Al '!O227&lt;&gt;"","   NOTES/REMARKS: "&amp;'Excercise - Al '!O227,"")&amp;IF('Excercise - Al '!Q227&lt;&gt;"","   BACKGROUND INFO: "&amp;'Excercise - Al '!Q227,"")</f>
        <v/>
      </c>
      <c r="G227" s="85" t="str">
        <f>IF('Excercise - Al '!P227&lt;&gt;"","IMPLEMENTER: "&amp;'Excercise - Al '!P227,"")</f>
        <v>IMPLEMENTER: ENDEX</v>
      </c>
      <c r="H227" s="85" t="str">
        <f>IF('Excercise - Al '!N227&lt;&gt;"","EXPECTED ACTIONS: "&amp;'Excercise - Al '!N227,"")</f>
        <v/>
      </c>
      <c r="I227" s="85" t="str">
        <f>'Excercise - Al '!R227</f>
        <v>Keane</v>
      </c>
    </row>
    <row r="228" spans="1:9" s="27" customFormat="1" ht="30">
      <c r="A228" s="85">
        <f>'Excercise - Al '!A228</f>
        <v>227</v>
      </c>
      <c r="B228" s="85"/>
      <c r="C228" s="86">
        <f>'Excercise - Al '!E228</f>
        <v>40304.708333333336</v>
      </c>
      <c r="D228" s="85" t="str">
        <f>IF('Excercise - Al '!F228&lt;&gt;0,'Excercise - Al '!F228,"")</f>
        <v>31st CHEM BDE - JTF-AL goes to REDCON2</v>
      </c>
      <c r="E228" s="85" t="str">
        <f>IF('Excercise - Al '!G228&lt;&gt;"","MODE: "&amp;'Excercise - Al '!G228,"")&amp;IF('Excercise - Al '!H228&lt;&gt;"","   FROM: "&amp;'Excercise - Al '!H228,"")&amp;IF('Excercise - Al '!I228&lt;&gt;"","   INJECTED BY: "&amp;'Excercise - Al '!I228,"")&amp;IF('Excercise - Al '!J228&lt;&gt;"","   SEND TO: "&amp;'Excercise - Al '!J228,"")</f>
        <v>MODE: Not Injected</v>
      </c>
      <c r="F228" s="85" t="str">
        <f>IF('Excercise - Al '!K228&lt;&gt;"","STORYLINE: "&amp;'Excercise - Al '!K228,"")&amp;IF('Excercise - Al '!M228&lt;&gt;"","   DESCRIPTION: "&amp;'Excercise - Al '!M228,"")&amp;IF('Excercise - Al '!O228&lt;&gt;"","   NOTES/REMARKS: "&amp;'Excercise - Al '!O228,"")&amp;IF('Excercise - Al '!Q228&lt;&gt;"","   BACKGROUND INFO: "&amp;'Excercise - Al '!Q228,"")</f>
        <v/>
      </c>
      <c r="G228" s="85" t="str">
        <f>IF('Excercise - Al '!P228&lt;&gt;"","IMPLEMENTER: "&amp;'Excercise - Al '!P228,"")</f>
        <v/>
      </c>
      <c r="H228" s="85" t="str">
        <f>IF('Excercise - Al '!N228&lt;&gt;"","EXPECTED ACTIONS: "&amp;'Excercise - Al '!N228,"")</f>
        <v/>
      </c>
      <c r="I228" s="85" t="str">
        <f>'Excercise - Al '!R228</f>
        <v>Napier</v>
      </c>
    </row>
    <row r="229" spans="1:9" s="27" customFormat="1" ht="40">
      <c r="A229" s="85">
        <f>'Excercise - Al '!A229</f>
        <v>228</v>
      </c>
      <c r="B229" s="85"/>
      <c r="C229" s="86">
        <f>'Excercise - Al '!E229</f>
        <v>40304.75</v>
      </c>
      <c r="D229" s="85" t="str">
        <f>IF('Excercise - Al '!F229&lt;&gt;0,'Excercise - Al '!F229,"")</f>
        <v/>
      </c>
      <c r="E229" s="85" t="str">
        <f>IF('Excercise - Al '!G229&lt;&gt;"","MODE: "&amp;'Excercise - Al '!G229,"")&amp;IF('Excercise - Al '!H229&lt;&gt;"","   FROM: "&amp;'Excercise - Al '!H229,"")&amp;IF('Excercise - Al '!I229&lt;&gt;"","   INJECTED BY: "&amp;'Excercise - Al '!I229,"")&amp;IF('Excercise - Al '!J229&lt;&gt;"","   SEND TO: "&amp;'Excercise - Al '!J229,"")</f>
        <v/>
      </c>
      <c r="F229" s="85" t="str">
        <f>IF('Excercise - Al '!K229&lt;&gt;"","STORYLINE: "&amp;'Excercise - Al '!K229,"")&amp;IF('Excercise - Al '!M229&lt;&gt;"","   DESCRIPTION: "&amp;'Excercise - Al '!M229,"")&amp;IF('Excercise - Al '!O229&lt;&gt;"","   NOTES/REMARKS: "&amp;'Excercise - Al '!O229,"")&amp;IF('Excercise - Al '!Q229&lt;&gt;"","   BACKGROUND INFO: "&amp;'Excercise - Al '!Q229,"")</f>
        <v>STORYLINE: AEMA Director issues a press release about the evacuation progress along I-65…."traffic is heavily congested, and moving along slowly".</v>
      </c>
      <c r="G229" s="85" t="str">
        <f>IF('Excercise - Al '!P229&lt;&gt;"","IMPLEMENTER: "&amp;'Excercise - Al '!P229,"")</f>
        <v>IMPLEMENTER: AEMA Director issues a press release about the evacuation progress along I-65…."traffic is heavily congested, and moving along slowly".</v>
      </c>
      <c r="H229" s="85" t="str">
        <f>IF('Excercise - Al '!N229&lt;&gt;"","EXPECTED ACTIONS: "&amp;'Excercise - Al '!N229,"")</f>
        <v/>
      </c>
      <c r="I229" s="85">
        <f>'Excercise - Al '!R229</f>
        <v>0</v>
      </c>
    </row>
    <row r="230" spans="1:9" s="27" customFormat="1" ht="60">
      <c r="A230" s="85">
        <f>'Excercise - Al '!A230</f>
        <v>229</v>
      </c>
      <c r="B230" s="85"/>
      <c r="C230" s="86">
        <f>'Excercise - Al '!E230</f>
        <v>40304.75</v>
      </c>
      <c r="D230" s="85" t="str">
        <f>IF('Excercise - Al '!F230&lt;&gt;0,'Excercise - Al '!F230,"")</f>
        <v/>
      </c>
      <c r="E230" s="85" t="str">
        <f>IF('Excercise - Al '!G230&lt;&gt;"","MODE: "&amp;'Excercise - Al '!G230,"")&amp;IF('Excercise - Al '!H230&lt;&gt;"","   FROM: "&amp;'Excercise - Al '!H230,"")&amp;IF('Excercise - Al '!I230&lt;&gt;"","   INJECTED BY: "&amp;'Excercise - Al '!I230,"")&amp;IF('Excercise - Al '!J230&lt;&gt;"","   SEND TO: "&amp;'Excercise - Al '!J230,"")</f>
        <v/>
      </c>
      <c r="F230" s="85" t="str">
        <f>IF('Excercise - Al '!K230&lt;&gt;"","STORYLINE: "&amp;'Excercise - Al '!K230,"")&amp;IF('Excercise - Al '!M230&lt;&gt;"","   DESCRIPTION: "&amp;'Excercise - Al '!M230,"")&amp;IF('Excercise - Al '!O230&lt;&gt;"","   NOTES/REMARKS: "&amp;'Excercise - Al '!O230,"")&amp;IF('Excercise - Al '!Q230&lt;&gt;"","   BACKGROUND INFO: "&amp;'Excercise - Al '!Q230,"")</f>
        <v xml:space="preserve">STORYLINE: AEMA receives reports Mobile Co. EOC via SATCOM advising that as best they can determine, Mobile Co. is without power.  This was verified in the City of Mobile EOC.  EMITS terminal function appears to be intermittent.  Initial damage assessments are on-going.  </v>
      </c>
      <c r="G230" s="85" t="str">
        <f>IF('Excercise - Al '!P230&lt;&gt;"","IMPLEMENTER: "&amp;'Excercise - Al '!P230,"")</f>
        <v xml:space="preserve">IMPLEMENTER: AEMA receives reports Mobile Co. EOC via SATCOM advising that as best they can determine, Mobile Co. is without power.  This was verified in the City of Mobile EOC.  EMITS terminal function appears to be intermittent.  Initial damage assessments are on-going.  </v>
      </c>
      <c r="H230" s="85" t="str">
        <f>IF('Excercise - Al '!N230&lt;&gt;"","EXPECTED ACTIONS: "&amp;'Excercise - Al '!N230,"")</f>
        <v/>
      </c>
      <c r="I230" s="85">
        <f>'Excercise - Al '!R230</f>
        <v>0</v>
      </c>
    </row>
    <row r="231" spans="1:9" s="27" customFormat="1" ht="20">
      <c r="A231" s="85">
        <f>'Excercise - Al '!A231</f>
        <v>230</v>
      </c>
      <c r="B231" s="85"/>
      <c r="C231" s="86">
        <f>'Excercise - Al '!E231</f>
        <v>40304.75</v>
      </c>
      <c r="D231" s="85" t="str">
        <f>IF('Excercise - Al '!F231&lt;&gt;0,'Excercise - Al '!F231,"")</f>
        <v/>
      </c>
      <c r="E231" s="85" t="str">
        <f>IF('Excercise - Al '!G231&lt;&gt;"","MODE: "&amp;'Excercise - Al '!G231,"")&amp;IF('Excercise - Al '!H231&lt;&gt;"","   FROM: "&amp;'Excercise - Al '!H231,"")&amp;IF('Excercise - Al '!I231&lt;&gt;"","   INJECTED BY: "&amp;'Excercise - Al '!I231,"")&amp;IF('Excercise - Al '!J231&lt;&gt;"","   SEND TO: "&amp;'Excercise - Al '!J231,"")</f>
        <v/>
      </c>
      <c r="F231" s="85" t="str">
        <f>IF('Excercise - Al '!K231&lt;&gt;"","STORYLINE: "&amp;'Excercise - Al '!K231,"")&amp;IF('Excercise - Al '!M231&lt;&gt;"","   DESCRIPTION: "&amp;'Excercise - Al '!M231,"")&amp;IF('Excercise - Al '!O231&lt;&gt;"","   NOTES/REMARKS: "&amp;'Excercise - Al '!O231,"")&amp;IF('Excercise - Al '!Q231&lt;&gt;"","   BACKGROUND INFO: "&amp;'Excercise - Al '!Q231,"")</f>
        <v>STORYLINE: Coordinate pay submission and pay dates for soldiers in SAD status (Wireless/LAN).</v>
      </c>
      <c r="G231" s="85" t="str">
        <f>IF('Excercise - Al '!P231&lt;&gt;"","IMPLEMENTER: "&amp;'Excercise - Al '!P231,"")</f>
        <v>IMPLEMENTER: Coordinate pay submission and pay dates for soldiers in SAD status (Wireless/LAN).</v>
      </c>
      <c r="H231" s="85" t="str">
        <f>IF('Excercise - Al '!N231&lt;&gt;"","EXPECTED ACTIONS: "&amp;'Excercise - Al '!N231,"")</f>
        <v/>
      </c>
      <c r="I231" s="85">
        <f>'Excercise - Al '!R231</f>
        <v>0</v>
      </c>
    </row>
    <row r="232" spans="1:9" s="27" customFormat="1" ht="30">
      <c r="A232" s="85">
        <f>'Excercise - Al '!A232</f>
        <v>231</v>
      </c>
      <c r="B232" s="85"/>
      <c r="C232" s="86">
        <f>'Excercise - Al '!E232</f>
        <v>40304.75</v>
      </c>
      <c r="D232" s="85" t="str">
        <f>IF('Excercise - Al '!F232&lt;&gt;0,'Excercise - Al '!F232,"")</f>
        <v/>
      </c>
      <c r="E232" s="85" t="str">
        <f>IF('Excercise - Al '!G232&lt;&gt;"","MODE: "&amp;'Excercise - Al '!G232,"")&amp;IF('Excercise - Al '!H232&lt;&gt;"","   FROM: "&amp;'Excercise - Al '!H232,"")&amp;IF('Excercise - Al '!I232&lt;&gt;"","   INJECTED BY: "&amp;'Excercise - Al '!I232,"")&amp;IF('Excercise - Al '!J232&lt;&gt;"","   SEND TO: "&amp;'Excercise - Al '!J232,"")</f>
        <v/>
      </c>
      <c r="F232" s="85" t="str">
        <f>IF('Excercise - Al '!K232&lt;&gt;"","STORYLINE: "&amp;'Excercise - Al '!K232,"")&amp;IF('Excercise - Al '!M232&lt;&gt;"","   DESCRIPTION: "&amp;'Excercise - Al '!M232,"")&amp;IF('Excercise - Al '!O232&lt;&gt;"","   NOTES/REMARKS: "&amp;'Excercise - Al '!O232,"")&amp;IF('Excercise - Al '!Q232&lt;&gt;"","   BACKGROUND INFO: "&amp;'Excercise - Al '!Q232,"")</f>
        <v>STORYLINE: Identify the GPC Cardholders within each TF and request IMPAC/GPC Convenience Checks.</v>
      </c>
      <c r="G232" s="85" t="str">
        <f>IF('Excercise - Al '!P232&lt;&gt;"","IMPLEMENTER: "&amp;'Excercise - Al '!P232,"")</f>
        <v>IMPLEMENTER: Identify the GPC Cardholders within each TF and request IMPAC/GPC Convenience Checks.</v>
      </c>
      <c r="H232" s="85" t="str">
        <f>IF('Excercise - Al '!N232&lt;&gt;"","EXPECTED ACTIONS: "&amp;'Excercise - Al '!N232,"")</f>
        <v/>
      </c>
      <c r="I232" s="85">
        <f>'Excercise - Al '!R232</f>
        <v>0</v>
      </c>
    </row>
    <row r="233" spans="1:9" s="27" customFormat="1" ht="20">
      <c r="A233" s="85">
        <f>'Excercise - Al '!A233</f>
        <v>232</v>
      </c>
      <c r="B233" s="85"/>
      <c r="C233" s="86">
        <f>'Excercise - Al '!E233</f>
        <v>40304.75</v>
      </c>
      <c r="D233" s="85" t="str">
        <f>IF('Excercise - Al '!F233&lt;&gt;0,'Excercise - Al '!F233,"")</f>
        <v/>
      </c>
      <c r="E233" s="85" t="str">
        <f>IF('Excercise - Al '!G233&lt;&gt;"","MODE: "&amp;'Excercise - Al '!G233,"")&amp;IF('Excercise - Al '!H233&lt;&gt;"","   FROM: "&amp;'Excercise - Al '!H233,"")&amp;IF('Excercise - Al '!I233&lt;&gt;"","   INJECTED BY: "&amp;'Excercise - Al '!I233,"")&amp;IF('Excercise - Al '!J233&lt;&gt;"","   SEND TO: "&amp;'Excercise - Al '!J233,"")</f>
        <v/>
      </c>
      <c r="F233" s="85" t="str">
        <f>IF('Excercise - Al '!K233&lt;&gt;"","STORYLINE: "&amp;'Excercise - Al '!K233,"")&amp;IF('Excercise - Al '!M233&lt;&gt;"","   DESCRIPTION: "&amp;'Excercise - Al '!M233,"")&amp;IF('Excercise - Al '!O233&lt;&gt;"","   NOTES/REMARKS: "&amp;'Excercise - Al '!O233,"")&amp;IF('Excercise - Al '!Q233&lt;&gt;"","   BACKGROUND INFO: "&amp;'Excercise - Al '!Q233,"")</f>
        <v>STORYLINE: NGB-PAO starts conference calls for updates</v>
      </c>
      <c r="G233" s="85" t="str">
        <f>IF('Excercise - Al '!P233&lt;&gt;"","IMPLEMENTER: "&amp;'Excercise - Al '!P233,"")</f>
        <v>IMPLEMENTER: NGB-PAO starts conference calls for updates</v>
      </c>
      <c r="H233" s="85" t="str">
        <f>IF('Excercise - Al '!N233&lt;&gt;"","EXPECTED ACTIONS: "&amp;'Excercise - Al '!N233,"")</f>
        <v/>
      </c>
      <c r="I233" s="85">
        <f>'Excercise - Al '!R233</f>
        <v>0</v>
      </c>
    </row>
    <row r="234" spans="1:9" s="27" customFormat="1" ht="40">
      <c r="A234" s="85">
        <f>'Excercise - Al '!A234</f>
        <v>233</v>
      </c>
      <c r="B234" s="85"/>
      <c r="C234" s="86">
        <f>'Excercise - Al '!E234</f>
        <v>40304.75</v>
      </c>
      <c r="D234" s="85" t="str">
        <f>IF('Excercise - Al '!F234&lt;&gt;0,'Excercise - Al '!F234,"")</f>
        <v/>
      </c>
      <c r="E234" s="85" t="str">
        <f>IF('Excercise - Al '!G234&lt;&gt;"","MODE: "&amp;'Excercise - Al '!G234,"")&amp;IF('Excercise - Al '!H234&lt;&gt;"","   FROM: "&amp;'Excercise - Al '!H234,"")&amp;IF('Excercise - Al '!I234&lt;&gt;"","   INJECTED BY: "&amp;'Excercise - Al '!I234,"")&amp;IF('Excercise - Al '!J234&lt;&gt;"","   SEND TO: "&amp;'Excercise - Al '!J234,"")</f>
        <v/>
      </c>
      <c r="F234" s="85" t="str">
        <f>IF('Excercise - Al '!K234&lt;&gt;"","STORYLINE: "&amp;'Excercise - Al '!K234,"")&amp;IF('Excercise - Al '!M234&lt;&gt;"","   DESCRIPTION: "&amp;'Excercise - Al '!M234,"")&amp;IF('Excercise - Al '!O234&lt;&gt;"","   NOTES/REMARKS: "&amp;'Excercise - Al '!O234,"")&amp;IF('Excercise - Al '!Q234&lt;&gt;"","   BACKGROUND INFO: "&amp;'Excercise - Al '!Q234,"")</f>
        <v>STORYLINE: Press Release:  AL Governor issues emergency proclamation for Hurricane Al, and requests federal assistance ahead of possible landfall in AL</v>
      </c>
      <c r="G234" s="85" t="str">
        <f>IF('Excercise - Al '!P234&lt;&gt;"","IMPLEMENTER: "&amp;'Excercise - Al '!P234,"")</f>
        <v>IMPLEMENTER: Press Release:  AL Governor issues emergency proclamation for Hurricane Al, and requests federal assistance ahead of possible landfall in AL</v>
      </c>
      <c r="H234" s="85" t="str">
        <f>IF('Excercise - Al '!N234&lt;&gt;"","EXPECTED ACTIONS: "&amp;'Excercise - Al '!N234,"")</f>
        <v/>
      </c>
      <c r="I234" s="85">
        <f>'Excercise - Al '!R234</f>
        <v>0</v>
      </c>
    </row>
    <row r="235" spans="1:9" s="27" customFormat="1" ht="40">
      <c r="A235" s="85">
        <f>'Excercise - Al '!A235</f>
        <v>234</v>
      </c>
      <c r="B235" s="85"/>
      <c r="C235" s="86">
        <f>'Excercise - Al '!E235</f>
        <v>40304.75</v>
      </c>
      <c r="D235" s="85" t="str">
        <f>IF('Excercise - Al '!F235&lt;&gt;0,'Excercise - Al '!F235,"")</f>
        <v/>
      </c>
      <c r="E235" s="85" t="str">
        <f>IF('Excercise - Al '!G235&lt;&gt;"","MODE: "&amp;'Excercise - Al '!G235,"")&amp;IF('Excercise - Al '!H235&lt;&gt;"","   FROM: "&amp;'Excercise - Al '!H235,"")&amp;IF('Excercise - Al '!I235&lt;&gt;"","   INJECTED BY: "&amp;'Excercise - Al '!I235,"")&amp;IF('Excercise - Al '!J235&lt;&gt;"","   SEND TO: "&amp;'Excercise - Al '!J235,"")</f>
        <v/>
      </c>
      <c r="F235" s="85" t="str">
        <f>IF('Excercise - Al '!K235&lt;&gt;"","STORYLINE: "&amp;'Excercise - Al '!K235,"")&amp;IF('Excercise - Al '!M235&lt;&gt;"","   DESCRIPTION: "&amp;'Excercise - Al '!M235,"")&amp;IF('Excercise - Al '!O235&lt;&gt;"","   NOTES/REMARKS: "&amp;'Excercise - Al '!O235,"")&amp;IF('Excercise - Al '!Q235&lt;&gt;"","   BACKGROUND INFO: "&amp;'Excercise - Al '!Q235,"")</f>
        <v>STORYLINE: Provide 15 soldiers to assist with loading and orderly evacuation of 85 patients at Thomas Hospital in Fairhope due to power/water outages. Mission duration is 12 hrs</v>
      </c>
      <c r="G235" s="85" t="str">
        <f>IF('Excercise - Al '!P235&lt;&gt;"","IMPLEMENTER: "&amp;'Excercise - Al '!P235,"")</f>
        <v>IMPLEMENTER: Provide 15 soldiers to assist with loading and orderly evacuation of 85 patients at Thomas Hospital in Fairhope due to power/water outages. Mission duration is 12 hrs</v>
      </c>
      <c r="H235" s="85" t="str">
        <f>IF('Excercise - Al '!N235&lt;&gt;"","EXPECTED ACTIONS: "&amp;'Excercise - Al '!N235,"")</f>
        <v/>
      </c>
      <c r="I235" s="85">
        <f>'Excercise - Al '!R235</f>
        <v>0</v>
      </c>
    </row>
    <row r="236" spans="1:9" s="27" customFormat="1" ht="20">
      <c r="A236" s="85">
        <f>'Excercise - Al '!A236</f>
        <v>235</v>
      </c>
      <c r="B236" s="85"/>
      <c r="C236" s="86">
        <f>'Excercise - Al '!E236</f>
        <v>40304.75</v>
      </c>
      <c r="D236" s="85" t="str">
        <f>IF('Excercise - Al '!F236&lt;&gt;0,'Excercise - Al '!F236,"")</f>
        <v/>
      </c>
      <c r="E236" s="85" t="str">
        <f>IF('Excercise - Al '!G236&lt;&gt;"","MODE: "&amp;'Excercise - Al '!G236,"")&amp;IF('Excercise - Al '!H236&lt;&gt;"","   FROM: "&amp;'Excercise - Al '!H236,"")&amp;IF('Excercise - Al '!I236&lt;&gt;"","   INJECTED BY: "&amp;'Excercise - Al '!I236,"")&amp;IF('Excercise - Al '!J236&lt;&gt;"","   SEND TO: "&amp;'Excercise - Al '!J236,"")</f>
        <v/>
      </c>
      <c r="F236" s="85" t="str">
        <f>IF('Excercise - Al '!K236&lt;&gt;"","STORYLINE: "&amp;'Excercise - Al '!K236,"")&amp;IF('Excercise - Al '!M236&lt;&gt;"","   DESCRIPTION: "&amp;'Excercise - Al '!M236,"")&amp;IF('Excercise - Al '!O236&lt;&gt;"","   NOTES/REMARKS: "&amp;'Excercise - Al '!O236,"")&amp;IF('Excercise - Al '!Q236&lt;&gt;"","   BACKGROUND INFO: "&amp;'Excercise - Al '!Q236,"")</f>
        <v>STORYLINE: Receive media inquires about support of the National Guard</v>
      </c>
      <c r="G236" s="85" t="str">
        <f>IF('Excercise - Al '!P236&lt;&gt;"","IMPLEMENTER: "&amp;'Excercise - Al '!P236,"")</f>
        <v>IMPLEMENTER: Receive media inquires about support of the National Guard</v>
      </c>
      <c r="H236" s="85" t="str">
        <f>IF('Excercise - Al '!N236&lt;&gt;"","EXPECTED ACTIONS: "&amp;'Excercise - Al '!N236,"")</f>
        <v/>
      </c>
      <c r="I236" s="85">
        <f>'Excercise - Al '!R236</f>
        <v>0</v>
      </c>
    </row>
    <row r="237" spans="1:9" s="27" customFormat="1" ht="20">
      <c r="A237" s="85">
        <f>'Excercise - Al '!A237</f>
        <v>236</v>
      </c>
      <c r="B237" s="85"/>
      <c r="C237" s="86">
        <f>'Excercise - Al '!E237</f>
        <v>40304.75</v>
      </c>
      <c r="D237" s="85" t="str">
        <f>IF('Excercise - Al '!F237&lt;&gt;0,'Excercise - Al '!F237,"")</f>
        <v/>
      </c>
      <c r="E237" s="85" t="str">
        <f>IF('Excercise - Al '!G237&lt;&gt;"","MODE: "&amp;'Excercise - Al '!G237,"")&amp;IF('Excercise - Al '!H237&lt;&gt;"","   FROM: "&amp;'Excercise - Al '!H237,"")&amp;IF('Excercise - Al '!I237&lt;&gt;"","   INJECTED BY: "&amp;'Excercise - Al '!I237,"")&amp;IF('Excercise - Al '!J237&lt;&gt;"","   SEND TO: "&amp;'Excercise - Al '!J237,"")</f>
        <v/>
      </c>
      <c r="F237" s="85" t="str">
        <f>IF('Excercise - Al '!K237&lt;&gt;"","STORYLINE: "&amp;'Excercise - Al '!K237,"")&amp;IF('Excercise - Al '!M237&lt;&gt;"","   DESCRIPTION: "&amp;'Excercise - Al '!M237,"")&amp;IF('Excercise - Al '!O237&lt;&gt;"","   NOTES/REMARKS: "&amp;'Excercise - Al '!O237,"")&amp;IF('Excercise - Al '!Q237&lt;&gt;"","   BACKGROUND INFO: "&amp;'Excercise - Al '!Q237,"")</f>
        <v>STORYLINE: Receive notification from Governor's press office about proclamation</v>
      </c>
      <c r="G237" s="85" t="str">
        <f>IF('Excercise - Al '!P237&lt;&gt;"","IMPLEMENTER: "&amp;'Excercise - Al '!P237,"")</f>
        <v>IMPLEMENTER: Receive notification from Governor's press office about proclamation</v>
      </c>
      <c r="H237" s="85" t="str">
        <f>IF('Excercise - Al '!N237&lt;&gt;"","EXPECTED ACTIONS: "&amp;'Excercise - Al '!N237,"")</f>
        <v/>
      </c>
      <c r="I237" s="85">
        <f>'Excercise - Al '!R237</f>
        <v>0</v>
      </c>
    </row>
    <row r="238" spans="1:9" s="27" customFormat="1" ht="30">
      <c r="A238" s="85">
        <f>'Excercise - Al '!A238</f>
        <v>237</v>
      </c>
      <c r="B238" s="85"/>
      <c r="C238" s="86">
        <f>'Excercise - Al '!E238</f>
        <v>40304.75</v>
      </c>
      <c r="D238" s="85" t="str">
        <f>IF('Excercise - Al '!F238&lt;&gt;0,'Excercise - Al '!F238,"")</f>
        <v/>
      </c>
      <c r="E238" s="85" t="str">
        <f>IF('Excercise - Al '!G238&lt;&gt;"","MODE: "&amp;'Excercise - Al '!G238,"")&amp;IF('Excercise - Al '!H238&lt;&gt;"","   FROM: "&amp;'Excercise - Al '!H238,"")&amp;IF('Excercise - Al '!I238&lt;&gt;"","   INJECTED BY: "&amp;'Excercise - Al '!I238,"")&amp;IF('Excercise - Al '!J238&lt;&gt;"","   SEND TO: "&amp;'Excercise - Al '!J238,"")</f>
        <v/>
      </c>
      <c r="F238" s="85" t="str">
        <f>IF('Excercise - Al '!K238&lt;&gt;"","STORYLINE: "&amp;'Excercise - Al '!K238,"")&amp;IF('Excercise - Al '!M238&lt;&gt;"","   DESCRIPTION: "&amp;'Excercise - Al '!M238,"")&amp;IF('Excercise - Al '!O238&lt;&gt;"","   NOTES/REMARKS: "&amp;'Excercise - Al '!O238,"")&amp;IF('Excercise - Al '!Q238&lt;&gt;"","   BACKGROUND INFO: "&amp;'Excercise - Al '!Q238,"")</f>
        <v>STORYLINE: Request Increase in Single Purchase Limit for TF GPC Cardholders from NGB-PARC.</v>
      </c>
      <c r="G238" s="85" t="str">
        <f>IF('Excercise - Al '!P238&lt;&gt;"","IMPLEMENTER: "&amp;'Excercise - Al '!P238,"")</f>
        <v>IMPLEMENTER: Request Increase in Single Purchase Limit for TF GPC Cardholders from NGB-PARC.</v>
      </c>
      <c r="H238" s="85" t="str">
        <f>IF('Excercise - Al '!N238&lt;&gt;"","EXPECTED ACTIONS: "&amp;'Excercise - Al '!N238,"")</f>
        <v/>
      </c>
      <c r="I238" s="85">
        <f>'Excercise - Al '!R238</f>
        <v>0</v>
      </c>
    </row>
    <row r="239" spans="1:9" s="27" customFormat="1" ht="30">
      <c r="A239" s="85">
        <f>'Excercise - Al '!A239</f>
        <v>238</v>
      </c>
      <c r="B239" s="85"/>
      <c r="C239" s="86">
        <f>'Excercise - Al '!E239</f>
        <v>40304.75</v>
      </c>
      <c r="D239" s="85" t="str">
        <f>IF('Excercise - Al '!F239&lt;&gt;0,'Excercise - Al '!F239,"")</f>
        <v/>
      </c>
      <c r="E239" s="85" t="str">
        <f>IF('Excercise - Al '!G239&lt;&gt;"","MODE: "&amp;'Excercise - Al '!G239,"")&amp;IF('Excercise - Al '!H239&lt;&gt;"","   FROM: "&amp;'Excercise - Al '!H239,"")&amp;IF('Excercise - Al '!I239&lt;&gt;"","   INJECTED BY: "&amp;'Excercise - Al '!I239,"")&amp;IF('Excercise - Al '!J239&lt;&gt;"","   SEND TO: "&amp;'Excercise - Al '!J239,"")</f>
        <v/>
      </c>
      <c r="F239" s="85" t="str">
        <f>IF('Excercise - Al '!K239&lt;&gt;"","STORYLINE: "&amp;'Excercise - Al '!K239,"")&amp;IF('Excercise - Al '!M239&lt;&gt;"","   DESCRIPTION: "&amp;'Excercise - Al '!M239,"")&amp;IF('Excercise - Al '!O239&lt;&gt;"","   NOTES/REMARKS: "&amp;'Excercise - Al '!O239,"")&amp;IF('Excercise - Al '!Q239&lt;&gt;"","   BACKGROUND INFO: "&amp;'Excercise - Al '!Q239,"")</f>
        <v xml:space="preserve">STORYLINE: The Dauphin Island EOC has transferred Dauphin Island 911 switching over to Mobile Co. EOC and staff are evacuating.  </v>
      </c>
      <c r="G239" s="85" t="str">
        <f>IF('Excercise - Al '!P239&lt;&gt;"","IMPLEMENTER: "&amp;'Excercise - Al '!P239,"")</f>
        <v xml:space="preserve">IMPLEMENTER: The Dauphin Island EOC has transferred Dauphin Island 911 switching over to Mobile Co. EOC and staff are evacuating.  </v>
      </c>
      <c r="H239" s="85" t="str">
        <f>IF('Excercise - Al '!N239&lt;&gt;"","EXPECTED ACTIONS: "&amp;'Excercise - Al '!N239,"")</f>
        <v/>
      </c>
      <c r="I239" s="85">
        <f>'Excercise - Al '!R239</f>
        <v>0</v>
      </c>
    </row>
    <row r="240" spans="1:9" s="27" customFormat="1" ht="60">
      <c r="A240" s="85">
        <f>'Excercise - Al '!A240</f>
        <v>239</v>
      </c>
      <c r="B240" s="85"/>
      <c r="C240" s="86">
        <f>'Excercise - Al '!E240</f>
        <v>40304.75</v>
      </c>
      <c r="D240" s="85" t="str">
        <f>IF('Excercise - Al '!F240&lt;&gt;0,'Excercise - Al '!F240,"")</f>
        <v/>
      </c>
      <c r="E240" s="85" t="str">
        <f>IF('Excercise - Al '!G240&lt;&gt;"","MODE: "&amp;'Excercise - Al '!G240,"")&amp;IF('Excercise - Al '!H240&lt;&gt;"","   FROM: "&amp;'Excercise - Al '!H240,"")&amp;IF('Excercise - Al '!I240&lt;&gt;"","   INJECTED BY: "&amp;'Excercise - Al '!I240,"")&amp;IF('Excercise - Al '!J240&lt;&gt;"","   SEND TO: "&amp;'Excercise - Al '!J240,"")</f>
        <v/>
      </c>
      <c r="F240" s="85" t="str">
        <f>IF('Excercise - Al '!K240&lt;&gt;"","STORYLINE: "&amp;'Excercise - Al '!K240,"")&amp;IF('Excercise - Al '!M240&lt;&gt;"","   DESCRIPTION: "&amp;'Excercise - Al '!M240,"")&amp;IF('Excercise - Al '!O240&lt;&gt;"","   NOTES/REMARKS: "&amp;'Excercise - Al '!O240,"")&amp;IF('Excercise - Al '!Q240&lt;&gt;"","   BACKGROUND INFO: "&amp;'Excercise - Al '!Q240,"")</f>
        <v xml:space="preserve">STORYLINE: Transport food, water, and ice from LSA Brookley Field to LSA's located in Mobile and Baldwin Counties.  Commodities to move are 400 Pallets of MRE, 500 Pallets of water, 100 Pallets of Ice, this will be a LOG Push mission daily.  Mission duration is TBD.    </v>
      </c>
      <c r="G240" s="85" t="str">
        <f>IF('Excercise - Al '!P240&lt;&gt;"","IMPLEMENTER: "&amp;'Excercise - Al '!P240,"")</f>
        <v xml:space="preserve">IMPLEMENTER: Transport food, water, and ice from LSA Brookley Field to LSA's located in Mobile and Baldwin Counties.  Commodities to move are 400 Pallets of MRE, 500 Pallets of water, 100 Pallets of Ice, this will be a LOG Push mission daily.  Mission duration is TBD.    </v>
      </c>
      <c r="H240" s="85" t="str">
        <f>IF('Excercise - Al '!N240&lt;&gt;"","EXPECTED ACTIONS: "&amp;'Excercise - Al '!N240,"")</f>
        <v/>
      </c>
      <c r="I240" s="85">
        <f>'Excercise - Al '!R240</f>
        <v>0</v>
      </c>
    </row>
  </sheetData>
  <customSheetViews>
    <customSheetView guid="{795CE737-CFBD-47E1-A5F3-F6879A411FBA}" showPageBreaks="1" topLeftCell="C1">
      <selection activeCell="E1" sqref="E1"/>
    </customSheetView>
  </customSheetViews>
  <phoneticPr fontId="24" type="noConversion"/>
  <dataValidations count="1">
    <dataValidation type="list" allowBlank="1" showInputMessage="1" showErrorMessage="1" sqref="B2">
      <formula1>#REF!</formula1>
    </dataValidation>
  </dataValidations>
  <pageMargins left="0.3" right="0.3" top="0.75" bottom="0.5" header="0.3" footer="0.3"/>
  <headerFooter>
    <oddFooter>&amp;C&amp;"Arial,Bold"MASTER EVENTS SEQUENCE LIST    -    RW 2010   -   WHITE CELL USE ONLY  - PAGE #  &amp;P - 4/30/2010</oddFooter>
  </headerFooter>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Excercise - Al </vt:lpstr>
      <vt:lpstr>MSEL INFO ONLY</vt:lpstr>
      <vt:lpstr>Venue Fail Safe</vt:lpstr>
      <vt:lpstr>Backup</vt:lpstr>
      <vt:lpstr>Examples</vt:lpstr>
      <vt:lpstr>PRINT_SMALL</vt:lpstr>
    </vt:vector>
  </TitlesOfParts>
  <Company>IIF Data Solutions,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Roaring Winds 2010 MESL</dc:title>
  <dc:subject>MESL</dc:subject>
  <dc:creator>Bob Keane</dc:creator>
  <cp:lastModifiedBy>Robert White</cp:lastModifiedBy>
  <cp:lastPrinted>2010-05-02T23:49:02Z</cp:lastPrinted>
  <dcterms:created xsi:type="dcterms:W3CDTF">2009-04-14T17:05:29Z</dcterms:created>
  <dcterms:modified xsi:type="dcterms:W3CDTF">2011-02-25T16:21:38Z</dcterms:modified>
</cp:coreProperties>
</file>